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rtelekom-my.sharepoint.com/personal/diego_deblock_t_ht_hr/Documents/Documents/Python/T GLobal robopricing v2.0/inputs/"/>
    </mc:Choice>
  </mc:AlternateContent>
  <xr:revisionPtr revIDLastSave="54" documentId="13_ncr:20000001_{70C5CB22-A31D-4EC6-80BA-5A232A503BD2}" xr6:coauthVersionLast="47" xr6:coauthVersionMax="47" xr10:uidLastSave="{A56B9E7C-92AA-47D4-B3DC-FB17C438C6AF}"/>
  <bookViews>
    <workbookView xWindow="-120" yWindow="-120" windowWidth="51840" windowHeight="21120" activeTab="1" xr2:uid="{D72FCAE0-F13C-4F68-9404-05075C8E75B5}"/>
  </bookViews>
  <sheets>
    <sheet name="Crodis" sheetId="1" r:id="rId1"/>
    <sheet name="Sheet1" sheetId="3" r:id="rId2"/>
  </sheets>
  <definedNames>
    <definedName name="_xlnm._FilterDatabase" localSheetId="0" hidden="1">Crodis!$A$1:$E$595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1" i="1" l="1"/>
  <c r="H280" i="1"/>
  <c r="D2" i="1"/>
  <c r="F3" i="1"/>
  <c r="F4" i="1"/>
  <c r="F5" i="1"/>
  <c r="F6" i="1"/>
  <c r="F7" i="1"/>
  <c r="H7" i="1" s="1"/>
  <c r="F8" i="1"/>
  <c r="F9" i="1"/>
  <c r="F10" i="1"/>
  <c r="F11" i="1"/>
  <c r="F12" i="1"/>
  <c r="F13" i="1"/>
  <c r="F14" i="1"/>
  <c r="H14" i="1" s="1"/>
  <c r="F15" i="1"/>
  <c r="H15" i="1" s="1"/>
  <c r="F16" i="1"/>
  <c r="G16" i="1" s="1"/>
  <c r="F17" i="1"/>
  <c r="G17" i="1" s="1"/>
  <c r="F18" i="1"/>
  <c r="F19" i="1"/>
  <c r="F20" i="1"/>
  <c r="F21" i="1"/>
  <c r="F22" i="1"/>
  <c r="F23" i="1"/>
  <c r="H23" i="1" s="1"/>
  <c r="F24" i="1"/>
  <c r="F25" i="1"/>
  <c r="G25" i="1" s="1"/>
  <c r="F26" i="1"/>
  <c r="F27" i="1"/>
  <c r="F28" i="1"/>
  <c r="F29" i="1"/>
  <c r="F30" i="1"/>
  <c r="H30" i="1" s="1"/>
  <c r="F31" i="1"/>
  <c r="H31" i="1" s="1"/>
  <c r="F32" i="1"/>
  <c r="G32" i="1" s="1"/>
  <c r="F33" i="1"/>
  <c r="G33" i="1" s="1"/>
  <c r="F34" i="1"/>
  <c r="F35" i="1"/>
  <c r="F36" i="1"/>
  <c r="F37" i="1"/>
  <c r="F38" i="1"/>
  <c r="F39" i="1"/>
  <c r="H39" i="1" s="1"/>
  <c r="F40" i="1"/>
  <c r="F41" i="1"/>
  <c r="G41" i="1" s="1"/>
  <c r="F42" i="1"/>
  <c r="F43" i="1"/>
  <c r="F44" i="1"/>
  <c r="F45" i="1"/>
  <c r="F46" i="1"/>
  <c r="H46" i="1" s="1"/>
  <c r="F47" i="1"/>
  <c r="H47" i="1" s="1"/>
  <c r="F48" i="1"/>
  <c r="G48" i="1" s="1"/>
  <c r="F49" i="1"/>
  <c r="G49" i="1" s="1"/>
  <c r="F50" i="1"/>
  <c r="F51" i="1"/>
  <c r="F52" i="1"/>
  <c r="F53" i="1"/>
  <c r="F54" i="1"/>
  <c r="F55" i="1"/>
  <c r="H55" i="1" s="1"/>
  <c r="F56" i="1"/>
  <c r="F57" i="1"/>
  <c r="G57" i="1" s="1"/>
  <c r="F58" i="1"/>
  <c r="F59" i="1"/>
  <c r="F60" i="1"/>
  <c r="F61" i="1"/>
  <c r="F62" i="1"/>
  <c r="H62" i="1" s="1"/>
  <c r="F63" i="1"/>
  <c r="H63" i="1" s="1"/>
  <c r="F64" i="1"/>
  <c r="G64" i="1" s="1"/>
  <c r="F65" i="1"/>
  <c r="G65" i="1" s="1"/>
  <c r="F66" i="1"/>
  <c r="F67" i="1"/>
  <c r="F68" i="1"/>
  <c r="F69" i="1"/>
  <c r="F70" i="1"/>
  <c r="F71" i="1"/>
  <c r="H71" i="1" s="1"/>
  <c r="F72" i="1"/>
  <c r="F73" i="1"/>
  <c r="G73" i="1" s="1"/>
  <c r="F74" i="1"/>
  <c r="F75" i="1"/>
  <c r="F76" i="1"/>
  <c r="F77" i="1"/>
  <c r="F78" i="1"/>
  <c r="H78" i="1" s="1"/>
  <c r="F79" i="1"/>
  <c r="H79" i="1" s="1"/>
  <c r="F80" i="1"/>
  <c r="G80" i="1" s="1"/>
  <c r="F81" i="1"/>
  <c r="G81" i="1" s="1"/>
  <c r="F82" i="1"/>
  <c r="F83" i="1"/>
  <c r="F84" i="1"/>
  <c r="F85" i="1"/>
  <c r="F86" i="1"/>
  <c r="F87" i="1"/>
  <c r="H87" i="1" s="1"/>
  <c r="F88" i="1"/>
  <c r="F89" i="1"/>
  <c r="G89" i="1" s="1"/>
  <c r="F90" i="1"/>
  <c r="H90" i="1" s="1"/>
  <c r="F91" i="1"/>
  <c r="F92" i="1"/>
  <c r="F93" i="1"/>
  <c r="F94" i="1"/>
  <c r="F95" i="1"/>
  <c r="H95" i="1" s="1"/>
  <c r="F96" i="1"/>
  <c r="G96" i="1" s="1"/>
  <c r="F97" i="1"/>
  <c r="G97" i="1" s="1"/>
  <c r="F98" i="1"/>
  <c r="H98" i="1" s="1"/>
  <c r="F99" i="1"/>
  <c r="F100" i="1"/>
  <c r="F101" i="1"/>
  <c r="F102" i="1"/>
  <c r="F103" i="1"/>
  <c r="H103" i="1" s="1"/>
  <c r="F104" i="1"/>
  <c r="F105" i="1"/>
  <c r="G105" i="1" s="1"/>
  <c r="F106" i="1"/>
  <c r="H106" i="1" s="1"/>
  <c r="F107" i="1"/>
  <c r="H107" i="1" s="1"/>
  <c r="F108" i="1"/>
  <c r="F109" i="1"/>
  <c r="F110" i="1"/>
  <c r="F111" i="1"/>
  <c r="H111" i="1" s="1"/>
  <c r="F112" i="1"/>
  <c r="G112" i="1" s="1"/>
  <c r="F113" i="1"/>
  <c r="G113" i="1" s="1"/>
  <c r="F114" i="1"/>
  <c r="H114" i="1" s="1"/>
  <c r="F115" i="1"/>
  <c r="F116" i="1"/>
  <c r="F117" i="1"/>
  <c r="F118" i="1"/>
  <c r="F119" i="1"/>
  <c r="H119" i="1" s="1"/>
  <c r="F120" i="1"/>
  <c r="F121" i="1"/>
  <c r="G121" i="1" s="1"/>
  <c r="F122" i="1"/>
  <c r="H122" i="1" s="1"/>
  <c r="F123" i="1"/>
  <c r="F124" i="1"/>
  <c r="F125" i="1"/>
  <c r="F126" i="1"/>
  <c r="F127" i="1"/>
  <c r="H127" i="1" s="1"/>
  <c r="F128" i="1"/>
  <c r="G128" i="1" s="1"/>
  <c r="F129" i="1"/>
  <c r="G129" i="1" s="1"/>
  <c r="F130" i="1"/>
  <c r="H130" i="1" s="1"/>
  <c r="F131" i="1"/>
  <c r="F132" i="1"/>
  <c r="F133" i="1"/>
  <c r="F134" i="1"/>
  <c r="F135" i="1"/>
  <c r="H135" i="1" s="1"/>
  <c r="F136" i="1"/>
  <c r="F137" i="1"/>
  <c r="G137" i="1" s="1"/>
  <c r="F138" i="1"/>
  <c r="H138" i="1" s="1"/>
  <c r="F139" i="1"/>
  <c r="F140" i="1"/>
  <c r="F141" i="1"/>
  <c r="F142" i="1"/>
  <c r="F143" i="1"/>
  <c r="H143" i="1" s="1"/>
  <c r="F144" i="1"/>
  <c r="G144" i="1" s="1"/>
  <c r="F145" i="1"/>
  <c r="G145" i="1" s="1"/>
  <c r="F146" i="1"/>
  <c r="H146" i="1" s="1"/>
  <c r="F147" i="1"/>
  <c r="F148" i="1"/>
  <c r="F149" i="1"/>
  <c r="F150" i="1"/>
  <c r="F151" i="1"/>
  <c r="H151" i="1" s="1"/>
  <c r="F152" i="1"/>
  <c r="F153" i="1"/>
  <c r="G153" i="1" s="1"/>
  <c r="F154" i="1"/>
  <c r="H154" i="1" s="1"/>
  <c r="F155" i="1"/>
  <c r="F156" i="1"/>
  <c r="F157" i="1"/>
  <c r="F158" i="1"/>
  <c r="F159" i="1"/>
  <c r="H159" i="1" s="1"/>
  <c r="F160" i="1"/>
  <c r="G160" i="1" s="1"/>
  <c r="F161" i="1"/>
  <c r="G161" i="1" s="1"/>
  <c r="F162" i="1"/>
  <c r="H162" i="1" s="1"/>
  <c r="F163" i="1"/>
  <c r="F164" i="1"/>
  <c r="F165" i="1"/>
  <c r="F166" i="1"/>
  <c r="F167" i="1"/>
  <c r="H167" i="1" s="1"/>
  <c r="F168" i="1"/>
  <c r="F169" i="1"/>
  <c r="G169" i="1" s="1"/>
  <c r="F170" i="1"/>
  <c r="H170" i="1" s="1"/>
  <c r="F171" i="1"/>
  <c r="H171" i="1" s="1"/>
  <c r="F172" i="1"/>
  <c r="F173" i="1"/>
  <c r="F174" i="1"/>
  <c r="F175" i="1"/>
  <c r="H175" i="1" s="1"/>
  <c r="F176" i="1"/>
  <c r="G176" i="1" s="1"/>
  <c r="F177" i="1"/>
  <c r="G177" i="1" s="1"/>
  <c r="F178" i="1"/>
  <c r="H178" i="1" s="1"/>
  <c r="F179" i="1"/>
  <c r="F180" i="1"/>
  <c r="F181" i="1"/>
  <c r="F182" i="1"/>
  <c r="F183" i="1"/>
  <c r="H183" i="1" s="1"/>
  <c r="F184" i="1"/>
  <c r="F185" i="1"/>
  <c r="G185" i="1" s="1"/>
  <c r="F186" i="1"/>
  <c r="H186" i="1" s="1"/>
  <c r="F187" i="1"/>
  <c r="F188" i="1"/>
  <c r="F189" i="1"/>
  <c r="F190" i="1"/>
  <c r="F191" i="1"/>
  <c r="H191" i="1" s="1"/>
  <c r="F192" i="1"/>
  <c r="G192" i="1" s="1"/>
  <c r="F193" i="1"/>
  <c r="G193" i="1" s="1"/>
  <c r="F194" i="1"/>
  <c r="H194" i="1" s="1"/>
  <c r="F195" i="1"/>
  <c r="F196" i="1"/>
  <c r="F197" i="1"/>
  <c r="F198" i="1"/>
  <c r="F199" i="1"/>
  <c r="H199" i="1" s="1"/>
  <c r="F200" i="1"/>
  <c r="F201" i="1"/>
  <c r="G201" i="1" s="1"/>
  <c r="F202" i="1"/>
  <c r="H202" i="1" s="1"/>
  <c r="F203" i="1"/>
  <c r="F204" i="1"/>
  <c r="F205" i="1"/>
  <c r="F206" i="1"/>
  <c r="F207" i="1"/>
  <c r="H207" i="1" s="1"/>
  <c r="F208" i="1"/>
  <c r="G208" i="1" s="1"/>
  <c r="F209" i="1"/>
  <c r="G209" i="1" s="1"/>
  <c r="F210" i="1"/>
  <c r="H210" i="1" s="1"/>
  <c r="F211" i="1"/>
  <c r="F212" i="1"/>
  <c r="F213" i="1"/>
  <c r="F214" i="1"/>
  <c r="F215" i="1"/>
  <c r="H215" i="1" s="1"/>
  <c r="F216" i="1"/>
  <c r="H216" i="1" s="1"/>
  <c r="F217" i="1"/>
  <c r="G217" i="1" s="1"/>
  <c r="F218" i="1"/>
  <c r="H218" i="1" s="1"/>
  <c r="F219" i="1"/>
  <c r="F220" i="1"/>
  <c r="F221" i="1"/>
  <c r="F222" i="1"/>
  <c r="F223" i="1"/>
  <c r="H223" i="1" s="1"/>
  <c r="F224" i="1"/>
  <c r="H224" i="1" s="1"/>
  <c r="F225" i="1"/>
  <c r="G225" i="1" s="1"/>
  <c r="F226" i="1"/>
  <c r="H226" i="1" s="1"/>
  <c r="F227" i="1"/>
  <c r="F228" i="1"/>
  <c r="F229" i="1"/>
  <c r="F230" i="1"/>
  <c r="F231" i="1"/>
  <c r="H231" i="1" s="1"/>
  <c r="F232" i="1"/>
  <c r="H232" i="1" s="1"/>
  <c r="F233" i="1"/>
  <c r="G233" i="1" s="1"/>
  <c r="F234" i="1"/>
  <c r="H234" i="1" s="1"/>
  <c r="F235" i="1"/>
  <c r="F236" i="1"/>
  <c r="F237" i="1"/>
  <c r="F238" i="1"/>
  <c r="F239" i="1"/>
  <c r="H239" i="1" s="1"/>
  <c r="F240" i="1"/>
  <c r="H240" i="1" s="1"/>
  <c r="F241" i="1"/>
  <c r="G241" i="1" s="1"/>
  <c r="F242" i="1"/>
  <c r="H242" i="1" s="1"/>
  <c r="F243" i="1"/>
  <c r="F244" i="1"/>
  <c r="F245" i="1"/>
  <c r="F246" i="1"/>
  <c r="F247" i="1"/>
  <c r="H247" i="1" s="1"/>
  <c r="F248" i="1"/>
  <c r="H248" i="1" s="1"/>
  <c r="F249" i="1"/>
  <c r="G249" i="1" s="1"/>
  <c r="F250" i="1"/>
  <c r="H250" i="1" s="1"/>
  <c r="F251" i="1"/>
  <c r="F252" i="1"/>
  <c r="F253" i="1"/>
  <c r="F254" i="1"/>
  <c r="F255" i="1"/>
  <c r="H255" i="1" s="1"/>
  <c r="F256" i="1"/>
  <c r="G256" i="1" s="1"/>
  <c r="F257" i="1"/>
  <c r="G257" i="1" s="1"/>
  <c r="F258" i="1"/>
  <c r="H258" i="1" s="1"/>
  <c r="F259" i="1"/>
  <c r="F260" i="1"/>
  <c r="F261" i="1"/>
  <c r="F262" i="1"/>
  <c r="F263" i="1"/>
  <c r="H263" i="1" s="1"/>
  <c r="F264" i="1"/>
  <c r="H264" i="1" s="1"/>
  <c r="F265" i="1"/>
  <c r="G265" i="1" s="1"/>
  <c r="F266" i="1"/>
  <c r="H266" i="1" s="1"/>
  <c r="F267" i="1"/>
  <c r="F268" i="1"/>
  <c r="F269" i="1"/>
  <c r="F270" i="1"/>
  <c r="F271" i="1"/>
  <c r="H271" i="1" s="1"/>
  <c r="F272" i="1"/>
  <c r="H272" i="1" s="1"/>
  <c r="F273" i="1"/>
  <c r="G273" i="1" s="1"/>
  <c r="F274" i="1"/>
  <c r="H274" i="1" s="1"/>
  <c r="F275" i="1"/>
  <c r="F276" i="1"/>
  <c r="F277" i="1"/>
  <c r="F278" i="1"/>
  <c r="F279" i="1"/>
  <c r="H279" i="1" s="1"/>
  <c r="F280" i="1"/>
  <c r="F281" i="1"/>
  <c r="G281" i="1" s="1"/>
  <c r="F282" i="1"/>
  <c r="H282" i="1" s="1"/>
  <c r="F283" i="1"/>
  <c r="F284" i="1"/>
  <c r="F285" i="1"/>
  <c r="F286" i="1"/>
  <c r="F287" i="1"/>
  <c r="H287" i="1" s="1"/>
  <c r="F288" i="1"/>
  <c r="G288" i="1" s="1"/>
  <c r="F289" i="1"/>
  <c r="G289" i="1" s="1"/>
  <c r="F290" i="1"/>
  <c r="H290" i="1" s="1"/>
  <c r="F291" i="1"/>
  <c r="F292" i="1"/>
  <c r="F293" i="1"/>
  <c r="F294" i="1"/>
  <c r="F295" i="1"/>
  <c r="H295" i="1" s="1"/>
  <c r="F296" i="1"/>
  <c r="H296" i="1" s="1"/>
  <c r="F297" i="1"/>
  <c r="G297" i="1" s="1"/>
  <c r="F298" i="1"/>
  <c r="H298" i="1" s="1"/>
  <c r="F299" i="1"/>
  <c r="F300" i="1"/>
  <c r="F301" i="1"/>
  <c r="F302" i="1"/>
  <c r="F303" i="1"/>
  <c r="H303" i="1" s="1"/>
  <c r="F304" i="1"/>
  <c r="G304" i="1" s="1"/>
  <c r="F305" i="1"/>
  <c r="G305" i="1" s="1"/>
  <c r="F306" i="1"/>
  <c r="H306" i="1" s="1"/>
  <c r="F307" i="1"/>
  <c r="F308" i="1"/>
  <c r="F309" i="1"/>
  <c r="F310" i="1"/>
  <c r="F311" i="1"/>
  <c r="H311" i="1" s="1"/>
  <c r="F312" i="1"/>
  <c r="H312" i="1" s="1"/>
  <c r="F313" i="1"/>
  <c r="G313" i="1" s="1"/>
  <c r="F314" i="1"/>
  <c r="H314" i="1" s="1"/>
  <c r="F315" i="1"/>
  <c r="F316" i="1"/>
  <c r="F317" i="1"/>
  <c r="F318" i="1"/>
  <c r="F319" i="1"/>
  <c r="H319" i="1" s="1"/>
  <c r="F320" i="1"/>
  <c r="H320" i="1" s="1"/>
  <c r="F321" i="1"/>
  <c r="G321" i="1" s="1"/>
  <c r="F322" i="1"/>
  <c r="F323" i="1"/>
  <c r="F324" i="1"/>
  <c r="F325" i="1"/>
  <c r="F326" i="1"/>
  <c r="F327" i="1"/>
  <c r="H327" i="1" s="1"/>
  <c r="F328" i="1"/>
  <c r="H328" i="1" s="1"/>
  <c r="F329" i="1"/>
  <c r="G329" i="1" s="1"/>
  <c r="F330" i="1"/>
  <c r="F331" i="1"/>
  <c r="F332" i="1"/>
  <c r="F333" i="1"/>
  <c r="F334" i="1"/>
  <c r="F335" i="1"/>
  <c r="H335" i="1" s="1"/>
  <c r="F336" i="1"/>
  <c r="G336" i="1" s="1"/>
  <c r="F337" i="1"/>
  <c r="F338" i="1"/>
  <c r="F339" i="1"/>
  <c r="F340" i="1"/>
  <c r="F341" i="1"/>
  <c r="F342" i="1"/>
  <c r="F343" i="1"/>
  <c r="H343" i="1" s="1"/>
  <c r="F344" i="1"/>
  <c r="H344" i="1" s="1"/>
  <c r="F345" i="1"/>
  <c r="G345" i="1" s="1"/>
  <c r="F346" i="1"/>
  <c r="F347" i="1"/>
  <c r="F348" i="1"/>
  <c r="F349" i="1"/>
  <c r="F350" i="1"/>
  <c r="F351" i="1"/>
  <c r="F352" i="1"/>
  <c r="H352" i="1" s="1"/>
  <c r="F353" i="1"/>
  <c r="G353" i="1" s="1"/>
  <c r="F354" i="1"/>
  <c r="F355" i="1"/>
  <c r="F356" i="1"/>
  <c r="F357" i="1"/>
  <c r="F358" i="1"/>
  <c r="F359" i="1"/>
  <c r="H359" i="1" s="1"/>
  <c r="F360" i="1"/>
  <c r="H360" i="1" s="1"/>
  <c r="F361" i="1"/>
  <c r="G361" i="1" s="1"/>
  <c r="F362" i="1"/>
  <c r="F363" i="1"/>
  <c r="F364" i="1"/>
  <c r="F365" i="1"/>
  <c r="F366" i="1"/>
  <c r="F367" i="1"/>
  <c r="F368" i="1"/>
  <c r="H368" i="1" s="1"/>
  <c r="F369" i="1"/>
  <c r="F370" i="1"/>
  <c r="H370" i="1" s="1"/>
  <c r="F371" i="1"/>
  <c r="F372" i="1"/>
  <c r="F373" i="1"/>
  <c r="F374" i="1"/>
  <c r="F375" i="1"/>
  <c r="F376" i="1"/>
  <c r="H376" i="1" s="1"/>
  <c r="F377" i="1"/>
  <c r="F378" i="1"/>
  <c r="F379" i="1"/>
  <c r="F380" i="1"/>
  <c r="F381" i="1"/>
  <c r="F382" i="1"/>
  <c r="F383" i="1"/>
  <c r="F384" i="1"/>
  <c r="H384" i="1" s="1"/>
  <c r="F385" i="1"/>
  <c r="H385" i="1" s="1"/>
  <c r="F386" i="1"/>
  <c r="F387" i="1"/>
  <c r="F388" i="1"/>
  <c r="F389" i="1"/>
  <c r="F390" i="1"/>
  <c r="F391" i="1"/>
  <c r="F392" i="1"/>
  <c r="H392" i="1" s="1"/>
  <c r="F393" i="1"/>
  <c r="H393" i="1" s="1"/>
  <c r="F394" i="1"/>
  <c r="F395" i="1"/>
  <c r="H395" i="1" s="1"/>
  <c r="F396" i="1"/>
  <c r="F397" i="1"/>
  <c r="F398" i="1"/>
  <c r="F399" i="1"/>
  <c r="F400" i="1"/>
  <c r="G400" i="1" s="1"/>
  <c r="F401" i="1"/>
  <c r="G401" i="1" s="1"/>
  <c r="F402" i="1"/>
  <c r="F403" i="1"/>
  <c r="F404" i="1"/>
  <c r="F405" i="1"/>
  <c r="F406" i="1"/>
  <c r="F407" i="1"/>
  <c r="F408" i="1"/>
  <c r="H408" i="1" s="1"/>
  <c r="F409" i="1"/>
  <c r="F410" i="1"/>
  <c r="F411" i="1"/>
  <c r="F412" i="1"/>
  <c r="F413" i="1"/>
  <c r="F414" i="1"/>
  <c r="H414" i="1" s="1"/>
  <c r="F415" i="1"/>
  <c r="F416" i="1"/>
  <c r="H416" i="1" s="1"/>
  <c r="F417" i="1"/>
  <c r="F418" i="1"/>
  <c r="F419" i="1"/>
  <c r="H419" i="1" s="1"/>
  <c r="F420" i="1"/>
  <c r="F421" i="1"/>
  <c r="F422" i="1"/>
  <c r="H422" i="1" s="1"/>
  <c r="F423" i="1"/>
  <c r="F424" i="1"/>
  <c r="H424" i="1" s="1"/>
  <c r="F425" i="1"/>
  <c r="F426" i="1"/>
  <c r="F427" i="1"/>
  <c r="F428" i="1"/>
  <c r="F429" i="1"/>
  <c r="H429" i="1" s="1"/>
  <c r="F430" i="1"/>
  <c r="H430" i="1" s="1"/>
  <c r="F431" i="1"/>
  <c r="F432" i="1"/>
  <c r="G432" i="1" s="1"/>
  <c r="F433" i="1"/>
  <c r="H433" i="1" s="1"/>
  <c r="F434" i="1"/>
  <c r="F435" i="1"/>
  <c r="F436" i="1"/>
  <c r="F437" i="1"/>
  <c r="H437" i="1" s="1"/>
  <c r="F438" i="1"/>
  <c r="H438" i="1" s="1"/>
  <c r="F439" i="1"/>
  <c r="F440" i="1"/>
  <c r="H440" i="1" s="1"/>
  <c r="F441" i="1"/>
  <c r="H441" i="1" s="1"/>
  <c r="F442" i="1"/>
  <c r="F443" i="1"/>
  <c r="F444" i="1"/>
  <c r="F445" i="1"/>
  <c r="H445" i="1" s="1"/>
  <c r="F446" i="1"/>
  <c r="H446" i="1" s="1"/>
  <c r="F447" i="1"/>
  <c r="F448" i="1"/>
  <c r="G448" i="1" s="1"/>
  <c r="F449" i="1"/>
  <c r="G449" i="1" s="1"/>
  <c r="F450" i="1"/>
  <c r="F451" i="1"/>
  <c r="F452" i="1"/>
  <c r="F453" i="1"/>
  <c r="H453" i="1" s="1"/>
  <c r="F454" i="1"/>
  <c r="H454" i="1" s="1"/>
  <c r="F455" i="1"/>
  <c r="F456" i="1"/>
  <c r="H456" i="1" s="1"/>
  <c r="F457" i="1"/>
  <c r="G457" i="1" s="1"/>
  <c r="F458" i="1"/>
  <c r="F459" i="1"/>
  <c r="F460" i="1"/>
  <c r="F461" i="1"/>
  <c r="H461" i="1" s="1"/>
  <c r="F462" i="1"/>
  <c r="H462" i="1" s="1"/>
  <c r="F463" i="1"/>
  <c r="F464" i="1"/>
  <c r="G464" i="1" s="1"/>
  <c r="F465" i="1"/>
  <c r="F466" i="1"/>
  <c r="F467" i="1"/>
  <c r="F468" i="1"/>
  <c r="F469" i="1"/>
  <c r="H469" i="1" s="1"/>
  <c r="F470" i="1"/>
  <c r="H470" i="1" s="1"/>
  <c r="F471" i="1"/>
  <c r="F472" i="1"/>
  <c r="H472" i="1" s="1"/>
  <c r="F473" i="1"/>
  <c r="G473" i="1" s="1"/>
  <c r="F474" i="1"/>
  <c r="F475" i="1"/>
  <c r="F476" i="1"/>
  <c r="F477" i="1"/>
  <c r="H477" i="1" s="1"/>
  <c r="F478" i="1"/>
  <c r="H478" i="1" s="1"/>
  <c r="F479" i="1"/>
  <c r="F480" i="1"/>
  <c r="H480" i="1" s="1"/>
  <c r="F481" i="1"/>
  <c r="H481" i="1" s="1"/>
  <c r="F482" i="1"/>
  <c r="F483" i="1"/>
  <c r="F484" i="1"/>
  <c r="F485" i="1"/>
  <c r="H485" i="1" s="1"/>
  <c r="F486" i="1"/>
  <c r="H486" i="1" s="1"/>
  <c r="F487" i="1"/>
  <c r="F488" i="1"/>
  <c r="H488" i="1" s="1"/>
  <c r="F489" i="1"/>
  <c r="G489" i="1" s="1"/>
  <c r="F490" i="1"/>
  <c r="F491" i="1"/>
  <c r="F492" i="1"/>
  <c r="F493" i="1"/>
  <c r="H493" i="1" s="1"/>
  <c r="F494" i="1"/>
  <c r="H494" i="1" s="1"/>
  <c r="F495" i="1"/>
  <c r="F496" i="1"/>
  <c r="G496" i="1" s="1"/>
  <c r="F497" i="1"/>
  <c r="G497" i="1" s="1"/>
  <c r="F498" i="1"/>
  <c r="F499" i="1"/>
  <c r="F500" i="1"/>
  <c r="F501" i="1"/>
  <c r="H501" i="1" s="1"/>
  <c r="F502" i="1"/>
  <c r="H502" i="1" s="1"/>
  <c r="F503" i="1"/>
  <c r="F504" i="1"/>
  <c r="H504" i="1" s="1"/>
  <c r="F505" i="1"/>
  <c r="F506" i="1"/>
  <c r="F507" i="1"/>
  <c r="F508" i="1"/>
  <c r="F509" i="1"/>
  <c r="H509" i="1" s="1"/>
  <c r="F510" i="1"/>
  <c r="H510" i="1" s="1"/>
  <c r="F511" i="1"/>
  <c r="F512" i="1"/>
  <c r="G512" i="1" s="1"/>
  <c r="F513" i="1"/>
  <c r="G513" i="1" s="1"/>
  <c r="F514" i="1"/>
  <c r="F515" i="1"/>
  <c r="F516" i="1"/>
  <c r="F517" i="1"/>
  <c r="H517" i="1" s="1"/>
  <c r="F518" i="1"/>
  <c r="H518" i="1" s="1"/>
  <c r="F519" i="1"/>
  <c r="F520" i="1"/>
  <c r="H520" i="1" s="1"/>
  <c r="F521" i="1"/>
  <c r="H521" i="1" s="1"/>
  <c r="F522" i="1"/>
  <c r="F523" i="1"/>
  <c r="F524" i="1"/>
  <c r="F525" i="1"/>
  <c r="H525" i="1" s="1"/>
  <c r="F526" i="1"/>
  <c r="H526" i="1" s="1"/>
  <c r="F527" i="1"/>
  <c r="F528" i="1"/>
  <c r="G528" i="1" s="1"/>
  <c r="F529" i="1"/>
  <c r="G529" i="1" s="1"/>
  <c r="F530" i="1"/>
  <c r="F531" i="1"/>
  <c r="F532" i="1"/>
  <c r="F533" i="1"/>
  <c r="H533" i="1" s="1"/>
  <c r="F534" i="1"/>
  <c r="H534" i="1" s="1"/>
  <c r="F535" i="1"/>
  <c r="F536" i="1"/>
  <c r="H536" i="1" s="1"/>
  <c r="F537" i="1"/>
  <c r="G537" i="1" s="1"/>
  <c r="F538" i="1"/>
  <c r="F539" i="1"/>
  <c r="F540" i="1"/>
  <c r="F541" i="1"/>
  <c r="H541" i="1" s="1"/>
  <c r="F542" i="1"/>
  <c r="H542" i="1" s="1"/>
  <c r="F543" i="1"/>
  <c r="F544" i="1"/>
  <c r="G544" i="1" s="1"/>
  <c r="F545" i="1"/>
  <c r="F546" i="1"/>
  <c r="F547" i="1"/>
  <c r="F548" i="1"/>
  <c r="F549" i="1"/>
  <c r="H549" i="1" s="1"/>
  <c r="F550" i="1"/>
  <c r="H550" i="1" s="1"/>
  <c r="F551" i="1"/>
  <c r="F552" i="1"/>
  <c r="H552" i="1" s="1"/>
  <c r="F553" i="1"/>
  <c r="F554" i="1"/>
  <c r="F555" i="1"/>
  <c r="F556" i="1"/>
  <c r="F557" i="1"/>
  <c r="H557" i="1" s="1"/>
  <c r="F558" i="1"/>
  <c r="H558" i="1" s="1"/>
  <c r="F559" i="1"/>
  <c r="F560" i="1"/>
  <c r="G560" i="1" s="1"/>
  <c r="F561" i="1"/>
  <c r="H561" i="1" s="1"/>
  <c r="F562" i="1"/>
  <c r="F563" i="1"/>
  <c r="F564" i="1"/>
  <c r="F565" i="1"/>
  <c r="H565" i="1" s="1"/>
  <c r="F566" i="1"/>
  <c r="H566" i="1" s="1"/>
  <c r="F567" i="1"/>
  <c r="F568" i="1"/>
  <c r="H568" i="1" s="1"/>
  <c r="F569" i="1"/>
  <c r="H569" i="1" s="1"/>
  <c r="F570" i="1"/>
  <c r="F571" i="1"/>
  <c r="F572" i="1"/>
  <c r="F573" i="1"/>
  <c r="H573" i="1" s="1"/>
  <c r="F574" i="1"/>
  <c r="H574" i="1" s="1"/>
  <c r="F575" i="1"/>
  <c r="F576" i="1"/>
  <c r="G576" i="1" s="1"/>
  <c r="F577" i="1"/>
  <c r="G577" i="1" s="1"/>
  <c r="F578" i="1"/>
  <c r="F579" i="1"/>
  <c r="F580" i="1"/>
  <c r="F581" i="1"/>
  <c r="H581" i="1" s="1"/>
  <c r="F582" i="1"/>
  <c r="H582" i="1" s="1"/>
  <c r="F583" i="1"/>
  <c r="F584" i="1"/>
  <c r="H584" i="1" s="1"/>
  <c r="F585" i="1"/>
  <c r="G585" i="1" s="1"/>
  <c r="F586" i="1"/>
  <c r="F587" i="1"/>
  <c r="F588" i="1"/>
  <c r="F589" i="1"/>
  <c r="H589" i="1" s="1"/>
  <c r="F590" i="1"/>
  <c r="H590" i="1" s="1"/>
  <c r="F591" i="1"/>
  <c r="F592" i="1"/>
  <c r="G592" i="1" s="1"/>
  <c r="F593" i="1"/>
  <c r="F594" i="1"/>
  <c r="F595" i="1"/>
  <c r="F2" i="1"/>
  <c r="D595" i="1"/>
  <c r="D594" i="1"/>
  <c r="D593" i="1"/>
  <c r="E593" i="1" s="1"/>
  <c r="D592" i="1"/>
  <c r="D591" i="1"/>
  <c r="D590" i="1"/>
  <c r="D589" i="1"/>
  <c r="D588" i="1"/>
  <c r="D587" i="1"/>
  <c r="D586" i="1"/>
  <c r="D585" i="1"/>
  <c r="D584" i="1"/>
  <c r="E584" i="1" s="1"/>
  <c r="D583" i="1"/>
  <c r="D582" i="1"/>
  <c r="D581" i="1"/>
  <c r="D580" i="1"/>
  <c r="D579" i="1"/>
  <c r="D578" i="1"/>
  <c r="D577" i="1"/>
  <c r="D576" i="1"/>
  <c r="E579" i="1" s="1"/>
  <c r="D575" i="1"/>
  <c r="D574" i="1"/>
  <c r="E575" i="1" s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E552" i="1" s="1"/>
  <c r="D550" i="1"/>
  <c r="D549" i="1"/>
  <c r="D548" i="1"/>
  <c r="E548" i="1" s="1"/>
  <c r="D547" i="1"/>
  <c r="E547" i="1" s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E520" i="1" s="1"/>
  <c r="D518" i="1"/>
  <c r="D517" i="1"/>
  <c r="D516" i="1"/>
  <c r="D515" i="1"/>
  <c r="D514" i="1"/>
  <c r="D513" i="1"/>
  <c r="D512" i="1"/>
  <c r="E514" i="1" s="1"/>
  <c r="D511" i="1"/>
  <c r="E511" i="1" s="1"/>
  <c r="D510" i="1"/>
  <c r="D509" i="1"/>
  <c r="D508" i="1"/>
  <c r="D507" i="1"/>
  <c r="D506" i="1"/>
  <c r="D505" i="1"/>
  <c r="E505" i="1" s="1"/>
  <c r="D504" i="1"/>
  <c r="D503" i="1"/>
  <c r="D502" i="1"/>
  <c r="D501" i="1"/>
  <c r="D500" i="1"/>
  <c r="D499" i="1"/>
  <c r="D498" i="1"/>
  <c r="D497" i="1"/>
  <c r="D496" i="1"/>
  <c r="D495" i="1"/>
  <c r="E495" i="1" s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E481" i="1" s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E456" i="1" s="1"/>
  <c r="D455" i="1"/>
  <c r="E455" i="1" s="1"/>
  <c r="D454" i="1"/>
  <c r="E454" i="1" s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E410" i="1" s="1"/>
  <c r="D409" i="1"/>
  <c r="D408" i="1"/>
  <c r="D407" i="1"/>
  <c r="D406" i="1"/>
  <c r="D405" i="1"/>
  <c r="D404" i="1"/>
  <c r="D403" i="1"/>
  <c r="D402" i="1"/>
  <c r="D401" i="1"/>
  <c r="D400" i="1"/>
  <c r="D399" i="1"/>
  <c r="D398" i="1"/>
  <c r="E399" i="1" s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E385" i="1" s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E365" i="1" s="1"/>
  <c r="D364" i="1"/>
  <c r="D363" i="1"/>
  <c r="D362" i="1"/>
  <c r="D361" i="1"/>
  <c r="D360" i="1"/>
  <c r="D359" i="1"/>
  <c r="D358" i="1"/>
  <c r="E358" i="1" s="1"/>
  <c r="D357" i="1"/>
  <c r="D356" i="1"/>
  <c r="D355" i="1"/>
  <c r="D354" i="1"/>
  <c r="E354" i="1" s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E279" i="1" s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E223" i="1" s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E210" i="1" s="1"/>
  <c r="D209" i="1"/>
  <c r="E209" i="1" s="1"/>
  <c r="D208" i="1"/>
  <c r="D207" i="1"/>
  <c r="D206" i="1"/>
  <c r="D205" i="1"/>
  <c r="E205" i="1" s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E170" i="1" s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E146" i="1" s="1"/>
  <c r="D145" i="1"/>
  <c r="E145" i="1" s="1"/>
  <c r="D144" i="1"/>
  <c r="D143" i="1"/>
  <c r="D142" i="1"/>
  <c r="D141" i="1"/>
  <c r="D140" i="1"/>
  <c r="D139" i="1"/>
  <c r="D138" i="1"/>
  <c r="D137" i="1"/>
  <c r="D136" i="1"/>
  <c r="D135" i="1"/>
  <c r="D134" i="1"/>
  <c r="D133" i="1"/>
  <c r="E133" i="1" s="1"/>
  <c r="D132" i="1"/>
  <c r="D131" i="1"/>
  <c r="D130" i="1"/>
  <c r="D129" i="1"/>
  <c r="D128" i="1"/>
  <c r="D127" i="1"/>
  <c r="D126" i="1"/>
  <c r="E126" i="1" s="1"/>
  <c r="D125" i="1"/>
  <c r="D124" i="1"/>
  <c r="D123" i="1"/>
  <c r="D122" i="1"/>
  <c r="D121" i="1"/>
  <c r="D120" i="1"/>
  <c r="D119" i="1"/>
  <c r="D118" i="1"/>
  <c r="E118" i="1" s="1"/>
  <c r="D117" i="1"/>
  <c r="D116" i="1"/>
  <c r="D115" i="1"/>
  <c r="D114" i="1"/>
  <c r="D113" i="1"/>
  <c r="D112" i="1"/>
  <c r="E114" i="1" s="1"/>
  <c r="D111" i="1"/>
  <c r="D110" i="1"/>
  <c r="D109" i="1"/>
  <c r="D108" i="1"/>
  <c r="D107" i="1"/>
  <c r="D106" i="1"/>
  <c r="D105" i="1"/>
  <c r="D104" i="1"/>
  <c r="D103" i="1"/>
  <c r="D102" i="1"/>
  <c r="E103" i="1" s="1"/>
  <c r="D101" i="1"/>
  <c r="D100" i="1"/>
  <c r="D99" i="1"/>
  <c r="D98" i="1"/>
  <c r="E98" i="1" s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E83" i="1" s="1"/>
  <c r="D82" i="1"/>
  <c r="D81" i="1"/>
  <c r="D80" i="1"/>
  <c r="D79" i="1"/>
  <c r="D78" i="1"/>
  <c r="D77" i="1"/>
  <c r="D76" i="1"/>
  <c r="E76" i="1" s="1"/>
  <c r="D75" i="1"/>
  <c r="D74" i="1"/>
  <c r="D73" i="1"/>
  <c r="E73" i="1" s="1"/>
  <c r="D72" i="1"/>
  <c r="D71" i="1"/>
  <c r="D70" i="1"/>
  <c r="D69" i="1"/>
  <c r="D68" i="1"/>
  <c r="D67" i="1"/>
  <c r="D66" i="1"/>
  <c r="D65" i="1"/>
  <c r="D64" i="1"/>
  <c r="E66" i="1" s="1"/>
  <c r="D63" i="1"/>
  <c r="D62" i="1"/>
  <c r="D61" i="1"/>
  <c r="D60" i="1"/>
  <c r="D59" i="1"/>
  <c r="D58" i="1"/>
  <c r="E58" i="1" s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E45" i="1" s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E17" i="1" s="1"/>
  <c r="D16" i="1"/>
  <c r="D15" i="1"/>
  <c r="D14" i="1"/>
  <c r="E14" i="1" s="1"/>
  <c r="D13" i="1"/>
  <c r="E13" i="1" s="1"/>
  <c r="D12" i="1"/>
  <c r="D11" i="1"/>
  <c r="D10" i="1"/>
  <c r="D9" i="1"/>
  <c r="D8" i="1"/>
  <c r="D7" i="1"/>
  <c r="D6" i="1"/>
  <c r="D5" i="1"/>
  <c r="D4" i="1"/>
  <c r="D3" i="1"/>
  <c r="E3" i="1" s="1"/>
  <c r="E2" i="1" l="1"/>
  <c r="E10" i="1"/>
  <c r="E69" i="1"/>
  <c r="E508" i="1"/>
  <c r="E182" i="1"/>
  <c r="E20" i="1"/>
  <c r="E158" i="1"/>
  <c r="E40" i="1"/>
  <c r="E38" i="1"/>
  <c r="E61" i="1"/>
  <c r="E486" i="1"/>
  <c r="E307" i="1"/>
  <c r="E173" i="1"/>
  <c r="E153" i="1"/>
  <c r="E85" i="1"/>
  <c r="E123" i="1"/>
  <c r="E591" i="1"/>
  <c r="E110" i="1"/>
  <c r="E142" i="1"/>
  <c r="E371" i="1"/>
  <c r="E19" i="1"/>
  <c r="E302" i="1"/>
  <c r="E326" i="1"/>
  <c r="E334" i="1"/>
  <c r="E414" i="1"/>
  <c r="E485" i="1"/>
  <c r="E555" i="1"/>
  <c r="E515" i="1"/>
  <c r="E15" i="1"/>
  <c r="E47" i="1"/>
  <c r="E517" i="1"/>
  <c r="E35" i="1"/>
  <c r="E23" i="1"/>
  <c r="E33" i="1"/>
  <c r="E251" i="1"/>
  <c r="E273" i="1"/>
  <c r="E297" i="1"/>
  <c r="E461" i="1"/>
  <c r="E509" i="1"/>
  <c r="E541" i="1"/>
  <c r="E549" i="1"/>
  <c r="G429" i="1"/>
  <c r="E63" i="1"/>
  <c r="E390" i="1"/>
  <c r="E534" i="1"/>
  <c r="E556" i="1"/>
  <c r="E25" i="1"/>
  <c r="E86" i="1"/>
  <c r="E415" i="1"/>
  <c r="E488" i="1"/>
  <c r="E529" i="1"/>
  <c r="E5" i="1"/>
  <c r="E18" i="1"/>
  <c r="E72" i="1"/>
  <c r="E102" i="1"/>
  <c r="E215" i="1"/>
  <c r="E378" i="1"/>
  <c r="E471" i="1"/>
  <c r="E537" i="1"/>
  <c r="E568" i="1"/>
  <c r="E583" i="1"/>
  <c r="E36" i="1"/>
  <c r="E60" i="1"/>
  <c r="E540" i="1"/>
  <c r="E135" i="1"/>
  <c r="E193" i="1"/>
  <c r="E233" i="1"/>
  <c r="E333" i="1"/>
  <c r="E503" i="1"/>
  <c r="E587" i="1"/>
  <c r="E42" i="1"/>
  <c r="E301" i="1"/>
  <c r="E426" i="1"/>
  <c r="E487" i="1"/>
  <c r="E578" i="1"/>
  <c r="G170" i="1"/>
  <c r="G46" i="1"/>
  <c r="H128" i="1"/>
  <c r="E31" i="1"/>
  <c r="E77" i="1"/>
  <c r="E139" i="1"/>
  <c r="E174" i="1"/>
  <c r="E222" i="1"/>
  <c r="E298" i="1"/>
  <c r="E306" i="1"/>
  <c r="E413" i="1"/>
  <c r="E507" i="1"/>
  <c r="E536" i="1"/>
  <c r="E550" i="1"/>
  <c r="E581" i="1"/>
  <c r="H121" i="1"/>
  <c r="E46" i="1"/>
  <c r="E4" i="1"/>
  <c r="E7" i="1"/>
  <c r="E6" i="1"/>
  <c r="E134" i="1"/>
  <c r="E154" i="1"/>
  <c r="E155" i="1"/>
  <c r="E275" i="1"/>
  <c r="E274" i="1"/>
  <c r="E369" i="1"/>
  <c r="E546" i="1"/>
  <c r="E90" i="1"/>
  <c r="E94" i="1"/>
  <c r="E95" i="1"/>
  <c r="E234" i="1"/>
  <c r="E235" i="1"/>
  <c r="E437" i="1"/>
  <c r="E438" i="1"/>
  <c r="E52" i="1"/>
  <c r="E75" i="1"/>
  <c r="E74" i="1"/>
  <c r="E194" i="1"/>
  <c r="E214" i="1"/>
  <c r="E221" i="1"/>
  <c r="E370" i="1"/>
  <c r="E377" i="1"/>
  <c r="E504" i="1"/>
  <c r="E539" i="1"/>
  <c r="G425" i="1"/>
  <c r="H425" i="1"/>
  <c r="G417" i="1"/>
  <c r="H417" i="1"/>
  <c r="H409" i="1"/>
  <c r="G409" i="1"/>
  <c r="G377" i="1"/>
  <c r="H377" i="1"/>
  <c r="H369" i="1"/>
  <c r="G369" i="1"/>
  <c r="G337" i="1"/>
  <c r="H337" i="1"/>
  <c r="G465" i="1"/>
  <c r="H465" i="1"/>
  <c r="E87" i="1"/>
  <c r="E165" i="1"/>
  <c r="E167" i="1"/>
  <c r="E166" i="1"/>
  <c r="E263" i="1"/>
  <c r="E261" i="1"/>
  <c r="E262" i="1"/>
  <c r="E27" i="1"/>
  <c r="E26" i="1"/>
  <c r="E55" i="1"/>
  <c r="E62" i="1"/>
  <c r="E195" i="1"/>
  <c r="E287" i="1"/>
  <c r="E286" i="1"/>
  <c r="E53" i="1"/>
  <c r="E54" i="1"/>
  <c r="E570" i="1"/>
  <c r="E572" i="1"/>
  <c r="E571" i="1"/>
  <c r="E67" i="1"/>
  <c r="E462" i="1"/>
  <c r="E463" i="1"/>
  <c r="E491" i="1"/>
  <c r="E34" i="1"/>
  <c r="E56" i="1"/>
  <c r="E119" i="1"/>
  <c r="E122" i="1"/>
  <c r="E132" i="1"/>
  <c r="E162" i="1"/>
  <c r="E159" i="1"/>
  <c r="E285" i="1"/>
  <c r="E457" i="1"/>
  <c r="E458" i="1"/>
  <c r="E521" i="1"/>
  <c r="E523" i="1"/>
  <c r="E522" i="1"/>
  <c r="G593" i="1"/>
  <c r="H593" i="1"/>
  <c r="G553" i="1"/>
  <c r="H553" i="1"/>
  <c r="G545" i="1"/>
  <c r="H545" i="1"/>
  <c r="G505" i="1"/>
  <c r="H505" i="1"/>
  <c r="E49" i="1"/>
  <c r="E79" i="1"/>
  <c r="E78" i="1"/>
  <c r="E91" i="1"/>
  <c r="E389" i="1"/>
  <c r="E483" i="1"/>
  <c r="E482" i="1"/>
  <c r="E502" i="1"/>
  <c r="G574" i="1"/>
  <c r="G526" i="1"/>
  <c r="G470" i="1"/>
  <c r="G430" i="1"/>
  <c r="G327" i="1"/>
  <c r="G194" i="1"/>
  <c r="G79" i="1"/>
  <c r="H336" i="1"/>
  <c r="H161" i="1"/>
  <c r="G566" i="1"/>
  <c r="G518" i="1"/>
  <c r="G469" i="1"/>
  <c r="G311" i="1"/>
  <c r="G191" i="1"/>
  <c r="H297" i="1"/>
  <c r="E12" i="1"/>
  <c r="E37" i="1"/>
  <c r="E48" i="1"/>
  <c r="E64" i="1"/>
  <c r="E138" i="1"/>
  <c r="E143" i="1"/>
  <c r="E305" i="1"/>
  <c r="E425" i="1"/>
  <c r="E470" i="1"/>
  <c r="E489" i="1"/>
  <c r="E506" i="1"/>
  <c r="E553" i="1"/>
  <c r="E582" i="1"/>
  <c r="G565" i="1"/>
  <c r="G510" i="1"/>
  <c r="G462" i="1"/>
  <c r="G416" i="1"/>
  <c r="G295" i="1"/>
  <c r="G39" i="1"/>
  <c r="H464" i="1"/>
  <c r="H289" i="1"/>
  <c r="G558" i="1"/>
  <c r="G502" i="1"/>
  <c r="G454" i="1"/>
  <c r="G279" i="1"/>
  <c r="G151" i="1"/>
  <c r="H256" i="1"/>
  <c r="H81" i="1"/>
  <c r="E147" i="1"/>
  <c r="E16" i="1"/>
  <c r="E32" i="1"/>
  <c r="E68" i="1"/>
  <c r="E84" i="1"/>
  <c r="E99" i="1"/>
  <c r="E249" i="1"/>
  <c r="E398" i="1"/>
  <c r="E492" i="1"/>
  <c r="E535" i="1"/>
  <c r="E250" i="1"/>
  <c r="E513" i="1"/>
  <c r="E65" i="1"/>
  <c r="E127" i="1"/>
  <c r="E152" i="1"/>
  <c r="E533" i="1"/>
  <c r="E543" i="1"/>
  <c r="E554" i="1"/>
  <c r="E567" i="1"/>
  <c r="E588" i="1"/>
  <c r="G550" i="1"/>
  <c r="G501" i="1"/>
  <c r="G446" i="1"/>
  <c r="G408" i="1"/>
  <c r="G263" i="1"/>
  <c r="G130" i="1"/>
  <c r="H592" i="1"/>
  <c r="H249" i="1"/>
  <c r="H80" i="1"/>
  <c r="E178" i="1"/>
  <c r="E551" i="1"/>
  <c r="E590" i="1"/>
  <c r="E325" i="1"/>
  <c r="E477" i="1"/>
  <c r="E500" i="1"/>
  <c r="E560" i="1"/>
  <c r="E44" i="1"/>
  <c r="E111" i="1"/>
  <c r="E28" i="1"/>
  <c r="E115" i="1"/>
  <c r="E8" i="1"/>
  <c r="E24" i="1"/>
  <c r="E140" i="1"/>
  <c r="E473" i="1"/>
  <c r="E480" i="1"/>
  <c r="E496" i="1"/>
  <c r="E519" i="1"/>
  <c r="E524" i="1"/>
  <c r="E573" i="1"/>
  <c r="E585" i="1"/>
  <c r="G542" i="1"/>
  <c r="G494" i="1"/>
  <c r="G445" i="1"/>
  <c r="G384" i="1"/>
  <c r="G247" i="1"/>
  <c r="G127" i="1"/>
  <c r="H209" i="1"/>
  <c r="H41" i="1"/>
  <c r="G590" i="1"/>
  <c r="G534" i="1"/>
  <c r="G486" i="1"/>
  <c r="G438" i="1"/>
  <c r="G231" i="1"/>
  <c r="G106" i="1"/>
  <c r="H208" i="1"/>
  <c r="H33" i="1"/>
  <c r="G582" i="1"/>
  <c r="G533" i="1"/>
  <c r="G478" i="1"/>
  <c r="G437" i="1"/>
  <c r="G343" i="1"/>
  <c r="G215" i="1"/>
  <c r="G87" i="1"/>
  <c r="H512" i="1"/>
  <c r="H169" i="1"/>
  <c r="E172" i="1"/>
  <c r="E171" i="1"/>
  <c r="E184" i="1"/>
  <c r="E183" i="1"/>
  <c r="E192" i="1"/>
  <c r="E191" i="1"/>
  <c r="E216" i="1"/>
  <c r="E218" i="1"/>
  <c r="E217" i="1"/>
  <c r="E269" i="1"/>
  <c r="E268" i="1"/>
  <c r="E267" i="1"/>
  <c r="E266" i="1"/>
  <c r="E280" i="1"/>
  <c r="E281" i="1"/>
  <c r="E332" i="1"/>
  <c r="E331" i="1"/>
  <c r="E361" i="1"/>
  <c r="E360" i="1"/>
  <c r="E359" i="1"/>
  <c r="E373" i="1"/>
  <c r="E372" i="1"/>
  <c r="E374" i="1"/>
  <c r="E412" i="1"/>
  <c r="E411" i="1"/>
  <c r="E9" i="1"/>
  <c r="E41" i="1"/>
  <c r="E50" i="1"/>
  <c r="E59" i="1"/>
  <c r="E130" i="1"/>
  <c r="E150" i="1"/>
  <c r="E160" i="1"/>
  <c r="E161" i="1"/>
  <c r="E197" i="1"/>
  <c r="E196" i="1"/>
  <c r="E198" i="1"/>
  <c r="E204" i="1"/>
  <c r="E203" i="1"/>
  <c r="E202" i="1"/>
  <c r="E229" i="1"/>
  <c r="E228" i="1"/>
  <c r="E227" i="1"/>
  <c r="E226" i="1"/>
  <c r="E293" i="1"/>
  <c r="E292" i="1"/>
  <c r="E294" i="1"/>
  <c r="E304" i="1"/>
  <c r="E303" i="1"/>
  <c r="E405" i="1"/>
  <c r="E404" i="1"/>
  <c r="E403" i="1"/>
  <c r="E417" i="1"/>
  <c r="E416" i="1"/>
  <c r="E421" i="1"/>
  <c r="E424" i="1"/>
  <c r="E423" i="1"/>
  <c r="E422" i="1"/>
  <c r="E445" i="1"/>
  <c r="E444" i="1"/>
  <c r="E443" i="1"/>
  <c r="E442" i="1"/>
  <c r="E453" i="1"/>
  <c r="E452" i="1"/>
  <c r="E88" i="1"/>
  <c r="E89" i="1"/>
  <c r="E51" i="1"/>
  <c r="E131" i="1"/>
  <c r="E136" i="1"/>
  <c r="E137" i="1"/>
  <c r="E151" i="1"/>
  <c r="E157" i="1"/>
  <c r="E156" i="1"/>
  <c r="E256" i="1"/>
  <c r="E260" i="1"/>
  <c r="E259" i="1"/>
  <c r="E258" i="1"/>
  <c r="E257" i="1"/>
  <c r="E300" i="1"/>
  <c r="E299" i="1"/>
  <c r="E368" i="1"/>
  <c r="E367" i="1"/>
  <c r="E366" i="1"/>
  <c r="E393" i="1"/>
  <c r="E392" i="1"/>
  <c r="E391" i="1"/>
  <c r="E433" i="1"/>
  <c r="E432" i="1"/>
  <c r="E431" i="1"/>
  <c r="E434" i="1"/>
  <c r="E104" i="1"/>
  <c r="E105" i="1"/>
  <c r="E120" i="1"/>
  <c r="E121" i="1"/>
  <c r="E70" i="1"/>
  <c r="E101" i="1"/>
  <c r="E100" i="1"/>
  <c r="E117" i="1"/>
  <c r="E116" i="1"/>
  <c r="E213" i="1"/>
  <c r="E212" i="1"/>
  <c r="E211" i="1"/>
  <c r="E237" i="1"/>
  <c r="E236" i="1"/>
  <c r="E239" i="1"/>
  <c r="E238" i="1"/>
  <c r="E245" i="1"/>
  <c r="E244" i="1"/>
  <c r="E243" i="1"/>
  <c r="E313" i="1"/>
  <c r="E312" i="1"/>
  <c r="E311" i="1"/>
  <c r="E341" i="1"/>
  <c r="E340" i="1"/>
  <c r="E343" i="1"/>
  <c r="E339" i="1"/>
  <c r="E342" i="1"/>
  <c r="E338" i="1"/>
  <c r="E349" i="1"/>
  <c r="E348" i="1"/>
  <c r="E347" i="1"/>
  <c r="E381" i="1"/>
  <c r="E380" i="1"/>
  <c r="E379" i="1"/>
  <c r="E465" i="1"/>
  <c r="E464" i="1"/>
  <c r="E466" i="1"/>
  <c r="E11" i="1"/>
  <c r="E43" i="1"/>
  <c r="E57" i="1"/>
  <c r="E80" i="1"/>
  <c r="E81" i="1"/>
  <c r="E106" i="1"/>
  <c r="E168" i="1"/>
  <c r="E169" i="1"/>
  <c r="E181" i="1"/>
  <c r="E180" i="1"/>
  <c r="E179" i="1"/>
  <c r="E200" i="1"/>
  <c r="E199" i="1"/>
  <c r="E201" i="1"/>
  <c r="E224" i="1"/>
  <c r="E225" i="1"/>
  <c r="E232" i="1"/>
  <c r="E231" i="1"/>
  <c r="E230" i="1"/>
  <c r="E277" i="1"/>
  <c r="E276" i="1"/>
  <c r="E278" i="1"/>
  <c r="E288" i="1"/>
  <c r="E291" i="1"/>
  <c r="E290" i="1"/>
  <c r="E289" i="1"/>
  <c r="E296" i="1"/>
  <c r="E295" i="1"/>
  <c r="E357" i="1"/>
  <c r="E356" i="1"/>
  <c r="E355" i="1"/>
  <c r="E388" i="1"/>
  <c r="E387" i="1"/>
  <c r="E386" i="1"/>
  <c r="E401" i="1"/>
  <c r="E400" i="1"/>
  <c r="E402" i="1"/>
  <c r="E409" i="1"/>
  <c r="E408" i="1"/>
  <c r="E407" i="1"/>
  <c r="E406" i="1"/>
  <c r="E420" i="1"/>
  <c r="E419" i="1"/>
  <c r="E418" i="1"/>
  <c r="E441" i="1"/>
  <c r="E440" i="1"/>
  <c r="E439" i="1"/>
  <c r="E449" i="1"/>
  <c r="E448" i="1"/>
  <c r="E451" i="1"/>
  <c r="E447" i="1"/>
  <c r="E450" i="1"/>
  <c r="E446" i="1"/>
  <c r="E460" i="1"/>
  <c r="E459" i="1"/>
  <c r="E29" i="1"/>
  <c r="E21" i="1"/>
  <c r="E30" i="1"/>
  <c r="E39" i="1"/>
  <c r="E71" i="1"/>
  <c r="E96" i="1"/>
  <c r="E97" i="1"/>
  <c r="E112" i="1"/>
  <c r="E113" i="1"/>
  <c r="E128" i="1"/>
  <c r="E129" i="1"/>
  <c r="E149" i="1"/>
  <c r="E148" i="1"/>
  <c r="E164" i="1"/>
  <c r="E163" i="1"/>
  <c r="E189" i="1"/>
  <c r="E188" i="1"/>
  <c r="E187" i="1"/>
  <c r="E190" i="1"/>
  <c r="E186" i="1"/>
  <c r="E185" i="1"/>
  <c r="E208" i="1"/>
  <c r="E207" i="1"/>
  <c r="E206" i="1"/>
  <c r="E220" i="1"/>
  <c r="E219" i="1"/>
  <c r="E264" i="1"/>
  <c r="E265" i="1"/>
  <c r="E272" i="1"/>
  <c r="E271" i="1"/>
  <c r="E270" i="1"/>
  <c r="E284" i="1"/>
  <c r="E283" i="1"/>
  <c r="E282" i="1"/>
  <c r="E329" i="1"/>
  <c r="E328" i="1"/>
  <c r="E327" i="1"/>
  <c r="E330" i="1"/>
  <c r="E364" i="1"/>
  <c r="E363" i="1"/>
  <c r="E362" i="1"/>
  <c r="E376" i="1"/>
  <c r="E375" i="1"/>
  <c r="E107" i="1"/>
  <c r="E141" i="1"/>
  <c r="E144" i="1"/>
  <c r="E253" i="1"/>
  <c r="E252" i="1"/>
  <c r="E255" i="1"/>
  <c r="E254" i="1"/>
  <c r="E397" i="1"/>
  <c r="E396" i="1"/>
  <c r="E395" i="1"/>
  <c r="E394" i="1"/>
  <c r="E429" i="1"/>
  <c r="E428" i="1"/>
  <c r="E427" i="1"/>
  <c r="E430" i="1"/>
  <c r="E436" i="1"/>
  <c r="E435" i="1"/>
  <c r="E22" i="1"/>
  <c r="E82" i="1"/>
  <c r="E93" i="1"/>
  <c r="E92" i="1"/>
  <c r="E109" i="1"/>
  <c r="E108" i="1"/>
  <c r="E125" i="1"/>
  <c r="E124" i="1"/>
  <c r="E176" i="1"/>
  <c r="E175" i="1"/>
  <c r="E177" i="1"/>
  <c r="E240" i="1"/>
  <c r="E242" i="1"/>
  <c r="E241" i="1"/>
  <c r="E248" i="1"/>
  <c r="E247" i="1"/>
  <c r="E246" i="1"/>
  <c r="E309" i="1"/>
  <c r="E308" i="1"/>
  <c r="E310" i="1"/>
  <c r="E321" i="1"/>
  <c r="E317" i="1"/>
  <c r="E320" i="1"/>
  <c r="E316" i="1"/>
  <c r="E319" i="1"/>
  <c r="E315" i="1"/>
  <c r="E314" i="1"/>
  <c r="E318" i="1"/>
  <c r="E324" i="1"/>
  <c r="E323" i="1"/>
  <c r="E322" i="1"/>
  <c r="E337" i="1"/>
  <c r="E336" i="1"/>
  <c r="E335" i="1"/>
  <c r="E345" i="1"/>
  <c r="E344" i="1"/>
  <c r="E346" i="1"/>
  <c r="E353" i="1"/>
  <c r="E352" i="1"/>
  <c r="E351" i="1"/>
  <c r="E350" i="1"/>
  <c r="E384" i="1"/>
  <c r="E383" i="1"/>
  <c r="E382" i="1"/>
  <c r="E469" i="1"/>
  <c r="E468" i="1"/>
  <c r="E467" i="1"/>
  <c r="E518" i="1"/>
  <c r="E527" i="1"/>
  <c r="E559" i="1"/>
  <c r="H2" i="1"/>
  <c r="G2" i="1"/>
  <c r="H588" i="1"/>
  <c r="G588" i="1"/>
  <c r="H580" i="1"/>
  <c r="G580" i="1"/>
  <c r="H572" i="1"/>
  <c r="G572" i="1"/>
  <c r="H564" i="1"/>
  <c r="G564" i="1"/>
  <c r="H556" i="1"/>
  <c r="G556" i="1"/>
  <c r="H548" i="1"/>
  <c r="G548" i="1"/>
  <c r="H540" i="1"/>
  <c r="G540" i="1"/>
  <c r="H532" i="1"/>
  <c r="G532" i="1"/>
  <c r="H524" i="1"/>
  <c r="G524" i="1"/>
  <c r="H516" i="1"/>
  <c r="G516" i="1"/>
  <c r="H508" i="1"/>
  <c r="G508" i="1"/>
  <c r="H500" i="1"/>
  <c r="G500" i="1"/>
  <c r="H492" i="1"/>
  <c r="G492" i="1"/>
  <c r="H484" i="1"/>
  <c r="G484" i="1"/>
  <c r="H476" i="1"/>
  <c r="G476" i="1"/>
  <c r="H468" i="1"/>
  <c r="G468" i="1"/>
  <c r="H460" i="1"/>
  <c r="G460" i="1"/>
  <c r="H452" i="1"/>
  <c r="G452" i="1"/>
  <c r="H444" i="1"/>
  <c r="G444" i="1"/>
  <c r="H436" i="1"/>
  <c r="G436" i="1"/>
  <c r="H428" i="1"/>
  <c r="G428" i="1"/>
  <c r="H420" i="1"/>
  <c r="G420" i="1"/>
  <c r="H412" i="1"/>
  <c r="G412" i="1"/>
  <c r="H404" i="1"/>
  <c r="G404" i="1"/>
  <c r="H396" i="1"/>
  <c r="G396" i="1"/>
  <c r="H388" i="1"/>
  <c r="G388" i="1"/>
  <c r="H380" i="1"/>
  <c r="G380" i="1"/>
  <c r="H372" i="1"/>
  <c r="G372" i="1"/>
  <c r="H364" i="1"/>
  <c r="G364" i="1"/>
  <c r="H356" i="1"/>
  <c r="G356" i="1"/>
  <c r="H348" i="1"/>
  <c r="G348" i="1"/>
  <c r="H340" i="1"/>
  <c r="G340" i="1"/>
  <c r="H332" i="1"/>
  <c r="G332" i="1"/>
  <c r="H324" i="1"/>
  <c r="G324" i="1"/>
  <c r="H316" i="1"/>
  <c r="G316" i="1"/>
  <c r="H308" i="1"/>
  <c r="G308" i="1"/>
  <c r="H300" i="1"/>
  <c r="G300" i="1"/>
  <c r="H292" i="1"/>
  <c r="G292" i="1"/>
  <c r="H284" i="1"/>
  <c r="G284" i="1"/>
  <c r="H276" i="1"/>
  <c r="G276" i="1"/>
  <c r="H268" i="1"/>
  <c r="G268" i="1"/>
  <c r="H260" i="1"/>
  <c r="G260" i="1"/>
  <c r="H252" i="1"/>
  <c r="G252" i="1"/>
  <c r="H244" i="1"/>
  <c r="G244" i="1"/>
  <c r="H236" i="1"/>
  <c r="G236" i="1"/>
  <c r="H228" i="1"/>
  <c r="G228" i="1"/>
  <c r="H220" i="1"/>
  <c r="G220" i="1"/>
  <c r="H212" i="1"/>
  <c r="G212" i="1"/>
  <c r="H204" i="1"/>
  <c r="G204" i="1"/>
  <c r="H196" i="1"/>
  <c r="G196" i="1"/>
  <c r="H188" i="1"/>
  <c r="G188" i="1"/>
  <c r="H180" i="1"/>
  <c r="G180" i="1"/>
  <c r="H172" i="1"/>
  <c r="G172" i="1"/>
  <c r="H164" i="1"/>
  <c r="G164" i="1"/>
  <c r="H156" i="1"/>
  <c r="G156" i="1"/>
  <c r="H148" i="1"/>
  <c r="G148" i="1"/>
  <c r="H140" i="1"/>
  <c r="G140" i="1"/>
  <c r="H132" i="1"/>
  <c r="G132" i="1"/>
  <c r="H124" i="1"/>
  <c r="G124" i="1"/>
  <c r="H116" i="1"/>
  <c r="G116" i="1"/>
  <c r="H108" i="1"/>
  <c r="G108" i="1"/>
  <c r="H100" i="1"/>
  <c r="G100" i="1"/>
  <c r="H92" i="1"/>
  <c r="G92" i="1"/>
  <c r="H84" i="1"/>
  <c r="G84" i="1"/>
  <c r="H76" i="1"/>
  <c r="G76" i="1"/>
  <c r="H68" i="1"/>
  <c r="G68" i="1"/>
  <c r="H60" i="1"/>
  <c r="G60" i="1"/>
  <c r="H52" i="1"/>
  <c r="G52" i="1"/>
  <c r="H44" i="1"/>
  <c r="G44" i="1"/>
  <c r="H36" i="1"/>
  <c r="G36" i="1"/>
  <c r="H28" i="1"/>
  <c r="G28" i="1"/>
  <c r="H20" i="1"/>
  <c r="G20" i="1"/>
  <c r="H12" i="1"/>
  <c r="G12" i="1"/>
  <c r="H4" i="1"/>
  <c r="G4" i="1"/>
  <c r="G395" i="1"/>
  <c r="G171" i="1"/>
  <c r="E474" i="1"/>
  <c r="E478" i="1"/>
  <c r="E532" i="1"/>
  <c r="E564" i="1"/>
  <c r="H595" i="1"/>
  <c r="G595" i="1"/>
  <c r="H587" i="1"/>
  <c r="G587" i="1"/>
  <c r="H579" i="1"/>
  <c r="G579" i="1"/>
  <c r="H571" i="1"/>
  <c r="G571" i="1"/>
  <c r="H563" i="1"/>
  <c r="G563" i="1"/>
  <c r="H555" i="1"/>
  <c r="G555" i="1"/>
  <c r="H547" i="1"/>
  <c r="G547" i="1"/>
  <c r="H539" i="1"/>
  <c r="G539" i="1"/>
  <c r="H531" i="1"/>
  <c r="G531" i="1"/>
  <c r="H523" i="1"/>
  <c r="G523" i="1"/>
  <c r="H515" i="1"/>
  <c r="G515" i="1"/>
  <c r="H507" i="1"/>
  <c r="G507" i="1"/>
  <c r="H499" i="1"/>
  <c r="G499" i="1"/>
  <c r="H491" i="1"/>
  <c r="G491" i="1"/>
  <c r="H483" i="1"/>
  <c r="G483" i="1"/>
  <c r="H475" i="1"/>
  <c r="G475" i="1"/>
  <c r="H467" i="1"/>
  <c r="G467" i="1"/>
  <c r="H459" i="1"/>
  <c r="G459" i="1"/>
  <c r="H451" i="1"/>
  <c r="G451" i="1"/>
  <c r="H443" i="1"/>
  <c r="G443" i="1"/>
  <c r="H435" i="1"/>
  <c r="G435" i="1"/>
  <c r="H427" i="1"/>
  <c r="G427" i="1"/>
  <c r="H411" i="1"/>
  <c r="G411" i="1"/>
  <c r="H403" i="1"/>
  <c r="G403" i="1"/>
  <c r="H387" i="1"/>
  <c r="G387" i="1"/>
  <c r="H379" i="1"/>
  <c r="G379" i="1"/>
  <c r="H371" i="1"/>
  <c r="G371" i="1"/>
  <c r="H363" i="1"/>
  <c r="G363" i="1"/>
  <c r="H355" i="1"/>
  <c r="G355" i="1"/>
  <c r="H347" i="1"/>
  <c r="G347" i="1"/>
  <c r="H339" i="1"/>
  <c r="G339" i="1"/>
  <c r="H331" i="1"/>
  <c r="G331" i="1"/>
  <c r="H323" i="1"/>
  <c r="G323" i="1"/>
  <c r="H315" i="1"/>
  <c r="G315" i="1"/>
  <c r="H307" i="1"/>
  <c r="G307" i="1"/>
  <c r="H299" i="1"/>
  <c r="G299" i="1"/>
  <c r="H291" i="1"/>
  <c r="G291" i="1"/>
  <c r="H283" i="1"/>
  <c r="G283" i="1"/>
  <c r="H275" i="1"/>
  <c r="G275" i="1"/>
  <c r="H267" i="1"/>
  <c r="G267" i="1"/>
  <c r="H259" i="1"/>
  <c r="G259" i="1"/>
  <c r="H251" i="1"/>
  <c r="G251" i="1"/>
  <c r="H243" i="1"/>
  <c r="G243" i="1"/>
  <c r="H235" i="1"/>
  <c r="G235" i="1"/>
  <c r="H227" i="1"/>
  <c r="G227" i="1"/>
  <c r="H219" i="1"/>
  <c r="G219" i="1"/>
  <c r="H211" i="1"/>
  <c r="G211" i="1"/>
  <c r="H203" i="1"/>
  <c r="G203" i="1"/>
  <c r="H195" i="1"/>
  <c r="G195" i="1"/>
  <c r="H187" i="1"/>
  <c r="G187" i="1"/>
  <c r="H179" i="1"/>
  <c r="G179" i="1"/>
  <c r="H163" i="1"/>
  <c r="G163" i="1"/>
  <c r="H155" i="1"/>
  <c r="G155" i="1"/>
  <c r="H147" i="1"/>
  <c r="G147" i="1"/>
  <c r="H139" i="1"/>
  <c r="G139" i="1"/>
  <c r="H131" i="1"/>
  <c r="G131" i="1"/>
  <c r="H123" i="1"/>
  <c r="G123" i="1"/>
  <c r="H115" i="1"/>
  <c r="G115" i="1"/>
  <c r="H99" i="1"/>
  <c r="G99" i="1"/>
  <c r="H91" i="1"/>
  <c r="G91" i="1"/>
  <c r="H83" i="1"/>
  <c r="G83" i="1"/>
  <c r="H75" i="1"/>
  <c r="G75" i="1"/>
  <c r="H67" i="1"/>
  <c r="G67" i="1"/>
  <c r="H59" i="1"/>
  <c r="G59" i="1"/>
  <c r="H51" i="1"/>
  <c r="G51" i="1"/>
  <c r="H43" i="1"/>
  <c r="G43" i="1"/>
  <c r="H35" i="1"/>
  <c r="G35" i="1"/>
  <c r="H27" i="1"/>
  <c r="G27" i="1"/>
  <c r="H19" i="1"/>
  <c r="G19" i="1"/>
  <c r="H11" i="1"/>
  <c r="G11" i="1"/>
  <c r="H3" i="1"/>
  <c r="G3" i="1"/>
  <c r="E493" i="1"/>
  <c r="E510" i="1"/>
  <c r="E525" i="1"/>
  <c r="E528" i="1"/>
  <c r="E542" i="1"/>
  <c r="E574" i="1"/>
  <c r="E589" i="1"/>
  <c r="E592" i="1"/>
  <c r="H594" i="1"/>
  <c r="G594" i="1"/>
  <c r="H586" i="1"/>
  <c r="G586" i="1"/>
  <c r="H578" i="1"/>
  <c r="G578" i="1"/>
  <c r="H570" i="1"/>
  <c r="G570" i="1"/>
  <c r="H562" i="1"/>
  <c r="G562" i="1"/>
  <c r="H554" i="1"/>
  <c r="G554" i="1"/>
  <c r="H546" i="1"/>
  <c r="G546" i="1"/>
  <c r="H538" i="1"/>
  <c r="G538" i="1"/>
  <c r="H530" i="1"/>
  <c r="G530" i="1"/>
  <c r="H522" i="1"/>
  <c r="G522" i="1"/>
  <c r="H514" i="1"/>
  <c r="G514" i="1"/>
  <c r="H506" i="1"/>
  <c r="G506" i="1"/>
  <c r="H498" i="1"/>
  <c r="G498" i="1"/>
  <c r="H490" i="1"/>
  <c r="G490" i="1"/>
  <c r="H482" i="1"/>
  <c r="G482" i="1"/>
  <c r="H474" i="1"/>
  <c r="G474" i="1"/>
  <c r="H466" i="1"/>
  <c r="G466" i="1"/>
  <c r="H458" i="1"/>
  <c r="G458" i="1"/>
  <c r="H450" i="1"/>
  <c r="G450" i="1"/>
  <c r="H442" i="1"/>
  <c r="G442" i="1"/>
  <c r="H434" i="1"/>
  <c r="G434" i="1"/>
  <c r="H426" i="1"/>
  <c r="G426" i="1"/>
  <c r="H418" i="1"/>
  <c r="G418" i="1"/>
  <c r="H410" i="1"/>
  <c r="G410" i="1"/>
  <c r="H402" i="1"/>
  <c r="G402" i="1"/>
  <c r="H394" i="1"/>
  <c r="G394" i="1"/>
  <c r="H386" i="1"/>
  <c r="G386" i="1"/>
  <c r="H378" i="1"/>
  <c r="G378" i="1"/>
  <c r="H362" i="1"/>
  <c r="G362" i="1"/>
  <c r="H354" i="1"/>
  <c r="G354" i="1"/>
  <c r="H346" i="1"/>
  <c r="G346" i="1"/>
  <c r="H338" i="1"/>
  <c r="G338" i="1"/>
  <c r="H330" i="1"/>
  <c r="G330" i="1"/>
  <c r="H322" i="1"/>
  <c r="G322" i="1"/>
  <c r="G370" i="1"/>
  <c r="E475" i="1"/>
  <c r="E479" i="1"/>
  <c r="E501" i="1"/>
  <c r="E497" i="1"/>
  <c r="E538" i="1"/>
  <c r="G589" i="1"/>
  <c r="G557" i="1"/>
  <c r="G525" i="1"/>
  <c r="G493" i="1"/>
  <c r="G461" i="1"/>
  <c r="G419" i="1"/>
  <c r="G359" i="1"/>
  <c r="E565" i="1"/>
  <c r="E561" i="1"/>
  <c r="E557" i="1"/>
  <c r="E566" i="1"/>
  <c r="E476" i="1"/>
  <c r="E484" i="1"/>
  <c r="E516" i="1"/>
  <c r="E530" i="1"/>
  <c r="E545" i="1"/>
  <c r="E562" i="1"/>
  <c r="E577" i="1"/>
  <c r="E580" i="1"/>
  <c r="E594" i="1"/>
  <c r="H591" i="1"/>
  <c r="G591" i="1"/>
  <c r="H583" i="1"/>
  <c r="G583" i="1"/>
  <c r="H575" i="1"/>
  <c r="G575" i="1"/>
  <c r="H567" i="1"/>
  <c r="G567" i="1"/>
  <c r="H559" i="1"/>
  <c r="G559" i="1"/>
  <c r="H551" i="1"/>
  <c r="G551" i="1"/>
  <c r="H543" i="1"/>
  <c r="G543" i="1"/>
  <c r="H535" i="1"/>
  <c r="G535" i="1"/>
  <c r="H527" i="1"/>
  <c r="G527" i="1"/>
  <c r="H519" i="1"/>
  <c r="G519" i="1"/>
  <c r="H511" i="1"/>
  <c r="G511" i="1"/>
  <c r="H503" i="1"/>
  <c r="G503" i="1"/>
  <c r="H495" i="1"/>
  <c r="G495" i="1"/>
  <c r="H487" i="1"/>
  <c r="G487" i="1"/>
  <c r="H479" i="1"/>
  <c r="G479" i="1"/>
  <c r="H471" i="1"/>
  <c r="G471" i="1"/>
  <c r="H463" i="1"/>
  <c r="G463" i="1"/>
  <c r="H455" i="1"/>
  <c r="G455" i="1"/>
  <c r="H447" i="1"/>
  <c r="G447" i="1"/>
  <c r="H439" i="1"/>
  <c r="G439" i="1"/>
  <c r="H431" i="1"/>
  <c r="G431" i="1"/>
  <c r="H423" i="1"/>
  <c r="G423" i="1"/>
  <c r="H415" i="1"/>
  <c r="G415" i="1"/>
  <c r="H407" i="1"/>
  <c r="G407" i="1"/>
  <c r="H399" i="1"/>
  <c r="G399" i="1"/>
  <c r="H391" i="1"/>
  <c r="G391" i="1"/>
  <c r="H383" i="1"/>
  <c r="G383" i="1"/>
  <c r="H375" i="1"/>
  <c r="G375" i="1"/>
  <c r="H367" i="1"/>
  <c r="G367" i="1"/>
  <c r="H351" i="1"/>
  <c r="G351" i="1"/>
  <c r="G581" i="1"/>
  <c r="G549" i="1"/>
  <c r="G517" i="1"/>
  <c r="G485" i="1"/>
  <c r="G453" i="1"/>
  <c r="G107" i="1"/>
  <c r="E472" i="1"/>
  <c r="E498" i="1"/>
  <c r="E494" i="1"/>
  <c r="E512" i="1"/>
  <c r="E526" i="1"/>
  <c r="E544" i="1"/>
  <c r="E558" i="1"/>
  <c r="E576" i="1"/>
  <c r="E490" i="1"/>
  <c r="E499" i="1"/>
  <c r="E531" i="1"/>
  <c r="E563" i="1"/>
  <c r="E569" i="1"/>
  <c r="E586" i="1"/>
  <c r="E595" i="1"/>
  <c r="G573" i="1"/>
  <c r="G541" i="1"/>
  <c r="G509" i="1"/>
  <c r="G477" i="1"/>
  <c r="H421" i="1"/>
  <c r="G421" i="1"/>
  <c r="G413" i="1"/>
  <c r="H413" i="1"/>
  <c r="H405" i="1"/>
  <c r="G405" i="1"/>
  <c r="G397" i="1"/>
  <c r="H397" i="1"/>
  <c r="H389" i="1"/>
  <c r="G389" i="1"/>
  <c r="G381" i="1"/>
  <c r="H381" i="1"/>
  <c r="H373" i="1"/>
  <c r="G373" i="1"/>
  <c r="G365" i="1"/>
  <c r="H365" i="1"/>
  <c r="H357" i="1"/>
  <c r="G357" i="1"/>
  <c r="G349" i="1"/>
  <c r="H349" i="1"/>
  <c r="H341" i="1"/>
  <c r="G341" i="1"/>
  <c r="G333" i="1"/>
  <c r="H333" i="1"/>
  <c r="H325" i="1"/>
  <c r="G325" i="1"/>
  <c r="G317" i="1"/>
  <c r="H317" i="1"/>
  <c r="H309" i="1"/>
  <c r="G309" i="1"/>
  <c r="G301" i="1"/>
  <c r="H301" i="1"/>
  <c r="H293" i="1"/>
  <c r="G293" i="1"/>
  <c r="G285" i="1"/>
  <c r="H285" i="1"/>
  <c r="H277" i="1"/>
  <c r="G277" i="1"/>
  <c r="G269" i="1"/>
  <c r="H269" i="1"/>
  <c r="H261" i="1"/>
  <c r="G261" i="1"/>
  <c r="G253" i="1"/>
  <c r="H253" i="1"/>
  <c r="H245" i="1"/>
  <c r="G245" i="1"/>
  <c r="G237" i="1"/>
  <c r="H237" i="1"/>
  <c r="H229" i="1"/>
  <c r="G229" i="1"/>
  <c r="G221" i="1"/>
  <c r="H221" i="1"/>
  <c r="H213" i="1"/>
  <c r="G213" i="1"/>
  <c r="G205" i="1"/>
  <c r="H205" i="1"/>
  <c r="H197" i="1"/>
  <c r="G197" i="1"/>
  <c r="G189" i="1"/>
  <c r="H189" i="1"/>
  <c r="H181" i="1"/>
  <c r="G181" i="1"/>
  <c r="G173" i="1"/>
  <c r="H173" i="1"/>
  <c r="H165" i="1"/>
  <c r="G165" i="1"/>
  <c r="G157" i="1"/>
  <c r="H157" i="1"/>
  <c r="H149" i="1"/>
  <c r="G149" i="1"/>
  <c r="G141" i="1"/>
  <c r="H141" i="1"/>
  <c r="H133" i="1"/>
  <c r="G133" i="1"/>
  <c r="G125" i="1"/>
  <c r="H125" i="1"/>
  <c r="H117" i="1"/>
  <c r="G117" i="1"/>
  <c r="G109" i="1"/>
  <c r="H109" i="1"/>
  <c r="H101" i="1"/>
  <c r="G101" i="1"/>
  <c r="G93" i="1"/>
  <c r="H93" i="1"/>
  <c r="G85" i="1"/>
  <c r="H85" i="1"/>
  <c r="G77" i="1"/>
  <c r="H77" i="1"/>
  <c r="G69" i="1"/>
  <c r="H69" i="1"/>
  <c r="G61" i="1"/>
  <c r="H61" i="1"/>
  <c r="G53" i="1"/>
  <c r="H53" i="1"/>
  <c r="G45" i="1"/>
  <c r="H45" i="1"/>
  <c r="G37" i="1"/>
  <c r="H37" i="1"/>
  <c r="G29" i="1"/>
  <c r="H29" i="1"/>
  <c r="G21" i="1"/>
  <c r="H21" i="1"/>
  <c r="G13" i="1"/>
  <c r="H13" i="1"/>
  <c r="G5" i="1"/>
  <c r="H5" i="1"/>
  <c r="G422" i="1"/>
  <c r="G385" i="1"/>
  <c r="G360" i="1"/>
  <c r="G344" i="1"/>
  <c r="G328" i="1"/>
  <c r="G312" i="1"/>
  <c r="G296" i="1"/>
  <c r="G280" i="1"/>
  <c r="G264" i="1"/>
  <c r="G248" i="1"/>
  <c r="G232" i="1"/>
  <c r="G216" i="1"/>
  <c r="G175" i="1"/>
  <c r="G154" i="1"/>
  <c r="G111" i="1"/>
  <c r="G90" i="1"/>
  <c r="G47" i="1"/>
  <c r="G7" i="1"/>
  <c r="H560" i="1"/>
  <c r="H513" i="1"/>
  <c r="H473" i="1"/>
  <c r="H432" i="1"/>
  <c r="H345" i="1"/>
  <c r="H304" i="1"/>
  <c r="H257" i="1"/>
  <c r="H217" i="1"/>
  <c r="H176" i="1"/>
  <c r="H129" i="1"/>
  <c r="H89" i="1"/>
  <c r="H48" i="1"/>
  <c r="G82" i="1"/>
  <c r="H82" i="1"/>
  <c r="G74" i="1"/>
  <c r="H74" i="1"/>
  <c r="G66" i="1"/>
  <c r="H66" i="1"/>
  <c r="G58" i="1"/>
  <c r="H58" i="1"/>
  <c r="G50" i="1"/>
  <c r="H50" i="1"/>
  <c r="G42" i="1"/>
  <c r="H42" i="1"/>
  <c r="G34" i="1"/>
  <c r="H34" i="1"/>
  <c r="G26" i="1"/>
  <c r="H26" i="1"/>
  <c r="G18" i="1"/>
  <c r="H18" i="1"/>
  <c r="G10" i="1"/>
  <c r="H10" i="1"/>
  <c r="G393" i="1"/>
  <c r="G368" i="1"/>
  <c r="G306" i="1"/>
  <c r="G290" i="1"/>
  <c r="G274" i="1"/>
  <c r="G258" i="1"/>
  <c r="G242" i="1"/>
  <c r="G226" i="1"/>
  <c r="G210" i="1"/>
  <c r="G167" i="1"/>
  <c r="G146" i="1"/>
  <c r="G103" i="1"/>
  <c r="G78" i="1"/>
  <c r="G31" i="1"/>
  <c r="H585" i="1"/>
  <c r="H544" i="1"/>
  <c r="H497" i="1"/>
  <c r="H457" i="1"/>
  <c r="H329" i="1"/>
  <c r="H288" i="1"/>
  <c r="H241" i="1"/>
  <c r="H201" i="1"/>
  <c r="H160" i="1"/>
  <c r="H113" i="1"/>
  <c r="H73" i="1"/>
  <c r="H32" i="1"/>
  <c r="G9" i="1"/>
  <c r="H9" i="1"/>
  <c r="G392" i="1"/>
  <c r="G352" i="1"/>
  <c r="G320" i="1"/>
  <c r="G272" i="1"/>
  <c r="G240" i="1"/>
  <c r="G224" i="1"/>
  <c r="G207" i="1"/>
  <c r="G186" i="1"/>
  <c r="G143" i="1"/>
  <c r="G122" i="1"/>
  <c r="G71" i="1"/>
  <c r="G30" i="1"/>
  <c r="H577" i="1"/>
  <c r="H537" i="1"/>
  <c r="H496" i="1"/>
  <c r="H449" i="1"/>
  <c r="H321" i="1"/>
  <c r="H193" i="1"/>
  <c r="H153" i="1"/>
  <c r="H112" i="1"/>
  <c r="H65" i="1"/>
  <c r="H25" i="1"/>
  <c r="H200" i="1"/>
  <c r="G200" i="1"/>
  <c r="H184" i="1"/>
  <c r="G184" i="1"/>
  <c r="H168" i="1"/>
  <c r="G168" i="1"/>
  <c r="H152" i="1"/>
  <c r="G152" i="1"/>
  <c r="H136" i="1"/>
  <c r="G136" i="1"/>
  <c r="H120" i="1"/>
  <c r="G120" i="1"/>
  <c r="H104" i="1"/>
  <c r="G104" i="1"/>
  <c r="H88" i="1"/>
  <c r="G88" i="1"/>
  <c r="H72" i="1"/>
  <c r="G72" i="1"/>
  <c r="H56" i="1"/>
  <c r="G56" i="1"/>
  <c r="H40" i="1"/>
  <c r="G40" i="1"/>
  <c r="H24" i="1"/>
  <c r="G24" i="1"/>
  <c r="H8" i="1"/>
  <c r="G8" i="1"/>
  <c r="G335" i="1"/>
  <c r="G319" i="1"/>
  <c r="G303" i="1"/>
  <c r="G287" i="1"/>
  <c r="G271" i="1"/>
  <c r="G255" i="1"/>
  <c r="G239" i="1"/>
  <c r="G223" i="1"/>
  <c r="G183" i="1"/>
  <c r="G162" i="1"/>
  <c r="G119" i="1"/>
  <c r="G98" i="1"/>
  <c r="G63" i="1"/>
  <c r="G23" i="1"/>
  <c r="H576" i="1"/>
  <c r="H529" i="1"/>
  <c r="H489" i="1"/>
  <c r="H448" i="1"/>
  <c r="H401" i="1"/>
  <c r="H361" i="1"/>
  <c r="H273" i="1"/>
  <c r="H233" i="1"/>
  <c r="H192" i="1"/>
  <c r="H145" i="1"/>
  <c r="H105" i="1"/>
  <c r="H64" i="1"/>
  <c r="H17" i="1"/>
  <c r="G569" i="1"/>
  <c r="G561" i="1"/>
  <c r="G521" i="1"/>
  <c r="G481" i="1"/>
  <c r="G441" i="1"/>
  <c r="G433" i="1"/>
  <c r="G424" i="1"/>
  <c r="G414" i="1"/>
  <c r="G376" i="1"/>
  <c r="G202" i="1"/>
  <c r="G159" i="1"/>
  <c r="G138" i="1"/>
  <c r="G95" i="1"/>
  <c r="G62" i="1"/>
  <c r="G15" i="1"/>
  <c r="H528" i="1"/>
  <c r="H400" i="1"/>
  <c r="H353" i="1"/>
  <c r="H313" i="1"/>
  <c r="H225" i="1"/>
  <c r="H185" i="1"/>
  <c r="H144" i="1"/>
  <c r="H97" i="1"/>
  <c r="H57" i="1"/>
  <c r="H16" i="1"/>
  <c r="H406" i="1"/>
  <c r="G406" i="1"/>
  <c r="H398" i="1"/>
  <c r="G398" i="1"/>
  <c r="H390" i="1"/>
  <c r="G390" i="1"/>
  <c r="H382" i="1"/>
  <c r="G382" i="1"/>
  <c r="H374" i="1"/>
  <c r="G374" i="1"/>
  <c r="H366" i="1"/>
  <c r="G366" i="1"/>
  <c r="H358" i="1"/>
  <c r="G358" i="1"/>
  <c r="H350" i="1"/>
  <c r="G350" i="1"/>
  <c r="H342" i="1"/>
  <c r="G342" i="1"/>
  <c r="H334" i="1"/>
  <c r="G334" i="1"/>
  <c r="H326" i="1"/>
  <c r="G326" i="1"/>
  <c r="H318" i="1"/>
  <c r="G318" i="1"/>
  <c r="H310" i="1"/>
  <c r="G310" i="1"/>
  <c r="H302" i="1"/>
  <c r="G302" i="1"/>
  <c r="H294" i="1"/>
  <c r="G294" i="1"/>
  <c r="H286" i="1"/>
  <c r="G286" i="1"/>
  <c r="H278" i="1"/>
  <c r="G278" i="1"/>
  <c r="H270" i="1"/>
  <c r="G270" i="1"/>
  <c r="H262" i="1"/>
  <c r="G262" i="1"/>
  <c r="H254" i="1"/>
  <c r="G254" i="1"/>
  <c r="H246" i="1"/>
  <c r="G246" i="1"/>
  <c r="H238" i="1"/>
  <c r="G238" i="1"/>
  <c r="H230" i="1"/>
  <c r="G230" i="1"/>
  <c r="H222" i="1"/>
  <c r="G222" i="1"/>
  <c r="H214" i="1"/>
  <c r="G214" i="1"/>
  <c r="H206" i="1"/>
  <c r="G206" i="1"/>
  <c r="H198" i="1"/>
  <c r="G198" i="1"/>
  <c r="H190" i="1"/>
  <c r="G190" i="1"/>
  <c r="H182" i="1"/>
  <c r="G182" i="1"/>
  <c r="H174" i="1"/>
  <c r="G174" i="1"/>
  <c r="H166" i="1"/>
  <c r="G166" i="1"/>
  <c r="H158" i="1"/>
  <c r="G158" i="1"/>
  <c r="H150" i="1"/>
  <c r="G150" i="1"/>
  <c r="H142" i="1"/>
  <c r="G142" i="1"/>
  <c r="H134" i="1"/>
  <c r="G134" i="1"/>
  <c r="H126" i="1"/>
  <c r="G126" i="1"/>
  <c r="H118" i="1"/>
  <c r="G118" i="1"/>
  <c r="H110" i="1"/>
  <c r="G110" i="1"/>
  <c r="H102" i="1"/>
  <c r="G102" i="1"/>
  <c r="H94" i="1"/>
  <c r="G94" i="1"/>
  <c r="H86" i="1"/>
  <c r="G86" i="1"/>
  <c r="H70" i="1"/>
  <c r="G70" i="1"/>
  <c r="H54" i="1"/>
  <c r="G54" i="1"/>
  <c r="H38" i="1"/>
  <c r="G38" i="1"/>
  <c r="H22" i="1"/>
  <c r="G22" i="1"/>
  <c r="H6" i="1"/>
  <c r="G6" i="1"/>
  <c r="G584" i="1"/>
  <c r="G568" i="1"/>
  <c r="G552" i="1"/>
  <c r="G536" i="1"/>
  <c r="G520" i="1"/>
  <c r="G504" i="1"/>
  <c r="G488" i="1"/>
  <c r="G480" i="1"/>
  <c r="G472" i="1"/>
  <c r="G456" i="1"/>
  <c r="G440" i="1"/>
  <c r="G314" i="1"/>
  <c r="G298" i="1"/>
  <c r="G282" i="1"/>
  <c r="G266" i="1"/>
  <c r="G250" i="1"/>
  <c r="G234" i="1"/>
  <c r="G218" i="1"/>
  <c r="G199" i="1"/>
  <c r="G178" i="1"/>
  <c r="G135" i="1"/>
  <c r="G114" i="1"/>
  <c r="G55" i="1"/>
  <c r="G14" i="1"/>
  <c r="H305" i="1"/>
  <c r="H265" i="1"/>
  <c r="H177" i="1"/>
  <c r="H137" i="1"/>
  <c r="H96" i="1"/>
  <c r="H49" i="1"/>
</calcChain>
</file>

<file path=xl/sharedStrings.xml><?xml version="1.0" encoding="utf-8"?>
<sst xmlns="http://schemas.openxmlformats.org/spreadsheetml/2006/main" count="2199" uniqueCount="1654">
  <si>
    <t>country</t>
  </si>
  <si>
    <t>operator</t>
  </si>
  <si>
    <t>dIOT PSD</t>
  </si>
  <si>
    <t>dIOT (GB)</t>
  </si>
  <si>
    <t>Min</t>
  </si>
  <si>
    <t>Aerospace</t>
  </si>
  <si>
    <t>AeroMobile (AAA)</t>
  </si>
  <si>
    <t>Thuraya (AAZ)</t>
  </si>
  <si>
    <t>Afghanistan</t>
  </si>
  <si>
    <t>Afghan Wireless (AFG)</t>
  </si>
  <si>
    <t>Atoma (AFG)</t>
  </si>
  <si>
    <t>Etisalat (AFG)</t>
  </si>
  <si>
    <t>Roshan (AFG)</t>
  </si>
  <si>
    <t>Albania</t>
  </si>
  <si>
    <t>One Albania (ALB)</t>
  </si>
  <si>
    <t>Vodafone (ALB)</t>
  </si>
  <si>
    <t>Algeria</t>
  </si>
  <si>
    <t>ATM (DZA)</t>
  </si>
  <si>
    <t>Ooredoo (DZA)</t>
  </si>
  <si>
    <t>Veon (DZA)</t>
  </si>
  <si>
    <t>American Samoa</t>
  </si>
  <si>
    <t>Bluesky (ASM)</t>
  </si>
  <si>
    <t>Andorra</t>
  </si>
  <si>
    <t>STA (AND)</t>
  </si>
  <si>
    <t>Angola</t>
  </si>
  <si>
    <t>Africell (AGO)</t>
  </si>
  <si>
    <t>Unitel (AGO)</t>
  </si>
  <si>
    <t>Anguilla</t>
  </si>
  <si>
    <t>Liberty (AIA)</t>
  </si>
  <si>
    <t>Antigua and Barbuda</t>
  </si>
  <si>
    <t>APUA (ATG)</t>
  </si>
  <si>
    <t>Liberty (ATG)</t>
  </si>
  <si>
    <t>Argentina</t>
  </si>
  <si>
    <t>AMX (ARG)</t>
  </si>
  <si>
    <t>Telecom (ARG)</t>
  </si>
  <si>
    <t>Telefonica (ARG)</t>
  </si>
  <si>
    <t>Armenia</t>
  </si>
  <si>
    <t>MTS (ARM)</t>
  </si>
  <si>
    <t>Telecom (ARM)</t>
  </si>
  <si>
    <t>UCom (ARM)</t>
  </si>
  <si>
    <t>Aruba</t>
  </si>
  <si>
    <t>Digicel (ABW)</t>
  </si>
  <si>
    <t>Setar (ABW)</t>
  </si>
  <si>
    <t>Australia</t>
  </si>
  <si>
    <t>Optus (AUS)</t>
  </si>
  <si>
    <t>Telstra (AUS)</t>
  </si>
  <si>
    <t>Vodafone (AUS)</t>
  </si>
  <si>
    <t>Austria</t>
  </si>
  <si>
    <t>A1 (AUT)</t>
  </si>
  <si>
    <t>DT (AUT)</t>
  </si>
  <si>
    <t>H3G (AUT)</t>
  </si>
  <si>
    <t>Azerbaijan</t>
  </si>
  <si>
    <t>Azercell (AZE)</t>
  </si>
  <si>
    <t>Azerfon (AZE)</t>
  </si>
  <si>
    <t>Bakcell (AZE)</t>
  </si>
  <si>
    <t>Bahamas</t>
  </si>
  <si>
    <t>Aliv (BHS)</t>
  </si>
  <si>
    <t>Liberty (BHS)</t>
  </si>
  <si>
    <t>Bahrain</t>
  </si>
  <si>
    <t>Batelco (BHR)</t>
  </si>
  <si>
    <t>STC (BHR)</t>
  </si>
  <si>
    <t>ZOI (BHR)</t>
  </si>
  <si>
    <t>Bangladesh</t>
  </si>
  <si>
    <t>Axiata (BGD)</t>
  </si>
  <si>
    <t>Telenor (BGD)</t>
  </si>
  <si>
    <t>Veon (BGD)</t>
  </si>
  <si>
    <t>Barbados</t>
  </si>
  <si>
    <t>Liberty (BRB)</t>
  </si>
  <si>
    <t>Belarus</t>
  </si>
  <si>
    <t>A1 (BLR)</t>
  </si>
  <si>
    <t>Best (BLR)</t>
  </si>
  <si>
    <t>MTS (BLR)</t>
  </si>
  <si>
    <t>Belgium</t>
  </si>
  <si>
    <t>Digi (BEL)</t>
  </si>
  <si>
    <t>Orange (BEL)</t>
  </si>
  <si>
    <t>Proximus (BEL)</t>
  </si>
  <si>
    <t>Telenet (BEL)</t>
  </si>
  <si>
    <t>Belize</t>
  </si>
  <si>
    <t>BTL (BLZ)</t>
  </si>
  <si>
    <t>Speednet (BLZ)</t>
  </si>
  <si>
    <t>Benin</t>
  </si>
  <si>
    <t>IAM (BEN)</t>
  </si>
  <si>
    <t>MTN (BEN)</t>
  </si>
  <si>
    <t>SBIN (BEN)</t>
  </si>
  <si>
    <t>Bermuda</t>
  </si>
  <si>
    <t>ATN (BMU)</t>
  </si>
  <si>
    <t>Bhutan</t>
  </si>
  <si>
    <t>B-Mobile (BTN)</t>
  </si>
  <si>
    <t>Tashicell (BTN)</t>
  </si>
  <si>
    <t>Bolivia</t>
  </si>
  <si>
    <t>Entel (BOL)</t>
  </si>
  <si>
    <t>Nuevatel (BOL)</t>
  </si>
  <si>
    <t>Tigo (BOL)</t>
  </si>
  <si>
    <t>Bosnia and Herzegovina</t>
  </si>
  <si>
    <t>BH (BIH)</t>
  </si>
  <si>
    <t>Eronet (BIH)</t>
  </si>
  <si>
    <t>Mtel (BIH)</t>
  </si>
  <si>
    <t>Botswana</t>
  </si>
  <si>
    <t>BTC (BWA)</t>
  </si>
  <si>
    <t>MTN (BWA)</t>
  </si>
  <si>
    <t>Orange (BWA)</t>
  </si>
  <si>
    <t>Brazil</t>
  </si>
  <si>
    <t>AMX (BRA)</t>
  </si>
  <si>
    <t>TIM (BRA)</t>
  </si>
  <si>
    <t>Telefonica (BRA)</t>
  </si>
  <si>
    <t>British Virgin Islands</t>
  </si>
  <si>
    <t>CCT (VGB)</t>
  </si>
  <si>
    <t>Digicel (VGB)</t>
  </si>
  <si>
    <t>Liberty (VGB)</t>
  </si>
  <si>
    <t>Brunei Darussalam</t>
  </si>
  <si>
    <t>UNN (BRN)</t>
  </si>
  <si>
    <t>Bulgaria</t>
  </si>
  <si>
    <t>A1 (BGR)</t>
  </si>
  <si>
    <t>Cetin (BGR)</t>
  </si>
  <si>
    <t>United (BGR)</t>
  </si>
  <si>
    <t>Burkina Faso</t>
  </si>
  <si>
    <t>IAM (BFA)</t>
  </si>
  <si>
    <t>Orange (BFA)</t>
  </si>
  <si>
    <t>Telecel (BFA)</t>
  </si>
  <si>
    <t>Burundi</t>
  </si>
  <si>
    <t>Econet (BDI)</t>
  </si>
  <si>
    <t>Viettel (BDI)</t>
  </si>
  <si>
    <t>Cambodia</t>
  </si>
  <si>
    <t>Axiata (KHM)</t>
  </si>
  <si>
    <t>Cam (KHM)</t>
  </si>
  <si>
    <t>Viettel (KHM)</t>
  </si>
  <si>
    <t>Cameroon</t>
  </si>
  <si>
    <t>MTN (CMR)</t>
  </si>
  <si>
    <t>Orange (CMR)</t>
  </si>
  <si>
    <t>Canada</t>
  </si>
  <si>
    <t>Bell (CAN)</t>
  </si>
  <si>
    <t>Eastlink (CAN)</t>
  </si>
  <si>
    <t>Rogers (CAN)</t>
  </si>
  <si>
    <t>Sasktel (CAN)</t>
  </si>
  <si>
    <t>Telus (CAN)</t>
  </si>
  <si>
    <t>Videotron (CAN)</t>
  </si>
  <si>
    <t>Cape Verde</t>
  </si>
  <si>
    <t>Telecom (CPV)</t>
  </si>
  <si>
    <t>Unitel (CPV)</t>
  </si>
  <si>
    <t>Cayman Islands</t>
  </si>
  <si>
    <t>Liberty (CYM)</t>
  </si>
  <si>
    <t>Central African Republic</t>
  </si>
  <si>
    <t>Econet (CAF)</t>
  </si>
  <si>
    <t>IAM (CAF)</t>
  </si>
  <si>
    <t>Orange (CAF)</t>
  </si>
  <si>
    <t>Chad</t>
  </si>
  <si>
    <t>Airtel (TCD)</t>
  </si>
  <si>
    <t>IAM (TCD)</t>
  </si>
  <si>
    <t>Channel Islands</t>
  </si>
  <si>
    <t>Jersey Airtel (GBR)</t>
  </si>
  <si>
    <t>Jersey Telecoms (GBR)</t>
  </si>
  <si>
    <t>Manx Telecom (GBR)</t>
  </si>
  <si>
    <t>Sure Guernsey (GBR)</t>
  </si>
  <si>
    <t>Chile</t>
  </si>
  <si>
    <t>AMX (CHL)</t>
  </si>
  <si>
    <t>Entel (CHL)</t>
  </si>
  <si>
    <t>Telefonica (CHL)</t>
  </si>
  <si>
    <t>WOM (CHL)</t>
  </si>
  <si>
    <t>China</t>
  </si>
  <si>
    <t>China Mobile (CHN)</t>
  </si>
  <si>
    <t>China Telecom (CHN)</t>
  </si>
  <si>
    <t>China Unicom (CHN)</t>
  </si>
  <si>
    <t>Colombia</t>
  </si>
  <si>
    <t>AMX (COL)</t>
  </si>
  <si>
    <t>Telefonica (COL)</t>
  </si>
  <si>
    <t>Tigo (COL)</t>
  </si>
  <si>
    <t>Comoros</t>
  </si>
  <si>
    <t>Huri (COM)</t>
  </si>
  <si>
    <t>Yas (COM)</t>
  </si>
  <si>
    <t>Congo Brazzaville</t>
  </si>
  <si>
    <t>Airtel (COG)</t>
  </si>
  <si>
    <t>MTN (COG)</t>
  </si>
  <si>
    <t>Congo Kinshasa</t>
  </si>
  <si>
    <t>Africell (COD)</t>
  </si>
  <si>
    <t>Airtel (COD)</t>
  </si>
  <si>
    <t>Orange (COD)</t>
  </si>
  <si>
    <t>Vodafone (COD)</t>
  </si>
  <si>
    <t>Cook Islands</t>
  </si>
  <si>
    <t>Telecom (COK)</t>
  </si>
  <si>
    <t>Costa Rica</t>
  </si>
  <si>
    <t>AMX (CRI)</t>
  </si>
  <si>
    <t>ICE (CRI)</t>
  </si>
  <si>
    <t>Liberty (CRI)</t>
  </si>
  <si>
    <t>Croatia</t>
  </si>
  <si>
    <t>A1 (HRV)</t>
  </si>
  <si>
    <t>DT (HRV)</t>
  </si>
  <si>
    <t>United (HRV)</t>
  </si>
  <si>
    <t>Cuba</t>
  </si>
  <si>
    <t>Cubacel (CUB)</t>
  </si>
  <si>
    <t>Cyprus</t>
  </si>
  <si>
    <t>CYTA (CYP)</t>
  </si>
  <si>
    <t>Epic (CYP)</t>
  </si>
  <si>
    <t>GoMobile (CYP)</t>
  </si>
  <si>
    <t>PrimeTel (CYP)</t>
  </si>
  <si>
    <t>Czech Republic</t>
  </si>
  <si>
    <t>Cetin (CZE)</t>
  </si>
  <si>
    <t>DT (CZE)</t>
  </si>
  <si>
    <t>Vodafone (CZE)</t>
  </si>
  <si>
    <t>Denmark</t>
  </si>
  <si>
    <t>H3G (DNK)</t>
  </si>
  <si>
    <t>TDC (DNK)</t>
  </si>
  <si>
    <t>Telenor (DNK)</t>
  </si>
  <si>
    <t>Telia (DNK)</t>
  </si>
  <si>
    <t>Djibouti</t>
  </si>
  <si>
    <t>Telecom (DJI)</t>
  </si>
  <si>
    <t>Dominica</t>
  </si>
  <si>
    <t>Liberty (DMA)</t>
  </si>
  <si>
    <t>Dominican Republic</t>
  </si>
  <si>
    <t>AMX (DOM)</t>
  </si>
  <si>
    <t>Altice (DOM)</t>
  </si>
  <si>
    <t>Trilogy (DOM)</t>
  </si>
  <si>
    <t>East Timor</t>
  </si>
  <si>
    <t>Telkomcel (TLS)</t>
  </si>
  <si>
    <t>Timor Telecom (TLS)</t>
  </si>
  <si>
    <t>Viettel (TLS)</t>
  </si>
  <si>
    <t>Ecuador</t>
  </si>
  <si>
    <t>AMX (ECU)</t>
  </si>
  <si>
    <t>Alegro (ECU)</t>
  </si>
  <si>
    <t>Telefonica (ECU)</t>
  </si>
  <si>
    <t>Egypt</t>
  </si>
  <si>
    <t>Etisalat (EGY)</t>
  </si>
  <si>
    <t>MobiNil (EGY)</t>
  </si>
  <si>
    <t>Vodafone (EGY)</t>
  </si>
  <si>
    <t>El Salvador</t>
  </si>
  <si>
    <t>AMX (SLV)</t>
  </si>
  <si>
    <t>Digicel (SLV)</t>
  </si>
  <si>
    <t>GIT (SLV)</t>
  </si>
  <si>
    <t>Tigo (SLV)</t>
  </si>
  <si>
    <t>Equatorial Guinea</t>
  </si>
  <si>
    <t>Getesa (GNQ)</t>
  </si>
  <si>
    <t>MUNI (GNQ)</t>
  </si>
  <si>
    <t>Estonia</t>
  </si>
  <si>
    <t>Elisa (EST)</t>
  </si>
  <si>
    <t>Tele2 (EST)</t>
  </si>
  <si>
    <t>Telia (EST)</t>
  </si>
  <si>
    <t>Ethiopia</t>
  </si>
  <si>
    <t>Ethiopian TelCo (ETH)</t>
  </si>
  <si>
    <t>Safaricom (ETH)</t>
  </si>
  <si>
    <t>Falkland Islands</t>
  </si>
  <si>
    <t>Sure (FLK)</t>
  </si>
  <si>
    <t>Faroe Islands</t>
  </si>
  <si>
    <t>Faroese Telecom (FRO)</t>
  </si>
  <si>
    <t>Kall (FRO)</t>
  </si>
  <si>
    <t>Fiji</t>
  </si>
  <si>
    <t>Digicel (FJI)</t>
  </si>
  <si>
    <t>Vodafone (FJI)</t>
  </si>
  <si>
    <t>Finland</t>
  </si>
  <si>
    <t>Alands (FIN)</t>
  </si>
  <si>
    <t>Elisa (FIN)</t>
  </si>
  <si>
    <t>Telenor (FIN)</t>
  </si>
  <si>
    <t>Telia (FIN)</t>
  </si>
  <si>
    <t>France</t>
  </si>
  <si>
    <t>Altice (FRA)</t>
  </si>
  <si>
    <t>Bouygues (FRA)</t>
  </si>
  <si>
    <t>Free (FRA)</t>
  </si>
  <si>
    <t>Orange (FRA)</t>
  </si>
  <si>
    <t>French Polynesia</t>
  </si>
  <si>
    <t>Vini (PYF)</t>
  </si>
  <si>
    <t>Vodafone (PYF)</t>
  </si>
  <si>
    <t>French West Indies</t>
  </si>
  <si>
    <t>Altice (GUF)</t>
  </si>
  <si>
    <t>Dauphin (GLP)</t>
  </si>
  <si>
    <t>Digicel (GLP)</t>
  </si>
  <si>
    <t>Free (GLP)</t>
  </si>
  <si>
    <t>Free Caraibe (MTQ)</t>
  </si>
  <si>
    <t>Orange (GLP)</t>
  </si>
  <si>
    <t>Gabon</t>
  </si>
  <si>
    <t>Airtel (GAB)</t>
  </si>
  <si>
    <t>IAM (GAB)</t>
  </si>
  <si>
    <t>Gambia</t>
  </si>
  <si>
    <t>Africell (GMB)</t>
  </si>
  <si>
    <t>Comium (GMB)</t>
  </si>
  <si>
    <t>Qcell (GMB)</t>
  </si>
  <si>
    <t>Georgia</t>
  </si>
  <si>
    <t>Geocell (GEO)</t>
  </si>
  <si>
    <t>Magticom (GEO)</t>
  </si>
  <si>
    <t>Veon (GEO)</t>
  </si>
  <si>
    <t>Germany</t>
  </si>
  <si>
    <t>DT (DEU)</t>
  </si>
  <si>
    <t>Telefonica (DEU)</t>
  </si>
  <si>
    <t>Vodafone (DEU)</t>
  </si>
  <si>
    <t>Ghana</t>
  </si>
  <si>
    <t>MTN (GHA)</t>
  </si>
  <si>
    <t>PPL Net (GHA)</t>
  </si>
  <si>
    <t>Vodafone (GHA)</t>
  </si>
  <si>
    <t>Gibraltar</t>
  </si>
  <si>
    <t>Gibtel (GIB)</t>
  </si>
  <si>
    <t>Greece</t>
  </si>
  <si>
    <t>DT (GRC)</t>
  </si>
  <si>
    <t>Vodafone (GRC)</t>
  </si>
  <si>
    <t>Wind Hellas (GRC)</t>
  </si>
  <si>
    <t>Greenland</t>
  </si>
  <si>
    <t>Tusass (GRL)</t>
  </si>
  <si>
    <t>Grenada</t>
  </si>
  <si>
    <t>Liberty (GRD)</t>
  </si>
  <si>
    <t>Guam</t>
  </si>
  <si>
    <t>Docomo (GUM)</t>
  </si>
  <si>
    <t>GTA Teleguam (GUM)</t>
  </si>
  <si>
    <t>ITE (GUM)</t>
  </si>
  <si>
    <t>Guatemala</t>
  </si>
  <si>
    <t>AMX (GTM)</t>
  </si>
  <si>
    <t>Tigo (GTM)</t>
  </si>
  <si>
    <t>Guinea</t>
  </si>
  <si>
    <t>Cellcom (GIN)</t>
  </si>
  <si>
    <t>MTN (GIN)</t>
  </si>
  <si>
    <t>Orange (GIN)</t>
  </si>
  <si>
    <t>Guinea Bissau</t>
  </si>
  <si>
    <t>MTN (GNB)</t>
  </si>
  <si>
    <t>Orange (GNB)</t>
  </si>
  <si>
    <t>Guyana</t>
  </si>
  <si>
    <t>ATN (GUY)</t>
  </si>
  <si>
    <t>Digicel (GUY)</t>
  </si>
  <si>
    <t>Haiti</t>
  </si>
  <si>
    <t>Natcom (HTI)</t>
  </si>
  <si>
    <t>Honduras</t>
  </si>
  <si>
    <t>AMX (HND)</t>
  </si>
  <si>
    <t>Tigo (HND)</t>
  </si>
  <si>
    <t>Hong Kong</t>
  </si>
  <si>
    <t>H3G (HKG)</t>
  </si>
  <si>
    <t>Peoples (HKG)</t>
  </si>
  <si>
    <t>Singtel (HKG)</t>
  </si>
  <si>
    <t>Smartone (HKG)</t>
  </si>
  <si>
    <t>Hungary</t>
  </si>
  <si>
    <t>Cetin (HUN)</t>
  </si>
  <si>
    <t>DT (HUN)</t>
  </si>
  <si>
    <t>Vodafone (HUN)</t>
  </si>
  <si>
    <t>Iceland</t>
  </si>
  <si>
    <t>Nova (ISL)</t>
  </si>
  <si>
    <t>SYN (ISL)</t>
  </si>
  <si>
    <t>Siminn (ISL)</t>
  </si>
  <si>
    <t>India</t>
  </si>
  <si>
    <t>BSNL (IND)</t>
  </si>
  <si>
    <t>Bharti Airtel (IND)</t>
  </si>
  <si>
    <t>Reliance Jio (IND)</t>
  </si>
  <si>
    <t>Vodafone Idea (IND)</t>
  </si>
  <si>
    <t>Indonesia</t>
  </si>
  <si>
    <t>Axiata (IDN)</t>
  </si>
  <si>
    <t>Ooredoo Hutchison (IDN)</t>
  </si>
  <si>
    <t>Singtel (IDN)</t>
  </si>
  <si>
    <t>Iran</t>
  </si>
  <si>
    <t>MCI (IRN)</t>
  </si>
  <si>
    <t>MTN (IRN)</t>
  </si>
  <si>
    <t>RighTel (IRN)</t>
  </si>
  <si>
    <t>Iraq</t>
  </si>
  <si>
    <t>Ooredoo (IRQ)</t>
  </si>
  <si>
    <t>Orange (IRQ)</t>
  </si>
  <si>
    <t>ZOI (IRQ)</t>
  </si>
  <si>
    <t>Ireland</t>
  </si>
  <si>
    <t>Eir (IRL)</t>
  </si>
  <si>
    <t>H3G (IRL)</t>
  </si>
  <si>
    <t>Vodafone (IRL)</t>
  </si>
  <si>
    <t>Israel</t>
  </si>
  <si>
    <t>Altice (ISR)</t>
  </si>
  <si>
    <t>Cellcom (ISR)</t>
  </si>
  <si>
    <t>Partner (ISR)</t>
  </si>
  <si>
    <t>Pelephone (ISR)</t>
  </si>
  <si>
    <t>Italy</t>
  </si>
  <si>
    <t>Digi (ITA)</t>
  </si>
  <si>
    <t>Iliad (ITA)</t>
  </si>
  <si>
    <t>TIM (ITA)</t>
  </si>
  <si>
    <t>Vodafone (ITA)</t>
  </si>
  <si>
    <t>Wind Tre (ITA)</t>
  </si>
  <si>
    <t>Ivory Coast</t>
  </si>
  <si>
    <t>IAM (CIV)</t>
  </si>
  <si>
    <t>MTN (CIV)</t>
  </si>
  <si>
    <t>Orange (CIV)</t>
  </si>
  <si>
    <t>Jamaica</t>
  </si>
  <si>
    <t>Digicel 15 (JAM)</t>
  </si>
  <si>
    <t>Liberty (JAM)</t>
  </si>
  <si>
    <t>Japan</t>
  </si>
  <si>
    <t>KDDI (JPN)</t>
  </si>
  <si>
    <t>NTT Docomo (JPN)</t>
  </si>
  <si>
    <t>Rakuten (JPN)</t>
  </si>
  <si>
    <t>SoftBank (JPN)</t>
  </si>
  <si>
    <t>Jordan</t>
  </si>
  <si>
    <t>Batelco (JOR)</t>
  </si>
  <si>
    <t>Orange (JOR)</t>
  </si>
  <si>
    <t>ZOI (JOR)</t>
  </si>
  <si>
    <t>Kazakhstan</t>
  </si>
  <si>
    <t>Kcell (KAZ)</t>
  </si>
  <si>
    <t>MTS LLP (KAZ)</t>
  </si>
  <si>
    <t>Veon (KAZ)</t>
  </si>
  <si>
    <t>Kenya</t>
  </si>
  <si>
    <t>Airtel (KEN)</t>
  </si>
  <si>
    <t>Orange (KEN)</t>
  </si>
  <si>
    <t>Safaricom (KEN)</t>
  </si>
  <si>
    <t>Kiribati</t>
  </si>
  <si>
    <t>ATH (KIR)</t>
  </si>
  <si>
    <t>Kosovo</t>
  </si>
  <si>
    <t>IPKO (XKX)</t>
  </si>
  <si>
    <t>Monaco Telecom (XKX)</t>
  </si>
  <si>
    <t>Kuwait</t>
  </si>
  <si>
    <t>Ooredoo (KWT)</t>
  </si>
  <si>
    <t>STC (KWT)</t>
  </si>
  <si>
    <t>ZOI (KWT)</t>
  </si>
  <si>
    <t>Kyrgyzstan</t>
  </si>
  <si>
    <t>Alfa Telecom (KGZ)</t>
  </si>
  <si>
    <t>Nur (KGZ)</t>
  </si>
  <si>
    <t>Veon (KGZ)</t>
  </si>
  <si>
    <t>Laos</t>
  </si>
  <si>
    <t>ETL (LAO)</t>
  </si>
  <si>
    <t>TPLus (LAO)</t>
  </si>
  <si>
    <t>Telecom (LAO)</t>
  </si>
  <si>
    <t>Viettel (LAO)</t>
  </si>
  <si>
    <t>Latvia</t>
  </si>
  <si>
    <t>Bite (LVA)</t>
  </si>
  <si>
    <t>Tele2 (LVA)</t>
  </si>
  <si>
    <t>Telia (LVA)</t>
  </si>
  <si>
    <t>Lebanon</t>
  </si>
  <si>
    <t>Alfa MIC1 (LBN)</t>
  </si>
  <si>
    <t>Touch MIC2 (LBN)</t>
  </si>
  <si>
    <t>Lesotho</t>
  </si>
  <si>
    <t>Econet (LSO)</t>
  </si>
  <si>
    <t>Vodafone (LSO)</t>
  </si>
  <si>
    <t>Liberia</t>
  </si>
  <si>
    <t>MTN (LBR)</t>
  </si>
  <si>
    <t>Orange (LBR)</t>
  </si>
  <si>
    <t>Libya</t>
  </si>
  <si>
    <t>El Madar (LBY)</t>
  </si>
  <si>
    <t>Libyana (LBY)</t>
  </si>
  <si>
    <t>Liechtenstein</t>
  </si>
  <si>
    <t>A1 (LIE)</t>
  </si>
  <si>
    <t>Salt (LIE)</t>
  </si>
  <si>
    <t>Lithuania</t>
  </si>
  <si>
    <t>Bite (LTU)</t>
  </si>
  <si>
    <t>Tele2 (LTU)</t>
  </si>
  <si>
    <t>Telia (LTU)</t>
  </si>
  <si>
    <t>Luxembourg</t>
  </si>
  <si>
    <t>Orange (LUX)</t>
  </si>
  <si>
    <t>Post (LUX)</t>
  </si>
  <si>
    <t>Proximus (LUX)</t>
  </si>
  <si>
    <t>Macao</t>
  </si>
  <si>
    <t>CTM (MAC)</t>
  </si>
  <si>
    <t>China Telecom (MAC)</t>
  </si>
  <si>
    <t>H3G (MAC)</t>
  </si>
  <si>
    <t>Machine</t>
  </si>
  <si>
    <t>A1 M2M (AAZ)</t>
  </si>
  <si>
    <t>ATT M2M MEX (AAZ)</t>
  </si>
  <si>
    <t>DT M2M (AAZ)</t>
  </si>
  <si>
    <t>Orange M2M (AAZ)</t>
  </si>
  <si>
    <t>Sprint M2M USA (AAZ)</t>
  </si>
  <si>
    <t>Telefonica M2M (AAZ)</t>
  </si>
  <si>
    <t>Verizon M2M USA (AAZ)</t>
  </si>
  <si>
    <t>Vodafone (AAZ)</t>
  </si>
  <si>
    <t>Madagascar</t>
  </si>
  <si>
    <t>Airtel (MDG)</t>
  </si>
  <si>
    <t>Orange (MDG)</t>
  </si>
  <si>
    <t>Yas (MDG)</t>
  </si>
  <si>
    <t>Malawi</t>
  </si>
  <si>
    <t>Airtel (MWI)</t>
  </si>
  <si>
    <t>TNM (MWI)</t>
  </si>
  <si>
    <t>Malaysia</t>
  </si>
  <si>
    <t>Axiata (MYS)</t>
  </si>
  <si>
    <t>Maxis (MYS)</t>
  </si>
  <si>
    <t>Mi3G (MYS)</t>
  </si>
  <si>
    <t>Telenor (MYS)</t>
  </si>
  <si>
    <t>Maldives</t>
  </si>
  <si>
    <t>Batelco (MDV)</t>
  </si>
  <si>
    <t>Ooredoo (MDV)</t>
  </si>
  <si>
    <t>Mali</t>
  </si>
  <si>
    <t>IAM (MLI)</t>
  </si>
  <si>
    <t>Orange (MLI)</t>
  </si>
  <si>
    <t>Malta</t>
  </si>
  <si>
    <t>Epic (MLT)</t>
  </si>
  <si>
    <t>GoMobile (MLT)</t>
  </si>
  <si>
    <t>Melita (MLT)</t>
  </si>
  <si>
    <t>Maritime</t>
  </si>
  <si>
    <t>Epic (AAM)</t>
  </si>
  <si>
    <t>Monaco Telecom (AAM)</t>
  </si>
  <si>
    <t>TIM (AAM)</t>
  </si>
  <si>
    <t>Tampnet (AAM)</t>
  </si>
  <si>
    <t>Telenor (AAM)</t>
  </si>
  <si>
    <t>WMS (AAM)</t>
  </si>
  <si>
    <t>Mauritania</t>
  </si>
  <si>
    <t>Chinguitel (MRT)</t>
  </si>
  <si>
    <t>IAM (MRT)</t>
  </si>
  <si>
    <t>Mattel (MRT)</t>
  </si>
  <si>
    <t>Mauritius</t>
  </si>
  <si>
    <t>Cellplus (MUS)</t>
  </si>
  <si>
    <t>Emtel (MUS)</t>
  </si>
  <si>
    <t>MTML (MUS)</t>
  </si>
  <si>
    <t>Mexico</t>
  </si>
  <si>
    <t>AMX (MEX)</t>
  </si>
  <si>
    <t>ATT (MEX)</t>
  </si>
  <si>
    <t>Altan (MEX)</t>
  </si>
  <si>
    <t>Telefonica (MEX)</t>
  </si>
  <si>
    <t>Micronesia</t>
  </si>
  <si>
    <t>FSMTC (FSM)</t>
  </si>
  <si>
    <t>Moldova</t>
  </si>
  <si>
    <t>Moldcell (MDA)</t>
  </si>
  <si>
    <t>Moldtelecom (MDA)</t>
  </si>
  <si>
    <t>Orange (MDA)</t>
  </si>
  <si>
    <t>Monaco</t>
  </si>
  <si>
    <t>Monaco Telecom (MCO)</t>
  </si>
  <si>
    <t>Mongolia</t>
  </si>
  <si>
    <t>Mobicom (MNG)</t>
  </si>
  <si>
    <t>Skytel (MNG)</t>
  </si>
  <si>
    <t>Unitel (MNG)</t>
  </si>
  <si>
    <t>Montenegro</t>
  </si>
  <si>
    <t>DT (MNE)</t>
  </si>
  <si>
    <t>Mtel (MNE)</t>
  </si>
  <si>
    <t>One (MNE)</t>
  </si>
  <si>
    <t>Montserrat</t>
  </si>
  <si>
    <t>Liberty (MSR)</t>
  </si>
  <si>
    <t>Morocco</t>
  </si>
  <si>
    <t>IAM (MAR)</t>
  </si>
  <si>
    <t>Orange (MAR)</t>
  </si>
  <si>
    <t>Wana (MAR)</t>
  </si>
  <si>
    <t>Mozambique</t>
  </si>
  <si>
    <t>Viettel (MOZ)</t>
  </si>
  <si>
    <t>Vodafone (MOZ)</t>
  </si>
  <si>
    <t>mCel (MOZ)</t>
  </si>
  <si>
    <t>Myanmar</t>
  </si>
  <si>
    <t>Atom (MMR)</t>
  </si>
  <si>
    <t>MPT (MMR)</t>
  </si>
  <si>
    <t>Ooredoo (MMR)</t>
  </si>
  <si>
    <t>Namibia</t>
  </si>
  <si>
    <t>MTC (NAM)</t>
  </si>
  <si>
    <t>Telecom (NAM)</t>
  </si>
  <si>
    <t>Nepal</t>
  </si>
  <si>
    <t>Axiata (NPL)</t>
  </si>
  <si>
    <t>NTC (NPL)</t>
  </si>
  <si>
    <t>Netherlands</t>
  </si>
  <si>
    <t>KPN (NLD)</t>
  </si>
  <si>
    <t>Odido (NLD)</t>
  </si>
  <si>
    <t>Vodafone (NLD)</t>
  </si>
  <si>
    <t>Netherlands Antilles</t>
  </si>
  <si>
    <t>Digicel (ANT)</t>
  </si>
  <si>
    <t>Liberty (ANT)</t>
  </si>
  <si>
    <t>Telcell (ANT)</t>
  </si>
  <si>
    <t>New Caledonia</t>
  </si>
  <si>
    <t>Mobilcom (NCL)</t>
  </si>
  <si>
    <t>New Zealand</t>
  </si>
  <si>
    <t>Spark (NZL)</t>
  </si>
  <si>
    <t>Two Degrees (NZL)</t>
  </si>
  <si>
    <t>Vodafone (NZL)</t>
  </si>
  <si>
    <t>Nicaragua</t>
  </si>
  <si>
    <t>AMX (NIC)</t>
  </si>
  <si>
    <t>Tigo (NIC)</t>
  </si>
  <si>
    <t>Niger</t>
  </si>
  <si>
    <t>Airtel (NER)</t>
  </si>
  <si>
    <t>IAM (NER)</t>
  </si>
  <si>
    <t>Orange (NER)</t>
  </si>
  <si>
    <t>Nigeria</t>
  </si>
  <si>
    <t>9mobile (NGA)</t>
  </si>
  <si>
    <t>Airtel (NGA)</t>
  </si>
  <si>
    <t>Globacom (NGA)</t>
  </si>
  <si>
    <t>MTN (NGA)</t>
  </si>
  <si>
    <t>North Macedonia</t>
  </si>
  <si>
    <t>A1 (MKD)</t>
  </si>
  <si>
    <t>DT (MKD)</t>
  </si>
  <si>
    <t>Norway</t>
  </si>
  <si>
    <t>Ice (NOR)</t>
  </si>
  <si>
    <t>Telenor (NOR)</t>
  </si>
  <si>
    <t>Telia (NOR)</t>
  </si>
  <si>
    <t>Oman</t>
  </si>
  <si>
    <t>Ooredoo (OMN)</t>
  </si>
  <si>
    <t>Vodafone (OMN)</t>
  </si>
  <si>
    <t>ZOI (OMN)</t>
  </si>
  <si>
    <t>Pakistan</t>
  </si>
  <si>
    <t>Etisalat (PAK)</t>
  </si>
  <si>
    <t>Paktel (PAK)</t>
  </si>
  <si>
    <t>Telenor (PAK)</t>
  </si>
  <si>
    <t>Veon (PAK)</t>
  </si>
  <si>
    <t>Palau</t>
  </si>
  <si>
    <t>PNCC (PLW)</t>
  </si>
  <si>
    <t>Palestine</t>
  </si>
  <si>
    <t>Ooredoo (PSE)</t>
  </si>
  <si>
    <t>Paltel (PSE)</t>
  </si>
  <si>
    <t>Panama</t>
  </si>
  <si>
    <t>Digicel (PAN)</t>
  </si>
  <si>
    <t>Liberty (PAN)</t>
  </si>
  <si>
    <t>Tigo (PAN)</t>
  </si>
  <si>
    <t>Papua New Guinea</t>
  </si>
  <si>
    <t>Digicel (PNG)</t>
  </si>
  <si>
    <t>Telikom Limited (PNG)</t>
  </si>
  <si>
    <t>Paraguay</t>
  </si>
  <si>
    <t>AMX (PRY)</t>
  </si>
  <si>
    <t>Nucleo (PRY)</t>
  </si>
  <si>
    <t>Tigo (PRY)</t>
  </si>
  <si>
    <t>Peru</t>
  </si>
  <si>
    <t>AMX (PER)</t>
  </si>
  <si>
    <t>Bitel (PER)</t>
  </si>
  <si>
    <t>Entel (PER)</t>
  </si>
  <si>
    <t>Telefonica (PER)</t>
  </si>
  <si>
    <t>Philippines</t>
  </si>
  <si>
    <t>Singtel (PHL)</t>
  </si>
  <si>
    <t>Smart (PHL)</t>
  </si>
  <si>
    <t>Poland</t>
  </si>
  <si>
    <t>DT (POL)</t>
  </si>
  <si>
    <t>Orange (POL)</t>
  </si>
  <si>
    <t>P4 (POL)</t>
  </si>
  <si>
    <t>Polkomtel (POL)</t>
  </si>
  <si>
    <t>Portugal</t>
  </si>
  <si>
    <t>Altice (PRT)</t>
  </si>
  <si>
    <t>Digi (PRT)</t>
  </si>
  <si>
    <t>NOS (PRT)</t>
  </si>
  <si>
    <t>Vodafone (PRT)</t>
  </si>
  <si>
    <t>Puerto Rico</t>
  </si>
  <si>
    <t>AMX (PRI)</t>
  </si>
  <si>
    <t>Liberty (PRI)</t>
  </si>
  <si>
    <t>Qatar</t>
  </si>
  <si>
    <t>Ooredoo (QAT)</t>
  </si>
  <si>
    <t>Vodafone (QAT)</t>
  </si>
  <si>
    <t>Reunion</t>
  </si>
  <si>
    <t>Altice (REU)</t>
  </si>
  <si>
    <t>Orange (REU)</t>
  </si>
  <si>
    <t>Telco Oi (REU)</t>
  </si>
  <si>
    <t>Romania</t>
  </si>
  <si>
    <t>DT (ROM)</t>
  </si>
  <si>
    <t>Digi (ROM)</t>
  </si>
  <si>
    <t>Orange (ROM)</t>
  </si>
  <si>
    <t>Vodafone (ROM)</t>
  </si>
  <si>
    <t>Russia</t>
  </si>
  <si>
    <t>MTS (RUS)</t>
  </si>
  <si>
    <t>MegaFon (RUS)</t>
  </si>
  <si>
    <t>Motiv (RUS)</t>
  </si>
  <si>
    <t>TMT (RUS)</t>
  </si>
  <si>
    <t>Tele2 (RUS)</t>
  </si>
  <si>
    <t>VimpelCom (RUS)</t>
  </si>
  <si>
    <t>Rwanda</t>
  </si>
  <si>
    <t>Airtel (RWA)</t>
  </si>
  <si>
    <t>MTN (RWA)</t>
  </si>
  <si>
    <t>Saint Kitts and Nevis</t>
  </si>
  <si>
    <t>Liberty (KNA)</t>
  </si>
  <si>
    <t>Saint Lucia</t>
  </si>
  <si>
    <t>Liberty (LCA)</t>
  </si>
  <si>
    <t>Saint Vincent and the Grenadines</t>
  </si>
  <si>
    <t>Liberty (VCT)</t>
  </si>
  <si>
    <t>Samoa</t>
  </si>
  <si>
    <t>Bluesky Samoa (WSM)</t>
  </si>
  <si>
    <t>Digicel (WSM)</t>
  </si>
  <si>
    <t>Sao Tome and Principe</t>
  </si>
  <si>
    <t>CST (STP)</t>
  </si>
  <si>
    <t>Unitel (STP)</t>
  </si>
  <si>
    <t>Saudi Arabia</t>
  </si>
  <si>
    <t>Etisalat (SAU)</t>
  </si>
  <si>
    <t>STC (SAU)</t>
  </si>
  <si>
    <t>ZOI (SAU)</t>
  </si>
  <si>
    <t>Senegal</t>
  </si>
  <si>
    <t>Expresso (SEN)</t>
  </si>
  <si>
    <t>Orange (SEN)</t>
  </si>
  <si>
    <t>Yas (SEN)</t>
  </si>
  <si>
    <t>Serbia</t>
  </si>
  <si>
    <t>A1 (SRB)</t>
  </si>
  <si>
    <t>Cetin (SRB)</t>
  </si>
  <si>
    <t>Telekom Serbia (SRB)</t>
  </si>
  <si>
    <t>Seychelles</t>
  </si>
  <si>
    <t>Airtel (SYC)</t>
  </si>
  <si>
    <t>C&amp;W (SYC)</t>
  </si>
  <si>
    <t>Sierra Leone</t>
  </si>
  <si>
    <t>Africell (SLE)</t>
  </si>
  <si>
    <t>Orange (SLE)</t>
  </si>
  <si>
    <t>Singapore</t>
  </si>
  <si>
    <t>MobileOne (SGP)</t>
  </si>
  <si>
    <t>Simba Telecom (SGP)</t>
  </si>
  <si>
    <t>Singtel (SGP)</t>
  </si>
  <si>
    <t>StarHub (SGP)</t>
  </si>
  <si>
    <t>Slovak Republic</t>
  </si>
  <si>
    <t>Cetin (SVK)</t>
  </si>
  <si>
    <t>DT (SVK)</t>
  </si>
  <si>
    <t>Orange (SVK)</t>
  </si>
  <si>
    <t>Slovenia</t>
  </si>
  <si>
    <t>A1 (SVN)</t>
  </si>
  <si>
    <t>Telekom (SVN)</t>
  </si>
  <si>
    <t>United (SVN)</t>
  </si>
  <si>
    <t>Solomon Islands</t>
  </si>
  <si>
    <t>Solomon Telekom (SLB)</t>
  </si>
  <si>
    <t>Telikom Limited (SLB)</t>
  </si>
  <si>
    <t>Somalia</t>
  </si>
  <si>
    <t>Golis (SOM)</t>
  </si>
  <si>
    <t>Hormuud (SOM)</t>
  </si>
  <si>
    <t>South Africa</t>
  </si>
  <si>
    <t>Cell C (ZAF)</t>
  </si>
  <si>
    <t>MTN (ZAF)</t>
  </si>
  <si>
    <t>Telkom (ZAF)</t>
  </si>
  <si>
    <t>Vodafone (ZAF)</t>
  </si>
  <si>
    <t>South Korea</t>
  </si>
  <si>
    <t>KT (KOR)</t>
  </si>
  <si>
    <t>LG (KOR)</t>
  </si>
  <si>
    <t>SK (KOR)</t>
  </si>
  <si>
    <t>South Sudan</t>
  </si>
  <si>
    <t>MTN (SSD)</t>
  </si>
  <si>
    <t>ZOI (SSD)</t>
  </si>
  <si>
    <t>Spain</t>
  </si>
  <si>
    <t>Digi (ESP)</t>
  </si>
  <si>
    <t>Gibtel (ESP)</t>
  </si>
  <si>
    <t>Orange (ESP)</t>
  </si>
  <si>
    <t>Telefonica (ESP)</t>
  </si>
  <si>
    <t>Vodafone (ESP)</t>
  </si>
  <si>
    <t>Sri Lanka</t>
  </si>
  <si>
    <t>Axiata (LKA)</t>
  </si>
  <si>
    <t>H3G (LKA)</t>
  </si>
  <si>
    <t>Mobitel (LKA)</t>
  </si>
  <si>
    <t>St. Helena</t>
  </si>
  <si>
    <t>Sure (SHN)</t>
  </si>
  <si>
    <t>Sudan</t>
  </si>
  <si>
    <t>Expresso (SDN)</t>
  </si>
  <si>
    <t>MTN (SDN)</t>
  </si>
  <si>
    <t>ZOI (SUD)</t>
  </si>
  <si>
    <t>Suriname</t>
  </si>
  <si>
    <t>Digicel (SUR)</t>
  </si>
  <si>
    <t>Telesur (SUR)</t>
  </si>
  <si>
    <t>Swaziland</t>
  </si>
  <si>
    <t>MTN (SWZ)</t>
  </si>
  <si>
    <t>Sweden</t>
  </si>
  <si>
    <t>H3G (SWE)</t>
  </si>
  <si>
    <t>Tele2 (SWE)</t>
  </si>
  <si>
    <t>Telenor (SWE)</t>
  </si>
  <si>
    <t>Telia (SWE)</t>
  </si>
  <si>
    <t>Switzerland</t>
  </si>
  <si>
    <t>Salt (CHE)</t>
  </si>
  <si>
    <t>Sunrise (CHE)</t>
  </si>
  <si>
    <t>Swisscom (CHE)</t>
  </si>
  <si>
    <t>Syria</t>
  </si>
  <si>
    <t>Spacetel (SYR)</t>
  </si>
  <si>
    <t>Syriatel (SYR)</t>
  </si>
  <si>
    <t>Taiwan</t>
  </si>
  <si>
    <t>Chungwa (TWN)</t>
  </si>
  <si>
    <t>Far Eastone (TWN)</t>
  </si>
  <si>
    <t>Taiwan Mobile (TWN)</t>
  </si>
  <si>
    <t>Tajikistan</t>
  </si>
  <si>
    <t>Josa (TJK)</t>
  </si>
  <si>
    <t>MegaFon (TJK)</t>
  </si>
  <si>
    <t>TSE (TJK)</t>
  </si>
  <si>
    <t>Tacom (TJK)</t>
  </si>
  <si>
    <t>Tanzania</t>
  </si>
  <si>
    <t>Airtel (TZA)</t>
  </si>
  <si>
    <t>Honora (TZA)</t>
  </si>
  <si>
    <t>Viettel (TZA)</t>
  </si>
  <si>
    <t>Vodafone (TZA)</t>
  </si>
  <si>
    <t>Thailand</t>
  </si>
  <si>
    <t>Singtel (THA)</t>
  </si>
  <si>
    <t>Telenor (THA)</t>
  </si>
  <si>
    <t>True (THA)</t>
  </si>
  <si>
    <t>Togo</t>
  </si>
  <si>
    <t>IAM (TGO)</t>
  </si>
  <si>
    <t>Yas (TGO)</t>
  </si>
  <si>
    <t>Tonga</t>
  </si>
  <si>
    <t>Digicel (TON)</t>
  </si>
  <si>
    <t>TCC (TON)</t>
  </si>
  <si>
    <t>Trinidad and Tobago</t>
  </si>
  <si>
    <t>Digicel (TTO)</t>
  </si>
  <si>
    <t>TSTT (TTO)</t>
  </si>
  <si>
    <t>Tunisia</t>
  </si>
  <si>
    <t>Ooredoo (TUN)</t>
  </si>
  <si>
    <t>Orange (TUN)</t>
  </si>
  <si>
    <t>Tunisie Telecom (TUN)</t>
  </si>
  <si>
    <t>Turkey</t>
  </si>
  <si>
    <t>TT MOBIL (TUR)</t>
  </si>
  <si>
    <t>Turkcell (TUR)</t>
  </si>
  <si>
    <t>Vodafone (TUR)</t>
  </si>
  <si>
    <t>Turkey_2</t>
  </si>
  <si>
    <t>Turkcell Germany (TUR)</t>
  </si>
  <si>
    <t>Turkmenistan</t>
  </si>
  <si>
    <t>Altyn (TKM)</t>
  </si>
  <si>
    <t>Turks and Caicos Islands</t>
  </si>
  <si>
    <t>Digicel (TCA)</t>
  </si>
  <si>
    <t>Liberty (TCA)</t>
  </si>
  <si>
    <t>UAE</t>
  </si>
  <si>
    <t>Etisalat (ARE)</t>
  </si>
  <si>
    <t>du (ARE)</t>
  </si>
  <si>
    <t>UK</t>
  </si>
  <si>
    <t>BT (GBR)</t>
  </si>
  <si>
    <t>H3G (GBR)</t>
  </si>
  <si>
    <t>Telefonica (GBR)</t>
  </si>
  <si>
    <t>Vodafone (GBR)</t>
  </si>
  <si>
    <t>USA</t>
  </si>
  <si>
    <t>ATN (USA)</t>
  </si>
  <si>
    <t>ATT (USA)</t>
  </si>
  <si>
    <t>AWN (USA)</t>
  </si>
  <si>
    <t>DT (USA)</t>
  </si>
  <si>
    <t>DT M2M USA (USA)</t>
  </si>
  <si>
    <t>Smith Bagley (USA)</t>
  </si>
  <si>
    <t>Sprint (USA)</t>
  </si>
  <si>
    <t>Union (USA)</t>
  </si>
  <si>
    <t>Verizon (USA)</t>
  </si>
  <si>
    <t>Viaero (USA)</t>
  </si>
  <si>
    <t>Uganda</t>
  </si>
  <si>
    <t>Airtel (UGA)</t>
  </si>
  <si>
    <t>MTN (UGA)</t>
  </si>
  <si>
    <t>Uganda Telecom (UGA)</t>
  </si>
  <si>
    <t>Ukraine</t>
  </si>
  <si>
    <t>Lifecell (UKR)</t>
  </si>
  <si>
    <t>Veon (UKR)</t>
  </si>
  <si>
    <t>Vodafone (UKR)</t>
  </si>
  <si>
    <t>Uruguay</t>
  </si>
  <si>
    <t>AMX (URY)</t>
  </si>
  <si>
    <t>Antel (URY)</t>
  </si>
  <si>
    <t>Telefonica (URY)</t>
  </si>
  <si>
    <t>Uzbekistan</t>
  </si>
  <si>
    <t>UMS (UZB)</t>
  </si>
  <si>
    <t>Ucell (UZB)</t>
  </si>
  <si>
    <t>Uztelecom (UZB)</t>
  </si>
  <si>
    <t>Veon (UZB)</t>
  </si>
  <si>
    <t>Vanuatu</t>
  </si>
  <si>
    <t>Digicel (VUT)</t>
  </si>
  <si>
    <t>Telecom (VUT)</t>
  </si>
  <si>
    <t>Venezuela</t>
  </si>
  <si>
    <t>Digitel (VEN)</t>
  </si>
  <si>
    <t>Telefonica (VEN)</t>
  </si>
  <si>
    <t>Vietnam</t>
  </si>
  <si>
    <t>H3G (VNM)</t>
  </si>
  <si>
    <t>VMS (VNM)</t>
  </si>
  <si>
    <t>Viettel (VNM)</t>
  </si>
  <si>
    <t>Vinaphone (VNM)</t>
  </si>
  <si>
    <t>Yemen</t>
  </si>
  <si>
    <t>Batelco (YEM)</t>
  </si>
  <si>
    <t>YOU (YEM)</t>
  </si>
  <si>
    <t>Zambia</t>
  </si>
  <si>
    <t>Airtel (ZMB)</t>
  </si>
  <si>
    <t>CellZ (ZMB)</t>
  </si>
  <si>
    <t>MTN (ZMB)</t>
  </si>
  <si>
    <t>Zimbabwe</t>
  </si>
  <si>
    <t>Econet (ZWE)</t>
  </si>
  <si>
    <t>Net One (ZWE)</t>
  </si>
  <si>
    <t>Telecel (ZWE)</t>
  </si>
  <si>
    <t>Country</t>
  </si>
  <si>
    <t>AF</t>
  </si>
  <si>
    <t>AL</t>
  </si>
  <si>
    <t>DZ</t>
  </si>
  <si>
    <t>AD</t>
  </si>
  <si>
    <t>AO</t>
  </si>
  <si>
    <t>AI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</si>
  <si>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</si>
  <si>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</si>
  <si>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</si>
  <si>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</si>
  <si>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</si>
  <si>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</si>
  <si>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</si>
  <si>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</si>
  <si>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</si>
  <si>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</si>
  <si>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</si>
  <si>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BE</t>
  </si>
  <si>
    <t>BZ</t>
  </si>
  <si>
    <t>BJ</t>
  </si>
  <si>
    <t>BM</t>
  </si>
  <si>
    <t>BT</t>
  </si>
  <si>
    <t>BO</t>
  </si>
  <si>
    <t>BA</t>
  </si>
  <si>
    <t>BW</t>
  </si>
  <si>
    <t>BR</t>
  </si>
  <si>
    <t>VG</t>
  </si>
  <si>
    <t>BN</t>
  </si>
  <si>
    <t>BG</t>
  </si>
  <si>
    <t>BF</t>
  </si>
  <si>
    <t>BI</t>
  </si>
  <si>
    <t>KH</t>
  </si>
  <si>
    <t>CM</t>
  </si>
  <si>
    <t>CA</t>
  </si>
  <si>
    <t>CV</t>
  </si>
  <si>
    <t>Cabo Verde</t>
  </si>
  <si>
    <t>KY</t>
  </si>
  <si>
    <t>CF</t>
  </si>
  <si>
    <t>TD</t>
  </si>
  <si>
    <t>CL</t>
  </si>
  <si>
    <t>CN</t>
  </si>
  <si>
    <t>CO</t>
  </si>
  <si>
    <t>CK</t>
  </si>
  <si>
    <t>CR</t>
  </si>
  <si>
    <t>CI</t>
  </si>
  <si>
    <t>Côte d'Ivoire</t>
  </si>
  <si>
    <t>HR</t>
  </si>
  <si>
    <t>CY</t>
  </si>
  <si>
    <t>CZ</t>
  </si>
  <si>
    <t>Czechia</t>
  </si>
  <si>
    <t>DK</t>
  </si>
  <si>
    <t>DJ</t>
  </si>
  <si>
    <t>DM</t>
  </si>
  <si>
    <t>DO</t>
  </si>
  <si>
    <t>EC</t>
  </si>
  <si>
    <t>EG</t>
  </si>
  <si>
    <t>SV</t>
  </si>
  <si>
    <t>GQ</t>
  </si>
  <si>
    <t>EE</t>
  </si>
  <si>
    <t>SZ</t>
  </si>
  <si>
    <t>Eswatini</t>
  </si>
  <si>
    <t>ET</t>
  </si>
  <si>
    <t>FO</t>
  </si>
  <si>
    <t>FJ</t>
  </si>
  <si>
    <t>FI</t>
  </si>
  <si>
    <t>FR</t>
  </si>
  <si>
    <t>GF</t>
  </si>
  <si>
    <t>French Guiana</t>
  </si>
  <si>
    <t>PF</t>
  </si>
  <si>
    <t>GA</t>
  </si>
  <si>
    <t>GM</t>
  </si>
  <si>
    <t>GE</t>
  </si>
  <si>
    <t>DE</t>
  </si>
  <si>
    <t>GH</t>
  </si>
  <si>
    <t>GI</t>
  </si>
  <si>
    <t>GR</t>
  </si>
  <si>
    <t>GL</t>
  </si>
  <si>
    <t>GD</t>
  </si>
  <si>
    <t>GP</t>
  </si>
  <si>
    <t>Guadeloupe</t>
  </si>
  <si>
    <t>GU</t>
  </si>
  <si>
    <t>GT</t>
  </si>
  <si>
    <t>GG</t>
  </si>
  <si>
    <t>Guernsey</t>
  </si>
  <si>
    <t>GN</t>
  </si>
  <si>
    <t>GW</t>
  </si>
  <si>
    <t>Guinea-Bissau</t>
  </si>
  <si>
    <t>GY</t>
  </si>
  <si>
    <t>HT</t>
  </si>
  <si>
    <t>HN</t>
  </si>
  <si>
    <t>HK</t>
  </si>
  <si>
    <t>HU</t>
  </si>
  <si>
    <t>IS</t>
  </si>
  <si>
    <t>IN</t>
  </si>
  <si>
    <t>ID</t>
  </si>
  <si>
    <t>IQ</t>
  </si>
  <si>
    <t>IE</t>
  </si>
  <si>
    <t>IM</t>
  </si>
  <si>
    <t>Isle of Man</t>
  </si>
  <si>
    <t>IL</t>
  </si>
  <si>
    <t>IT</t>
  </si>
  <si>
    <t>JM</t>
  </si>
  <si>
    <t>JP</t>
  </si>
  <si>
    <t>JE</t>
  </si>
  <si>
    <t>Jersey</t>
  </si>
  <si>
    <t>JO</t>
  </si>
  <si>
    <t>KZ</t>
  </si>
  <si>
    <t>KE</t>
  </si>
  <si>
    <t>XK</t>
  </si>
  <si>
    <t>KG</t>
  </si>
  <si>
    <t>LA</t>
  </si>
  <si>
    <t>LV</t>
  </si>
  <si>
    <t>LB</t>
  </si>
  <si>
    <t>LS</t>
  </si>
  <si>
    <t>LR</t>
  </si>
  <si>
    <t>LY</t>
  </si>
  <si>
    <t>LI</t>
  </si>
  <si>
    <t>LT</t>
  </si>
  <si>
    <t>LU</t>
  </si>
  <si>
    <t>MO</t>
  </si>
  <si>
    <t>MG</t>
  </si>
  <si>
    <t>MW</t>
  </si>
  <si>
    <t>MY</t>
  </si>
  <si>
    <t>MV</t>
  </si>
  <si>
    <t>ML</t>
  </si>
  <si>
    <t>MT</t>
  </si>
  <si>
    <t>MQ</t>
  </si>
  <si>
    <t>Martinique</t>
  </si>
  <si>
    <t>MR</t>
  </si>
  <si>
    <t>MU</t>
  </si>
  <si>
    <t>MX</t>
  </si>
  <si>
    <t>MD</t>
  </si>
  <si>
    <t>MC</t>
  </si>
  <si>
    <t>MN</t>
  </si>
  <si>
    <t>ME</t>
  </si>
  <si>
    <t>MS</t>
  </si>
  <si>
    <t>MA</t>
  </si>
  <si>
    <t>MZ</t>
  </si>
  <si>
    <t>MM</t>
  </si>
  <si>
    <t>NA</t>
  </si>
  <si>
    <t>NP</t>
  </si>
  <si>
    <t>NL</t>
  </si>
  <si>
    <t>BQ</t>
  </si>
  <si>
    <t>Bonaire, Sint Eustatius and Saba</t>
  </si>
  <si>
    <t>NC</t>
  </si>
  <si>
    <t>NZ</t>
  </si>
  <si>
    <t>NI</t>
  </si>
  <si>
    <t>NE</t>
  </si>
  <si>
    <t>NG</t>
  </si>
  <si>
    <t>MK</t>
  </si>
  <si>
    <t>NO</t>
  </si>
  <si>
    <t>OM</t>
  </si>
  <si>
    <t>PK</t>
  </si>
  <si>
    <t>PA</t>
  </si>
  <si>
    <t>PG</t>
  </si>
  <si>
    <t>PY</t>
  </si>
  <si>
    <t>PE</t>
  </si>
  <si>
    <t>PH</t>
  </si>
  <si>
    <t>PL</t>
  </si>
  <si>
    <t>PT</t>
  </si>
  <si>
    <t>PR</t>
  </si>
  <si>
    <t>QA</t>
  </si>
  <si>
    <t>CG</t>
  </si>
  <si>
    <t>RE</t>
  </si>
  <si>
    <t>Réunion</t>
  </si>
  <si>
    <t>RO</t>
  </si>
  <si>
    <t>RW</t>
  </si>
  <si>
    <t>KN</t>
  </si>
  <si>
    <t>LC</t>
  </si>
  <si>
    <t>VC</t>
  </si>
  <si>
    <t>WS</t>
  </si>
  <si>
    <t>ST</t>
  </si>
  <si>
    <t>SA</t>
  </si>
  <si>
    <t>SN</t>
  </si>
  <si>
    <t>RS</t>
  </si>
  <si>
    <t>SC</t>
  </si>
  <si>
    <t>SL</t>
  </si>
  <si>
    <t>SG</t>
  </si>
  <si>
    <t>SK</t>
  </si>
  <si>
    <t>Slovakia</t>
  </si>
  <si>
    <t>SI</t>
  </si>
  <si>
    <t>SB</t>
  </si>
  <si>
    <t>ZA</t>
  </si>
  <si>
    <t>KR</t>
  </si>
  <si>
    <t>SS</t>
  </si>
  <si>
    <t>ES</t>
  </si>
  <si>
    <t>LK</t>
  </si>
  <si>
    <t>PS</t>
  </si>
  <si>
    <t>Palestine, State of</t>
  </si>
  <si>
    <t>SR</t>
  </si>
  <si>
    <t>SE</t>
  </si>
  <si>
    <t>CH</t>
  </si>
  <si>
    <t>TW</t>
  </si>
  <si>
    <t>TJ</t>
  </si>
  <si>
    <t>TH</t>
  </si>
  <si>
    <t>TG</t>
  </si>
  <si>
    <t>TO</t>
  </si>
  <si>
    <t>TT</t>
  </si>
  <si>
    <t>TN</t>
  </si>
  <si>
    <t>TR</t>
  </si>
  <si>
    <t>TC</t>
  </si>
  <si>
    <t>UG</t>
  </si>
  <si>
    <t>UA</t>
  </si>
  <si>
    <t>AE</t>
  </si>
  <si>
    <t>GB</t>
  </si>
  <si>
    <t>US</t>
  </si>
  <si>
    <t>UY</t>
  </si>
  <si>
    <t>UZ</t>
  </si>
  <si>
    <t>VU</t>
  </si>
  <si>
    <t>VE</t>
  </si>
  <si>
    <t>VN</t>
  </si>
  <si>
    <t>YE</t>
  </si>
  <si>
    <t>ZM</t>
  </si>
  <si>
    <t>ZW</t>
  </si>
  <si>
    <t>ISO_Code_A3</t>
  </si>
  <si>
    <t>Alpha-2 code</t>
  </si>
  <si>
    <t>Alpha-3 code</t>
  </si>
  <si>
    <t>Numeric</t>
  </si>
  <si>
    <t>AFG</t>
  </si>
  <si>
    <t>ALB</t>
  </si>
  <si>
    <t>DZA</t>
  </si>
  <si>
    <t>AS</t>
  </si>
  <si>
    <t>ASM</t>
  </si>
  <si>
    <t>AND</t>
  </si>
  <si>
    <t>AGO</t>
  </si>
  <si>
    <t>AIA</t>
  </si>
  <si>
    <t>Antarctica</t>
  </si>
  <si>
    <t>AQ</t>
  </si>
  <si>
    <t>ATA</t>
  </si>
  <si>
    <t>ATG</t>
  </si>
  <si>
    <t>ARG</t>
  </si>
  <si>
    <t>ARM</t>
  </si>
  <si>
    <t>ABW</t>
  </si>
  <si>
    <t>AUS</t>
  </si>
  <si>
    <t>AUT</t>
  </si>
  <si>
    <t>AZE</t>
  </si>
  <si>
    <t>Bahamas (the)</t>
  </si>
  <si>
    <t>BHS</t>
  </si>
  <si>
    <t>BHR</t>
  </si>
  <si>
    <t>BGD</t>
  </si>
  <si>
    <t>BRB</t>
  </si>
  <si>
    <t>BY</t>
  </si>
  <si>
    <t>BLR</t>
  </si>
  <si>
    <t>BEL</t>
  </si>
  <si>
    <t>BLZ</t>
  </si>
  <si>
    <t>BEN</t>
  </si>
  <si>
    <t>BMU</t>
  </si>
  <si>
    <t>BTN</t>
  </si>
  <si>
    <t>Bolivia (Plurinational State of)</t>
  </si>
  <si>
    <t>BOL</t>
  </si>
  <si>
    <t>BES</t>
  </si>
  <si>
    <t>BIH</t>
  </si>
  <si>
    <t>BWA</t>
  </si>
  <si>
    <t>Bouvet Island</t>
  </si>
  <si>
    <t>BV</t>
  </si>
  <si>
    <t>BVT</t>
  </si>
  <si>
    <t>BRA</t>
  </si>
  <si>
    <t>British Indian Ocean Territory (the)</t>
  </si>
  <si>
    <t>IO</t>
  </si>
  <si>
    <t>IOT</t>
  </si>
  <si>
    <t>BRN</t>
  </si>
  <si>
    <t>BGR</t>
  </si>
  <si>
    <t>BFA</t>
  </si>
  <si>
    <t>BDI</t>
  </si>
  <si>
    <t>CPV</t>
  </si>
  <si>
    <t>KHM</t>
  </si>
  <si>
    <t>CMR</t>
  </si>
  <si>
    <t>CAN</t>
  </si>
  <si>
    <t>Cayman Islands (the)</t>
  </si>
  <si>
    <t>CYM</t>
  </si>
  <si>
    <t>Central African Republic (the)</t>
  </si>
  <si>
    <t>CAF</t>
  </si>
  <si>
    <t>TCD</t>
  </si>
  <si>
    <t>CHL</t>
  </si>
  <si>
    <t>CHN</t>
  </si>
  <si>
    <t>Christmas Island</t>
  </si>
  <si>
    <t>CX</t>
  </si>
  <si>
    <t>CXR</t>
  </si>
  <si>
    <t>Cocos (Keeling) Islands (the)</t>
  </si>
  <si>
    <t>CC</t>
  </si>
  <si>
    <t>CCK</t>
  </si>
  <si>
    <t>COL</t>
  </si>
  <si>
    <t>Comoros (the)</t>
  </si>
  <si>
    <t>KM</t>
  </si>
  <si>
    <t>COM</t>
  </si>
  <si>
    <t>Congo (the Democratic Republic of the)</t>
  </si>
  <si>
    <t>CD</t>
  </si>
  <si>
    <t>COD</t>
  </si>
  <si>
    <t>Congo (the)</t>
  </si>
  <si>
    <t>COG</t>
  </si>
  <si>
    <t>Cook Islands (the)</t>
  </si>
  <si>
    <t>COK</t>
  </si>
  <si>
    <t>CRI</t>
  </si>
  <si>
    <t>HRV</t>
  </si>
  <si>
    <t>CU</t>
  </si>
  <si>
    <t>CUB</t>
  </si>
  <si>
    <t>Curaçao</t>
  </si>
  <si>
    <t>CW</t>
  </si>
  <si>
    <t>CUW</t>
  </si>
  <si>
    <t>CYP</t>
  </si>
  <si>
    <t>CZE</t>
  </si>
  <si>
    <t>CIV</t>
  </si>
  <si>
    <t>DNK</t>
  </si>
  <si>
    <t>DJI</t>
  </si>
  <si>
    <t>DMA</t>
  </si>
  <si>
    <t>Dominican Republic (the)</t>
  </si>
  <si>
    <t>DOM</t>
  </si>
  <si>
    <t>ECU</t>
  </si>
  <si>
    <t>EGY</t>
  </si>
  <si>
    <t>SLV</t>
  </si>
  <si>
    <t>GNQ</t>
  </si>
  <si>
    <t>Eritrea</t>
  </si>
  <si>
    <t>ER</t>
  </si>
  <si>
    <t>ERI</t>
  </si>
  <si>
    <t>EST</t>
  </si>
  <si>
    <t>SWZ</t>
  </si>
  <si>
    <t>ETH</t>
  </si>
  <si>
    <t>Falkland Islands (the) [Malvinas]</t>
  </si>
  <si>
    <t>FK</t>
  </si>
  <si>
    <t>FLK</t>
  </si>
  <si>
    <t>Faroe Islands (the)</t>
  </si>
  <si>
    <t>FRO</t>
  </si>
  <si>
    <t>FJI</t>
  </si>
  <si>
    <t>FIN</t>
  </si>
  <si>
    <t>FRA</t>
  </si>
  <si>
    <t>GUF</t>
  </si>
  <si>
    <t>PYF</t>
  </si>
  <si>
    <t>French Southern Territories (the)</t>
  </si>
  <si>
    <t>TF</t>
  </si>
  <si>
    <t>ATF</t>
  </si>
  <si>
    <t>GAB</t>
  </si>
  <si>
    <t>Gambia (the)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</si>
  <si>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</si>
  <si>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</si>
  <si>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</si>
  <si>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</si>
  <si>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</si>
  <si>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</si>
  <si>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</si>
  <si>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</si>
  <si>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</si>
  <si>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</si>
  <si>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</si>
  <si>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GGY</t>
  </si>
  <si>
    <t>GIN</t>
  </si>
  <si>
    <t>GNB</t>
  </si>
  <si>
    <t>GUY</t>
  </si>
  <si>
    <t>HTI</t>
  </si>
  <si>
    <t>Heard Island and McDonald Islands</t>
  </si>
  <si>
    <t>HM</t>
  </si>
  <si>
    <t>HMD</t>
  </si>
  <si>
    <t>Holy See (the)</t>
  </si>
  <si>
    <t>VA</t>
  </si>
  <si>
    <t>VAT</t>
  </si>
  <si>
    <t>HND</t>
  </si>
  <si>
    <t>HKG</t>
  </si>
  <si>
    <t>HUN</t>
  </si>
  <si>
    <t>ISL</t>
  </si>
  <si>
    <t>IND</t>
  </si>
  <si>
    <t>IDN</t>
  </si>
  <si>
    <t>Iran (Islamic Republic of)</t>
  </si>
  <si>
    <t>IR</t>
  </si>
  <si>
    <t>IRN</t>
  </si>
  <si>
    <t>IRQ</t>
  </si>
  <si>
    <t>IRL</t>
  </si>
  <si>
    <t>IMN</t>
  </si>
  <si>
    <t>ISR</t>
  </si>
  <si>
    <t>ITA</t>
  </si>
  <si>
    <t>JAM</t>
  </si>
  <si>
    <t>JPN</t>
  </si>
  <si>
    <t>JEY</t>
  </si>
  <si>
    <t>JOR</t>
  </si>
  <si>
    <t>KAZ</t>
  </si>
  <si>
    <t>KEN</t>
  </si>
  <si>
    <t>KI</t>
  </si>
  <si>
    <t>KIR</t>
  </si>
  <si>
    <t>Korea (the Democratic People's Republic of)</t>
  </si>
  <si>
    <t>KP</t>
  </si>
  <si>
    <t>PRK</t>
  </si>
  <si>
    <t>Korea (the Republic of)</t>
  </si>
  <si>
    <t>KOR</t>
  </si>
  <si>
    <t>KW</t>
  </si>
  <si>
    <t>KWT</t>
  </si>
  <si>
    <t>KGZ</t>
  </si>
  <si>
    <t>Lao People's Democratic Republic (the)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</si>
  <si>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</si>
  <si>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</si>
  <si>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</si>
  <si>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</si>
  <si>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</si>
  <si>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</si>
  <si>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</si>
  <si>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</si>
  <si>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</si>
  <si>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</si>
  <si>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</si>
  <si>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</si>
  <si>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</si>
  <si>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</si>
  <si>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</si>
  <si>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</si>
  <si>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Marshall Islands (the)</t>
  </si>
  <si>
    <t>MH</t>
  </si>
  <si>
    <t>MHL</t>
  </si>
  <si>
    <t>MTQ</t>
  </si>
  <si>
    <t>MRT</t>
  </si>
  <si>
    <t>MUS</t>
  </si>
  <si>
    <t>Mayotte</t>
  </si>
  <si>
    <t>YT</t>
  </si>
  <si>
    <t>MYT</t>
  </si>
  <si>
    <t>MEX</t>
  </si>
  <si>
    <t>Micronesia (Federated States of)</t>
  </si>
  <si>
    <t>FM</t>
  </si>
  <si>
    <t>FSM</t>
  </si>
  <si>
    <t>Moldova (the Republic of)</t>
  </si>
  <si>
    <t>MDA</t>
  </si>
  <si>
    <t>MCO</t>
  </si>
  <si>
    <t>MNG</t>
  </si>
  <si>
    <t>MNE</t>
  </si>
  <si>
    <t>MSR</t>
  </si>
  <si>
    <t>MAR</t>
  </si>
  <si>
    <t>MOZ</t>
  </si>
  <si>
    <t>MMR</t>
  </si>
  <si>
    <t>NAM</t>
  </si>
  <si>
    <t>Nauru</t>
  </si>
  <si>
    <t>NR</t>
  </si>
  <si>
    <t>NRU</t>
  </si>
  <si>
    <t>NPL</t>
  </si>
  <si>
    <t>Netherlands (the)</t>
  </si>
  <si>
    <t>NLD</t>
  </si>
  <si>
    <t>NCL</t>
  </si>
  <si>
    <t>NZL</t>
  </si>
  <si>
    <t>NIC</t>
  </si>
  <si>
    <t>Niger (the)</t>
  </si>
  <si>
    <t>NER</t>
  </si>
  <si>
    <t>NGA</t>
  </si>
  <si>
    <t>Niue</t>
  </si>
  <si>
    <t>NU</t>
  </si>
  <si>
    <t>NIU</t>
  </si>
  <si>
    <t>Norfolk Island</t>
  </si>
  <si>
    <t>NF</t>
  </si>
  <si>
    <t>NFK</t>
  </si>
  <si>
    <t>Northern Mariana Islands (the)</t>
  </si>
  <si>
    <t>MP</t>
  </si>
  <si>
    <t>MNP</t>
  </si>
  <si>
    <t>NOR</t>
  </si>
  <si>
    <t>OMN</t>
  </si>
  <si>
    <t>PAK</t>
  </si>
  <si>
    <t>PW</t>
  </si>
  <si>
    <t>PLW</t>
  </si>
  <si>
    <t>PSE</t>
  </si>
  <si>
    <t>PAN</t>
  </si>
  <si>
    <t>PNG</t>
  </si>
  <si>
    <t>PRY</t>
  </si>
  <si>
    <t>PER</t>
  </si>
  <si>
    <t>Philippines (the)</t>
  </si>
  <si>
    <t>PHL</t>
  </si>
  <si>
    <t>Pitcairn</t>
  </si>
  <si>
    <t>PN</t>
  </si>
  <si>
    <t>PCN</t>
  </si>
  <si>
    <t>POL</t>
  </si>
  <si>
    <t>PRT</t>
  </si>
  <si>
    <t>PRI</t>
  </si>
  <si>
    <t>QAT</t>
  </si>
  <si>
    <t>Republic of North Macedonia</t>
  </si>
  <si>
    <t>MKD</t>
  </si>
  <si>
    <t>ROU</t>
  </si>
  <si>
    <t>Russian Federation (the)</t>
  </si>
  <si>
    <t>RU</t>
  </si>
  <si>
    <t>RUS</t>
  </si>
  <si>
    <t>RWA</t>
  </si>
  <si>
    <t>REU</t>
  </si>
  <si>
    <t>Saint Barthélemy</t>
  </si>
  <si>
    <t>BL</t>
  </si>
  <si>
    <t>BLM</t>
  </si>
  <si>
    <t>Saint Helena, Ascension and Tristan da Cunha</t>
  </si>
  <si>
    <t>SH</t>
  </si>
  <si>
    <t>SHN</t>
  </si>
  <si>
    <t>KNA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</si>
  <si>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</si>
  <si>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</si>
  <si>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</si>
  <si>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</si>
  <si>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</si>
  <si>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</si>
  <si>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</si>
  <si>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VCT</t>
  </si>
  <si>
    <t>WSM</t>
  </si>
  <si>
    <t>San Marino</t>
  </si>
  <si>
    <t>SM</t>
  </si>
  <si>
    <t>SMR</t>
  </si>
  <si>
    <t>STP</t>
  </si>
  <si>
    <t>SAU</t>
  </si>
  <si>
    <t>SEN</t>
  </si>
  <si>
    <t>SRB</t>
  </si>
  <si>
    <t>SYC</t>
  </si>
  <si>
    <t>SLE</t>
  </si>
  <si>
    <t>SGP</t>
  </si>
  <si>
    <t>Sint Maarten (Dutch part)</t>
  </si>
  <si>
    <t>SX</t>
  </si>
  <si>
    <t>SXM</t>
  </si>
  <si>
    <t>SVK</t>
  </si>
  <si>
    <t>SVN</t>
  </si>
  <si>
    <t>SLB</t>
  </si>
  <si>
    <t>SO</t>
  </si>
  <si>
    <t>SOM</t>
  </si>
  <si>
    <t>ZAF</t>
  </si>
  <si>
    <t>South Georgia and the South Sandwich Islands</t>
  </si>
  <si>
    <t>GS</t>
  </si>
  <si>
    <t>SGS</t>
  </si>
  <si>
    <t>SSD</t>
  </si>
  <si>
    <t>ESP</t>
  </si>
  <si>
    <t>LKA</t>
  </si>
  <si>
    <t>Sudan (the)</t>
  </si>
  <si>
    <t>SD</t>
  </si>
  <si>
    <t>SDN</t>
  </si>
  <si>
    <t>SUR</t>
  </si>
  <si>
    <t>Svalbard and Jan Mayen</t>
  </si>
  <si>
    <t>SJ</t>
  </si>
  <si>
    <t>SJM</t>
  </si>
  <si>
    <t>SWE</t>
  </si>
  <si>
    <t>CHE</t>
  </si>
  <si>
    <t>Syrian Arab Republic</t>
  </si>
  <si>
    <t>SY</t>
  </si>
  <si>
    <t>SYR</t>
  </si>
  <si>
    <t>Taiwan (Province of China)</t>
  </si>
  <si>
    <t>TWN</t>
  </si>
  <si>
    <t>TJK</t>
  </si>
  <si>
    <t>Tanzania, United Republic of</t>
  </si>
  <si>
    <t>TZ</t>
  </si>
  <si>
    <t>TZA</t>
  </si>
  <si>
    <t>THA</t>
  </si>
  <si>
    <t>Timor-Leste</t>
  </si>
  <si>
    <t>TL</t>
  </si>
  <si>
    <t>TLS</t>
  </si>
  <si>
    <t>TGO</t>
  </si>
  <si>
    <t>Tokelau</t>
  </si>
  <si>
    <t>TK</t>
  </si>
  <si>
    <t>TKL</t>
  </si>
  <si>
    <t>TON</t>
  </si>
  <si>
    <t>TTO</t>
  </si>
  <si>
    <t>TUN</t>
  </si>
  <si>
    <t>TUR</t>
  </si>
  <si>
    <t>TM</t>
  </si>
  <si>
    <t>TKM</t>
  </si>
  <si>
    <t>Turks and Caicos Islands (the)</t>
  </si>
  <si>
    <t>TCA</t>
  </si>
  <si>
    <t>Tuvalu</t>
  </si>
  <si>
    <t>TV</t>
  </si>
  <si>
    <t>TUV</t>
  </si>
  <si>
    <t>UGA</t>
  </si>
  <si>
    <t>UKR</t>
  </si>
  <si>
    <t>United Arab Emirates (the)</t>
  </si>
  <si>
    <t>ARE</t>
  </si>
  <si>
    <t>United Kingdom of Great Britain and Northern Ireland (the)</t>
  </si>
  <si>
    <t>GBR</t>
  </si>
  <si>
    <t>United States Minor Outlying Islands (the)</t>
  </si>
  <si>
    <t>UM</t>
  </si>
  <si>
    <t>UMI</t>
  </si>
  <si>
    <t>United States of America (the)</t>
  </si>
  <si>
    <t>URY</t>
  </si>
  <si>
    <t>UZB</t>
  </si>
  <si>
    <t>VUT</t>
  </si>
  <si>
    <t>Venezuela (Bolivarian Republic of)</t>
  </si>
  <si>
    <t>VEN</t>
  </si>
  <si>
    <t>Viet Nam</t>
  </si>
  <si>
    <t>VNM</t>
  </si>
  <si>
    <t>Virgin Islands (British)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</si>
  <si>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</si>
  <si>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</si>
  <si>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</si>
  <si>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</si>
  <si>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</si>
  <si>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</si>
  <si>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</si>
  <si>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</si>
  <si>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</si>
  <si>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</si>
  <si>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</t>
  </si>
  <si>
    <t>ZMB</t>
  </si>
  <si>
    <t>ZWE</t>
  </si>
  <si>
    <t>Åland Islands</t>
  </si>
  <si>
    <t>AX</t>
  </si>
  <si>
    <t>ALA</t>
  </si>
  <si>
    <t>XKX</t>
  </si>
  <si>
    <t>ISO_Code_A2</t>
  </si>
  <si>
    <t>ISO_Code_Numeric</t>
  </si>
  <si>
    <t>004</t>
  </si>
  <si>
    <t>008</t>
  </si>
  <si>
    <t>012</t>
  </si>
  <si>
    <t>016</t>
  </si>
  <si>
    <t>020</t>
  </si>
  <si>
    <t>024</t>
  </si>
  <si>
    <t>660</t>
  </si>
  <si>
    <t>010</t>
  </si>
  <si>
    <t>028</t>
  </si>
  <si>
    <t>032</t>
  </si>
  <si>
    <t>051</t>
  </si>
  <si>
    <t>533</t>
  </si>
  <si>
    <t>036</t>
  </si>
  <si>
    <t>040</t>
  </si>
  <si>
    <t>031</t>
  </si>
  <si>
    <t>044</t>
  </si>
  <si>
    <t>048</t>
  </si>
  <si>
    <t>050</t>
  </si>
  <si>
    <t>052</t>
  </si>
  <si>
    <t>112</t>
  </si>
  <si>
    <t>056</t>
  </si>
  <si>
    <t>084</t>
  </si>
  <si>
    <t>204</t>
  </si>
  <si>
    <t>060</t>
  </si>
  <si>
    <t>064</t>
  </si>
  <si>
    <t>068</t>
  </si>
  <si>
    <t>535</t>
  </si>
  <si>
    <t>070</t>
  </si>
  <si>
    <t>072</t>
  </si>
  <si>
    <t>074</t>
  </si>
  <si>
    <t>076</t>
  </si>
  <si>
    <t>086</t>
  </si>
  <si>
    <t>096</t>
  </si>
  <si>
    <t>100</t>
  </si>
  <si>
    <t>854</t>
  </si>
  <si>
    <t>108</t>
  </si>
  <si>
    <t>132</t>
  </si>
  <si>
    <t>116</t>
  </si>
  <si>
    <t>120</t>
  </si>
  <si>
    <t>124</t>
  </si>
  <si>
    <t>136</t>
  </si>
  <si>
    <t>140</t>
  </si>
  <si>
    <t>148</t>
  </si>
  <si>
    <t>152</t>
  </si>
  <si>
    <t>156</t>
  </si>
  <si>
    <t>162</t>
  </si>
  <si>
    <t>166</t>
  </si>
  <si>
    <t>170</t>
  </si>
  <si>
    <t>174</t>
  </si>
  <si>
    <t>180</t>
  </si>
  <si>
    <t>178</t>
  </si>
  <si>
    <t>184</t>
  </si>
  <si>
    <t>188</t>
  </si>
  <si>
    <t>191</t>
  </si>
  <si>
    <t>192</t>
  </si>
  <si>
    <t>531</t>
  </si>
  <si>
    <t>196</t>
  </si>
  <si>
    <t>203</t>
  </si>
  <si>
    <t>384</t>
  </si>
  <si>
    <t>208</t>
  </si>
  <si>
    <t>262</t>
  </si>
  <si>
    <t>212</t>
  </si>
  <si>
    <t>214</t>
  </si>
  <si>
    <t>218</t>
  </si>
  <si>
    <t>818</t>
  </si>
  <si>
    <t>222</t>
  </si>
  <si>
    <t>226</t>
  </si>
  <si>
    <t>232</t>
  </si>
  <si>
    <t>233</t>
  </si>
  <si>
    <t>748</t>
  </si>
  <si>
    <t>231</t>
  </si>
  <si>
    <t>238</t>
  </si>
  <si>
    <t>234</t>
  </si>
  <si>
    <t>242</t>
  </si>
  <si>
    <t>246</t>
  </si>
  <si>
    <t>250</t>
  </si>
  <si>
    <t>254</t>
  </si>
  <si>
    <t>258</t>
  </si>
  <si>
    <t>260</t>
  </si>
  <si>
    <t>266</t>
  </si>
  <si>
    <t>270</t>
  </si>
  <si>
    <t>268</t>
  </si>
  <si>
    <t>276</t>
  </si>
  <si>
    <t>288</t>
  </si>
  <si>
    <t>292</t>
  </si>
  <si>
    <t>300</t>
  </si>
  <si>
    <t>304</t>
  </si>
  <si>
    <t>308</t>
  </si>
  <si>
    <t>312</t>
  </si>
  <si>
    <t>316</t>
  </si>
  <si>
    <t>320</t>
  </si>
  <si>
    <t>831</t>
  </si>
  <si>
    <t>324</t>
  </si>
  <si>
    <t>624</t>
  </si>
  <si>
    <t>328</t>
  </si>
  <si>
    <t>332</t>
  </si>
  <si>
    <t>334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</si>
  <si>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</si>
  <si>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</si>
  <si>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</si>
  <si>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</si>
  <si>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</si>
  <si>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</si>
  <si>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</si>
  <si>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</si>
  <si>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</si>
  <si>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</si>
  <si>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833</t>
  </si>
  <si>
    <t>376</t>
  </si>
  <si>
    <t>380</t>
  </si>
  <si>
    <t>388</t>
  </si>
  <si>
    <t>392</t>
  </si>
  <si>
    <t>832</t>
  </si>
  <si>
    <t>400</t>
  </si>
  <si>
    <t>398</t>
  </si>
  <si>
    <t>404</t>
  </si>
  <si>
    <t>296</t>
  </si>
  <si>
    <t>408</t>
  </si>
  <si>
    <t>410</t>
  </si>
  <si>
    <t>414</t>
  </si>
  <si>
    <t>417</t>
  </si>
  <si>
    <t>418</t>
  </si>
  <si>
    <t>428</t>
  </si>
  <si>
    <t>422</t>
  </si>
  <si>
    <t>426</t>
  </si>
  <si>
    <t>430</t>
  </si>
  <si>
    <t>434</t>
  </si>
  <si>
    <t>438</t>
  </si>
  <si>
    <t>440</t>
  </si>
  <si>
    <t>442</t>
  </si>
  <si>
    <t>446</t>
  </si>
  <si>
    <t>450</t>
  </si>
  <si>
    <t>454</t>
  </si>
  <si>
    <t>458</t>
  </si>
  <si>
    <t>462</t>
  </si>
  <si>
    <t>466</t>
  </si>
  <si>
    <t>470</t>
  </si>
  <si>
    <t>584</t>
  </si>
  <si>
    <t>474</t>
  </si>
  <si>
    <t>478</t>
  </si>
  <si>
    <t>480</t>
  </si>
  <si>
    <t>175</t>
  </si>
  <si>
    <t>484</t>
  </si>
  <si>
    <t>583</t>
  </si>
  <si>
    <t>498</t>
  </si>
  <si>
    <t>492</t>
  </si>
  <si>
    <t>496</t>
  </si>
  <si>
    <t>499</t>
  </si>
  <si>
    <t>500</t>
  </si>
  <si>
    <t>504</t>
  </si>
  <si>
    <t>508</t>
  </si>
  <si>
    <t>104</t>
  </si>
  <si>
    <t>516</t>
  </si>
  <si>
    <t>520</t>
  </si>
  <si>
    <t>524</t>
  </si>
  <si>
    <t>528</t>
  </si>
  <si>
    <t>540</t>
  </si>
  <si>
    <t>554</t>
  </si>
  <si>
    <t>558</t>
  </si>
  <si>
    <t>562</t>
  </si>
  <si>
    <t>566</t>
  </si>
  <si>
    <t>570</t>
  </si>
  <si>
    <t>574</t>
  </si>
  <si>
    <t>580</t>
  </si>
  <si>
    <t>578</t>
  </si>
  <si>
    <t>512</t>
  </si>
  <si>
    <t>586</t>
  </si>
  <si>
    <t>585</t>
  </si>
  <si>
    <t>275</t>
  </si>
  <si>
    <t>591</t>
  </si>
  <si>
    <t>598</t>
  </si>
  <si>
    <t>600</t>
  </si>
  <si>
    <t>604</t>
  </si>
  <si>
    <t>608</t>
  </si>
  <si>
    <t>612</t>
  </si>
  <si>
    <t>616</t>
  </si>
  <si>
    <t>620</t>
  </si>
  <si>
    <t>630</t>
  </si>
  <si>
    <t>634</t>
  </si>
  <si>
    <t>807</t>
  </si>
  <si>
    <t>642</t>
  </si>
  <si>
    <t>643</t>
  </si>
  <si>
    <t>646</t>
  </si>
  <si>
    <t>638</t>
  </si>
  <si>
    <t>652</t>
  </si>
  <si>
    <t>654</t>
  </si>
  <si>
    <t>659</t>
  </si>
  <si>
    <t>662</t>
  </si>
  <si>
    <t>663</t>
  </si>
  <si>
    <t>666</t>
  </si>
  <si>
    <t>670</t>
  </si>
  <si>
    <t>882</t>
  </si>
  <si>
    <t>674</t>
  </si>
  <si>
    <t>678</t>
  </si>
  <si>
    <t>682</t>
  </si>
  <si>
    <t>686</t>
  </si>
  <si>
    <t>688</t>
  </si>
  <si>
    <t>690</t>
  </si>
  <si>
    <t>694</t>
  </si>
  <si>
    <t>702</t>
  </si>
  <si>
    <t>534</t>
  </si>
  <si>
    <t>703</t>
  </si>
  <si>
    <t>705</t>
  </si>
  <si>
    <t>090</t>
  </si>
  <si>
    <t>706</t>
  </si>
  <si>
    <t>710</t>
  </si>
  <si>
    <t>239</t>
  </si>
  <si>
    <t>728</t>
  </si>
  <si>
    <t>724</t>
  </si>
  <si>
    <t>144</t>
  </si>
  <si>
    <t>729</t>
  </si>
  <si>
    <t>740</t>
  </si>
  <si>
    <t>744</t>
  </si>
  <si>
    <t>752</t>
  </si>
  <si>
    <t>756</t>
  </si>
  <si>
    <t>760</t>
  </si>
  <si>
    <t>158</t>
  </si>
  <si>
    <t>762</t>
  </si>
  <si>
    <t>834</t>
  </si>
  <si>
    <t>764</t>
  </si>
  <si>
    <t>626</t>
  </si>
  <si>
    <t>768</t>
  </si>
  <si>
    <t>772</t>
  </si>
  <si>
    <t>776</t>
  </si>
  <si>
    <t>780</t>
  </si>
  <si>
    <t>788</t>
  </si>
  <si>
    <t>792</t>
  </si>
  <si>
    <t>795</t>
  </si>
  <si>
    <t>796</t>
  </si>
  <si>
    <t>798</t>
  </si>
  <si>
    <t>800</t>
  </si>
  <si>
    <t>804</t>
  </si>
  <si>
    <t>784</t>
  </si>
  <si>
    <t>826</t>
  </si>
  <si>
    <t>581</t>
  </si>
  <si>
    <t>840</t>
  </si>
  <si>
    <t>858</t>
  </si>
  <si>
    <t>860</t>
  </si>
  <si>
    <t>548</t>
  </si>
  <si>
    <t>862</t>
  </si>
  <si>
    <t>704</t>
  </si>
  <si>
    <t>092</t>
  </si>
  <si>
    <t>850</t>
  </si>
  <si>
    <t>876</t>
  </si>
  <si>
    <t>732</t>
  </si>
  <si>
    <t>887</t>
  </si>
  <si>
    <t>894</t>
  </si>
  <si>
    <t>716</t>
  </si>
  <si>
    <t>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</si>
</sst>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43" fontId="0" fillId="2" borderId="0" xfId="1" applyFont="1" applyFill="1"/>
    <xf numFmtId="43" fontId="0" fillId="0" borderId="0" xfId="1" applyFont="1"/>
    <xf numFmtId="49" fontId="0" fillId="0" borderId="0" xfId="0" applyNumberForma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0FFB-BE4D-4513-9466-CC5F21D844E0}">
  <dimension ref="A1:H595"/>
  <sheetViews>
    <sheetView topLeftCell="A253" workbookViewId="0">
      <selection activeCell="H286" sqref="H286"/>
    </sheetView>
  </sheetViews>
  <sheetFormatPr defaultRowHeight="15" x14ac:dyDescent="0.25"/>
  <cols>
    <col min="1" max="1" width="24" customWidth="1"/>
    <col min="2" max="2" width="22.7109375" customWidth="1"/>
    <col min="3" max="3" width="12.28515625" customWidth="1"/>
    <col min="4" max="5" width="10.42578125" style="3" bestFit="1" customWidth="1"/>
    <col min="6" max="7" width="13.85546875" bestFit="1" customWidth="1"/>
    <col min="8" max="8" width="19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1032</v>
      </c>
      <c r="G1" s="2" t="s">
        <v>1403</v>
      </c>
      <c r="H1" s="2" t="s">
        <v>1404</v>
      </c>
    </row>
    <row r="2" spans="1:8" x14ac:dyDescent="0.25">
      <c r="A2" t="s">
        <v>5</v>
      </c>
      <c r="B2" t="s">
        <v>6</v>
      </c>
      <c r="C2" s="5">
        <v>0.20684020341070242</v>
      </c>
      <c r="D2" s="3">
        <f>C2*1024</f>
        <v>211.80436829255927</v>
      </c>
      <c r="E2" s="3">
        <f>_xlfn.MINIFS(D:D,A:A,A2,D:D,"&lt;&gt;0")</f>
        <v>211.80436829255927</v>
      </c>
      <c r="F2" t="str">
        <f>_xlfn.TEXTBEFORE(_xlfn.TEXTAFTER(B2,"("),")")</f>
        <v>AAA</v>
      </c>
      <c r="G2" t="str">
        <f>+_xlfn.XLOOKUP(F2,Sheet1!C:C,Sheet1!B:B,"N/A",0)</f>
        <v>N/A</v>
      </c>
      <c r="H2" t="str">
        <f>+_xlfn.XLOOKUP(F2,Sheet1!C:C,Sheet1!D:D,"N/A",0)</f>
        <v>N/A</v>
      </c>
    </row>
    <row r="3" spans="1:8" x14ac:dyDescent="0.25">
      <c r="A3" t="s">
        <v>5</v>
      </c>
      <c r="B3" t="s">
        <v>7</v>
      </c>
      <c r="C3" s="5"/>
      <c r="D3" s="3">
        <f t="shared" ref="D3:D66" si="0">C3*1024</f>
        <v>0</v>
      </c>
      <c r="E3" s="3">
        <f t="shared" ref="E3:E66" si="1">_xlfn.MINIFS(D:D,A:A,A3,D:D,"&lt;&gt;0")</f>
        <v>211.80436829255927</v>
      </c>
      <c r="F3" t="str">
        <f t="shared" ref="F3:F66" si="2">_xlfn.TEXTBEFORE(_xlfn.TEXTAFTER(B3,"("),")")</f>
        <v>AAZ</v>
      </c>
      <c r="G3" t="str">
        <f>+_xlfn.XLOOKUP(F3,Sheet1!C:C,Sheet1!B:B,"N/A",0)</f>
        <v>N/A</v>
      </c>
      <c r="H3" t="str">
        <f>+_xlfn.XLOOKUP(F3,Sheet1!C:C,Sheet1!D:D,"N/A",0)</f>
        <v>N/A</v>
      </c>
    </row>
    <row r="4" spans="1:8" x14ac:dyDescent="0.25">
      <c r="A4" t="s">
        <v>8</v>
      </c>
      <c r="B4" t="s">
        <v>9</v>
      </c>
      <c r="C4" s="5">
        <v>3.3938999778676746E-3</v>
      </c>
      <c r="D4" s="3">
        <f t="shared" si="0"/>
        <v>3.4753535773364987</v>
      </c>
      <c r="E4" s="3">
        <f t="shared" si="1"/>
        <v>2.1786623818061885</v>
      </c>
      <c r="F4" t="str">
        <f t="shared" si="2"/>
        <v>AFG</v>
      </c>
      <c r="G4" t="str">
        <f>+_xlfn.XLOOKUP(F4,Sheet1!C:C,Sheet1!B:B,"N/A",0)</f>
        <v>AF</v>
      </c>
      <c r="H4" t="str">
        <f>+_xlfn.XLOOKUP(F4,Sheet1!C:C,Sheet1!D:D,"N/A",0)</f>
        <v>004</v>
      </c>
    </row>
    <row r="5" spans="1:8" x14ac:dyDescent="0.25">
      <c r="A5" t="s">
        <v>8</v>
      </c>
      <c r="B5" t="s">
        <v>10</v>
      </c>
      <c r="C5" s="5">
        <v>5.0000000396571674E-3</v>
      </c>
      <c r="D5" s="3">
        <f t="shared" si="0"/>
        <v>5.1200000406089394</v>
      </c>
      <c r="E5" s="3">
        <f t="shared" si="1"/>
        <v>2.1786623818061885</v>
      </c>
      <c r="F5" t="str">
        <f t="shared" si="2"/>
        <v>AFG</v>
      </c>
      <c r="G5" t="str">
        <f>+_xlfn.XLOOKUP(F5,Sheet1!C:C,Sheet1!B:B,"N/A",0)</f>
        <v>AF</v>
      </c>
      <c r="H5" t="str">
        <f>+_xlfn.XLOOKUP(F5,Sheet1!C:C,Sheet1!D:D,"N/A",0)</f>
        <v>004</v>
      </c>
    </row>
    <row r="6" spans="1:8" x14ac:dyDescent="0.25">
      <c r="A6" t="s">
        <v>8</v>
      </c>
      <c r="B6" t="s">
        <v>11</v>
      </c>
      <c r="C6" s="5">
        <v>4.1420000267112372E-3</v>
      </c>
      <c r="D6" s="3">
        <f t="shared" si="0"/>
        <v>4.2414080273523069</v>
      </c>
      <c r="E6" s="3">
        <f t="shared" si="1"/>
        <v>2.1786623818061885</v>
      </c>
      <c r="F6" t="str">
        <f t="shared" si="2"/>
        <v>AFG</v>
      </c>
      <c r="G6" t="str">
        <f>+_xlfn.XLOOKUP(F6,Sheet1!C:C,Sheet1!B:B,"N/A",0)</f>
        <v>AF</v>
      </c>
      <c r="H6" t="str">
        <f>+_xlfn.XLOOKUP(F6,Sheet1!C:C,Sheet1!D:D,"N/A",0)</f>
        <v>004</v>
      </c>
    </row>
    <row r="7" spans="1:8" x14ac:dyDescent="0.25">
      <c r="A7" t="s">
        <v>8</v>
      </c>
      <c r="B7" t="s">
        <v>12</v>
      </c>
      <c r="C7" s="5">
        <v>2.127599982232606E-3</v>
      </c>
      <c r="D7" s="3">
        <f t="shared" si="0"/>
        <v>2.1786623818061885</v>
      </c>
      <c r="E7" s="3">
        <f t="shared" si="1"/>
        <v>2.1786623818061885</v>
      </c>
      <c r="F7" t="str">
        <f t="shared" si="2"/>
        <v>AFG</v>
      </c>
      <c r="G7" t="str">
        <f>+_xlfn.XLOOKUP(F7,Sheet1!C:C,Sheet1!B:B,"N/A",0)</f>
        <v>AF</v>
      </c>
      <c r="H7" t="str">
        <f>+_xlfn.XLOOKUP(F7,Sheet1!C:C,Sheet1!D:D,"N/A",0)</f>
        <v>004</v>
      </c>
    </row>
    <row r="8" spans="1:8" x14ac:dyDescent="0.25">
      <c r="A8" t="s">
        <v>13</v>
      </c>
      <c r="B8" t="s">
        <v>14</v>
      </c>
      <c r="C8" s="5">
        <v>8.073999999989003E-4</v>
      </c>
      <c r="D8" s="3">
        <f t="shared" si="0"/>
        <v>0.8267775999988739</v>
      </c>
      <c r="E8" s="3">
        <f t="shared" si="1"/>
        <v>0.82005931905455975</v>
      </c>
      <c r="F8" t="str">
        <f t="shared" si="2"/>
        <v>ALB</v>
      </c>
      <c r="G8" t="str">
        <f>+_xlfn.XLOOKUP(F8,Sheet1!C:C,Sheet1!B:B,"N/A",0)</f>
        <v>AL</v>
      </c>
      <c r="H8" t="str">
        <f>+_xlfn.XLOOKUP(F8,Sheet1!C:C,Sheet1!D:D,"N/A",0)</f>
        <v>008</v>
      </c>
    </row>
    <row r="9" spans="1:8" x14ac:dyDescent="0.25">
      <c r="A9" t="s">
        <v>13</v>
      </c>
      <c r="B9" t="s">
        <v>15</v>
      </c>
      <c r="C9" s="5">
        <v>8.0083917876421851E-4</v>
      </c>
      <c r="D9" s="3">
        <f t="shared" si="0"/>
        <v>0.82005931905455975</v>
      </c>
      <c r="E9" s="3">
        <f t="shared" si="1"/>
        <v>0.82005931905455975</v>
      </c>
      <c r="F9" t="str">
        <f t="shared" si="2"/>
        <v>ALB</v>
      </c>
      <c r="G9" t="str">
        <f>+_xlfn.XLOOKUP(F9,Sheet1!C:C,Sheet1!B:B,"N/A",0)</f>
        <v>AL</v>
      </c>
      <c r="H9" t="str">
        <f>+_xlfn.XLOOKUP(F9,Sheet1!C:C,Sheet1!D:D,"N/A",0)</f>
        <v>008</v>
      </c>
    </row>
    <row r="10" spans="1:8" x14ac:dyDescent="0.25">
      <c r="A10" t="s">
        <v>16</v>
      </c>
      <c r="B10" t="s">
        <v>17</v>
      </c>
      <c r="C10" s="5">
        <v>1.0000000026566327E-3</v>
      </c>
      <c r="D10" s="3">
        <f t="shared" si="0"/>
        <v>1.0240000027203919</v>
      </c>
      <c r="E10" s="3">
        <f t="shared" si="1"/>
        <v>1.0240000027203919</v>
      </c>
      <c r="F10" t="str">
        <f t="shared" si="2"/>
        <v>DZA</v>
      </c>
      <c r="G10" t="str">
        <f>+_xlfn.XLOOKUP(F10,Sheet1!C:C,Sheet1!B:B,"N/A",0)</f>
        <v>DZ</v>
      </c>
      <c r="H10" t="str">
        <f>+_xlfn.XLOOKUP(F10,Sheet1!C:C,Sheet1!D:D,"N/A",0)</f>
        <v>012</v>
      </c>
    </row>
    <row r="11" spans="1:8" x14ac:dyDescent="0.25">
      <c r="A11" t="s">
        <v>16</v>
      </c>
      <c r="B11" t="s">
        <v>18</v>
      </c>
      <c r="C11" s="5">
        <v>2.1559999999999991E-3</v>
      </c>
      <c r="D11" s="3">
        <f t="shared" si="0"/>
        <v>2.207743999999999</v>
      </c>
      <c r="E11" s="3">
        <f t="shared" si="1"/>
        <v>1.0240000027203919</v>
      </c>
      <c r="F11" t="str">
        <f t="shared" si="2"/>
        <v>DZA</v>
      </c>
      <c r="G11" t="str">
        <f>+_xlfn.XLOOKUP(F11,Sheet1!C:C,Sheet1!B:B,"N/A",0)</f>
        <v>DZ</v>
      </c>
      <c r="H11" t="str">
        <f>+_xlfn.XLOOKUP(F11,Sheet1!C:C,Sheet1!D:D,"N/A",0)</f>
        <v>012</v>
      </c>
    </row>
    <row r="12" spans="1:8" x14ac:dyDescent="0.25">
      <c r="A12" t="s">
        <v>16</v>
      </c>
      <c r="B12" t="s">
        <v>19</v>
      </c>
      <c r="C12" s="5">
        <v>1.0300241969050022E-2</v>
      </c>
      <c r="D12" s="3">
        <f t="shared" si="0"/>
        <v>10.547447776307223</v>
      </c>
      <c r="E12" s="3">
        <f t="shared" si="1"/>
        <v>1.0240000027203919</v>
      </c>
      <c r="F12" t="str">
        <f t="shared" si="2"/>
        <v>DZA</v>
      </c>
      <c r="G12" t="str">
        <f>+_xlfn.XLOOKUP(F12,Sheet1!C:C,Sheet1!B:B,"N/A",0)</f>
        <v>DZ</v>
      </c>
      <c r="H12" t="str">
        <f>+_xlfn.XLOOKUP(F12,Sheet1!C:C,Sheet1!D:D,"N/A",0)</f>
        <v>012</v>
      </c>
    </row>
    <row r="13" spans="1:8" x14ac:dyDescent="0.25">
      <c r="A13" t="s">
        <v>20</v>
      </c>
      <c r="B13" t="s">
        <v>21</v>
      </c>
      <c r="C13" s="5">
        <v>0.38890040000000003</v>
      </c>
      <c r="D13" s="3">
        <f t="shared" si="0"/>
        <v>398.23400960000004</v>
      </c>
      <c r="E13" s="3">
        <f t="shared" si="1"/>
        <v>398.23400960000004</v>
      </c>
      <c r="F13" t="str">
        <f t="shared" si="2"/>
        <v>ASM</v>
      </c>
      <c r="G13" t="str">
        <f>+_xlfn.XLOOKUP(F13,Sheet1!C:C,Sheet1!B:B,"N/A",0)</f>
        <v>AS</v>
      </c>
      <c r="H13" t="str">
        <f>+_xlfn.XLOOKUP(F13,Sheet1!C:C,Sheet1!D:D,"N/A",0)</f>
        <v>016</v>
      </c>
    </row>
    <row r="14" spans="1:8" x14ac:dyDescent="0.25">
      <c r="A14" t="s">
        <v>22</v>
      </c>
      <c r="B14" t="s">
        <v>23</v>
      </c>
      <c r="C14" s="5">
        <v>1.2219833839784332E-2</v>
      </c>
      <c r="D14" s="3">
        <f t="shared" si="0"/>
        <v>12.513109851939156</v>
      </c>
      <c r="E14" s="3">
        <f t="shared" si="1"/>
        <v>12.513109851939156</v>
      </c>
      <c r="F14" t="str">
        <f t="shared" si="2"/>
        <v>AND</v>
      </c>
      <c r="G14" t="str">
        <f>+_xlfn.XLOOKUP(F14,Sheet1!C:C,Sheet1!B:B,"N/A",0)</f>
        <v>AD</v>
      </c>
      <c r="H14" t="str">
        <f>+_xlfn.XLOOKUP(F14,Sheet1!C:C,Sheet1!D:D,"N/A",0)</f>
        <v>020</v>
      </c>
    </row>
    <row r="15" spans="1:8" x14ac:dyDescent="0.25">
      <c r="A15" t="s">
        <v>24</v>
      </c>
      <c r="B15" t="s">
        <v>25</v>
      </c>
      <c r="C15" s="5">
        <v>1.6969000000000001E-3</v>
      </c>
      <c r="D15" s="3">
        <f t="shared" si="0"/>
        <v>1.7376256000000001</v>
      </c>
      <c r="E15" s="3">
        <f t="shared" si="1"/>
        <v>1.7376256000000001</v>
      </c>
      <c r="F15" t="str">
        <f t="shared" si="2"/>
        <v>AGO</v>
      </c>
      <c r="G15" t="str">
        <f>+_xlfn.XLOOKUP(F15,Sheet1!C:C,Sheet1!B:B,"N/A",0)</f>
        <v>AO</v>
      </c>
      <c r="H15" t="str">
        <f>+_xlfn.XLOOKUP(F15,Sheet1!C:C,Sheet1!D:D,"N/A",0)</f>
        <v>024</v>
      </c>
    </row>
    <row r="16" spans="1:8" x14ac:dyDescent="0.25">
      <c r="A16" t="s">
        <v>24</v>
      </c>
      <c r="B16" t="s">
        <v>26</v>
      </c>
      <c r="C16" s="5">
        <v>5.0990567417553444E-2</v>
      </c>
      <c r="D16" s="3">
        <f t="shared" si="0"/>
        <v>52.214341035574726</v>
      </c>
      <c r="E16" s="3">
        <f t="shared" si="1"/>
        <v>1.7376256000000001</v>
      </c>
      <c r="F16" t="str">
        <f t="shared" si="2"/>
        <v>AGO</v>
      </c>
      <c r="G16" t="str">
        <f>+_xlfn.XLOOKUP(F16,Sheet1!C:C,Sheet1!B:B,"N/A",0)</f>
        <v>AO</v>
      </c>
      <c r="H16" t="str">
        <f>+_xlfn.XLOOKUP(F16,Sheet1!C:C,Sheet1!D:D,"N/A",0)</f>
        <v>024</v>
      </c>
    </row>
    <row r="17" spans="1:8" x14ac:dyDescent="0.25">
      <c r="A17" t="s">
        <v>27</v>
      </c>
      <c r="B17" t="s">
        <v>28</v>
      </c>
      <c r="C17" s="5">
        <v>2.545399977799327E-3</v>
      </c>
      <c r="D17" s="3">
        <f t="shared" si="0"/>
        <v>2.6064895772665109</v>
      </c>
      <c r="E17" s="3">
        <f t="shared" si="1"/>
        <v>2.6064895772665109</v>
      </c>
      <c r="F17" t="str">
        <f t="shared" si="2"/>
        <v>AIA</v>
      </c>
      <c r="G17" t="str">
        <f>+_xlfn.XLOOKUP(F17,Sheet1!C:C,Sheet1!B:B,"N/A",0)</f>
        <v>AI</v>
      </c>
      <c r="H17" t="str">
        <f>+_xlfn.XLOOKUP(F17,Sheet1!C:C,Sheet1!D:D,"N/A",0)</f>
        <v>660</v>
      </c>
    </row>
    <row r="18" spans="1:8" x14ac:dyDescent="0.25">
      <c r="A18" t="s">
        <v>29</v>
      </c>
      <c r="B18" t="s">
        <v>30</v>
      </c>
      <c r="C18" s="5"/>
      <c r="D18" s="3">
        <f t="shared" si="0"/>
        <v>0</v>
      </c>
      <c r="E18" s="3">
        <f t="shared" si="1"/>
        <v>2.6064896029814402</v>
      </c>
      <c r="F18" t="str">
        <f t="shared" si="2"/>
        <v>ATG</v>
      </c>
      <c r="G18" t="str">
        <f>+_xlfn.XLOOKUP(F18,Sheet1!C:C,Sheet1!B:B,"N/A",0)</f>
        <v>AG</v>
      </c>
      <c r="H18" t="str">
        <f>+_xlfn.XLOOKUP(F18,Sheet1!C:C,Sheet1!D:D,"N/A",0)</f>
        <v>028</v>
      </c>
    </row>
    <row r="19" spans="1:8" x14ac:dyDescent="0.25">
      <c r="A19" t="s">
        <v>29</v>
      </c>
      <c r="B19" t="s">
        <v>31</v>
      </c>
      <c r="C19" s="5">
        <v>2.5454000029115627E-3</v>
      </c>
      <c r="D19" s="3">
        <f t="shared" si="0"/>
        <v>2.6064896029814402</v>
      </c>
      <c r="E19" s="3">
        <f t="shared" si="1"/>
        <v>2.6064896029814402</v>
      </c>
      <c r="F19" t="str">
        <f t="shared" si="2"/>
        <v>ATG</v>
      </c>
      <c r="G19" t="str">
        <f>+_xlfn.XLOOKUP(F19,Sheet1!C:C,Sheet1!B:B,"N/A",0)</f>
        <v>AG</v>
      </c>
      <c r="H19" t="str">
        <f>+_xlfn.XLOOKUP(F19,Sheet1!C:C,Sheet1!D:D,"N/A",0)</f>
        <v>028</v>
      </c>
    </row>
    <row r="20" spans="1:8" x14ac:dyDescent="0.25">
      <c r="A20" t="s">
        <v>32</v>
      </c>
      <c r="B20" t="s">
        <v>33</v>
      </c>
      <c r="C20" s="5">
        <v>1.9167536683259774E-3</v>
      </c>
      <c r="D20" s="3">
        <f t="shared" si="0"/>
        <v>1.9627557563658009</v>
      </c>
      <c r="E20" s="3">
        <f t="shared" si="1"/>
        <v>0.8688639999183323</v>
      </c>
      <c r="F20" t="str">
        <f t="shared" si="2"/>
        <v>ARG</v>
      </c>
      <c r="G20" t="str">
        <f>+_xlfn.XLOOKUP(F20,Sheet1!C:C,Sheet1!B:B,"N/A",0)</f>
        <v>AR</v>
      </c>
      <c r="H20" t="str">
        <f>+_xlfn.XLOOKUP(F20,Sheet1!C:C,Sheet1!D:D,"N/A",0)</f>
        <v>032</v>
      </c>
    </row>
    <row r="21" spans="1:8" x14ac:dyDescent="0.25">
      <c r="A21" t="s">
        <v>32</v>
      </c>
      <c r="B21" t="s">
        <v>34</v>
      </c>
      <c r="C21" s="5">
        <v>8.4849999992024638E-4</v>
      </c>
      <c r="D21" s="3">
        <f t="shared" si="0"/>
        <v>0.8688639999183323</v>
      </c>
      <c r="E21" s="3">
        <f t="shared" si="1"/>
        <v>0.8688639999183323</v>
      </c>
      <c r="F21" t="str">
        <f t="shared" si="2"/>
        <v>ARG</v>
      </c>
      <c r="G21" t="str">
        <f>+_xlfn.XLOOKUP(F21,Sheet1!C:C,Sheet1!B:B,"N/A",0)</f>
        <v>AR</v>
      </c>
      <c r="H21" t="str">
        <f>+_xlfn.XLOOKUP(F21,Sheet1!C:C,Sheet1!D:D,"N/A",0)</f>
        <v>032</v>
      </c>
    </row>
    <row r="22" spans="1:8" x14ac:dyDescent="0.25">
      <c r="A22" t="s">
        <v>32</v>
      </c>
      <c r="B22" t="s">
        <v>35</v>
      </c>
      <c r="C22" s="5">
        <v>1.0300715313020308E-3</v>
      </c>
      <c r="D22" s="3">
        <f t="shared" si="0"/>
        <v>1.0547932480532796</v>
      </c>
      <c r="E22" s="3">
        <f t="shared" si="1"/>
        <v>0.8688639999183323</v>
      </c>
      <c r="F22" t="str">
        <f t="shared" si="2"/>
        <v>ARG</v>
      </c>
      <c r="G22" t="str">
        <f>+_xlfn.XLOOKUP(F22,Sheet1!C:C,Sheet1!B:B,"N/A",0)</f>
        <v>AR</v>
      </c>
      <c r="H22" t="str">
        <f>+_xlfn.XLOOKUP(F22,Sheet1!C:C,Sheet1!D:D,"N/A",0)</f>
        <v>032</v>
      </c>
    </row>
    <row r="23" spans="1:8" x14ac:dyDescent="0.25">
      <c r="A23" t="s">
        <v>36</v>
      </c>
      <c r="B23" t="s">
        <v>37</v>
      </c>
      <c r="C23" s="5">
        <v>1.3046198216117018E-3</v>
      </c>
      <c r="D23" s="3">
        <f t="shared" si="0"/>
        <v>1.3359306973303826</v>
      </c>
      <c r="E23" s="3">
        <f t="shared" si="1"/>
        <v>1.0781846508803028</v>
      </c>
      <c r="F23" t="str">
        <f t="shared" si="2"/>
        <v>ARM</v>
      </c>
      <c r="G23" t="str">
        <f>+_xlfn.XLOOKUP(F23,Sheet1!C:C,Sheet1!B:B,"N/A",0)</f>
        <v>AM</v>
      </c>
      <c r="H23" t="str">
        <f>+_xlfn.XLOOKUP(F23,Sheet1!C:C,Sheet1!D:D,"N/A",0)</f>
        <v>051</v>
      </c>
    </row>
    <row r="24" spans="1:8" x14ac:dyDescent="0.25">
      <c r="A24" t="s">
        <v>36</v>
      </c>
      <c r="B24" t="s">
        <v>38</v>
      </c>
      <c r="C24" s="5">
        <v>1.0529146981252957E-3</v>
      </c>
      <c r="D24" s="3">
        <f t="shared" si="0"/>
        <v>1.0781846508803028</v>
      </c>
      <c r="E24" s="3">
        <f t="shared" si="1"/>
        <v>1.0781846508803028</v>
      </c>
      <c r="F24" t="str">
        <f t="shared" si="2"/>
        <v>ARM</v>
      </c>
      <c r="G24" t="str">
        <f>+_xlfn.XLOOKUP(F24,Sheet1!C:C,Sheet1!B:B,"N/A",0)</f>
        <v>AM</v>
      </c>
      <c r="H24" t="str">
        <f>+_xlfn.XLOOKUP(F24,Sheet1!C:C,Sheet1!D:D,"N/A",0)</f>
        <v>051</v>
      </c>
    </row>
    <row r="25" spans="1:8" x14ac:dyDescent="0.25">
      <c r="A25" t="s">
        <v>36</v>
      </c>
      <c r="B25" t="s">
        <v>39</v>
      </c>
      <c r="C25" s="5">
        <v>2.7681792586603665E-3</v>
      </c>
      <c r="D25" s="3">
        <f t="shared" si="0"/>
        <v>2.8346155608682153</v>
      </c>
      <c r="E25" s="3">
        <f t="shared" si="1"/>
        <v>1.0781846508803028</v>
      </c>
      <c r="F25" t="str">
        <f t="shared" si="2"/>
        <v>ARM</v>
      </c>
      <c r="G25" t="str">
        <f>+_xlfn.XLOOKUP(F25,Sheet1!C:C,Sheet1!B:B,"N/A",0)</f>
        <v>AM</v>
      </c>
      <c r="H25" t="str">
        <f>+_xlfn.XLOOKUP(F25,Sheet1!C:C,Sheet1!D:D,"N/A",0)</f>
        <v>051</v>
      </c>
    </row>
    <row r="26" spans="1:8" x14ac:dyDescent="0.25">
      <c r="A26" t="s">
        <v>40</v>
      </c>
      <c r="B26" t="s">
        <v>41</v>
      </c>
      <c r="C26" s="5"/>
      <c r="D26" s="3">
        <f t="shared" si="0"/>
        <v>0</v>
      </c>
      <c r="E26" s="3">
        <f t="shared" si="1"/>
        <v>6.9506048007787333</v>
      </c>
      <c r="F26" t="str">
        <f t="shared" si="2"/>
        <v>ABW</v>
      </c>
      <c r="G26" t="str">
        <f>+_xlfn.XLOOKUP(F26,Sheet1!C:C,Sheet1!B:B,"N/A",0)</f>
        <v>AW</v>
      </c>
      <c r="H26" t="str">
        <f>+_xlfn.XLOOKUP(F26,Sheet1!C:C,Sheet1!D:D,"N/A",0)</f>
        <v>533</v>
      </c>
    </row>
    <row r="27" spans="1:8" x14ac:dyDescent="0.25">
      <c r="A27" t="s">
        <v>40</v>
      </c>
      <c r="B27" t="s">
        <v>42</v>
      </c>
      <c r="C27" s="5">
        <v>6.7877000007604818E-3</v>
      </c>
      <c r="D27" s="3">
        <f t="shared" si="0"/>
        <v>6.9506048007787333</v>
      </c>
      <c r="E27" s="3">
        <f t="shared" si="1"/>
        <v>6.9506048007787333</v>
      </c>
      <c r="F27" t="str">
        <f t="shared" si="2"/>
        <v>ABW</v>
      </c>
      <c r="G27" t="str">
        <f>+_xlfn.XLOOKUP(F27,Sheet1!C:C,Sheet1!B:B,"N/A",0)</f>
        <v>AW</v>
      </c>
      <c r="H27" t="str">
        <f>+_xlfn.XLOOKUP(F27,Sheet1!C:C,Sheet1!D:D,"N/A",0)</f>
        <v>533</v>
      </c>
    </row>
    <row r="28" spans="1:8" x14ac:dyDescent="0.25">
      <c r="A28" t="s">
        <v>43</v>
      </c>
      <c r="B28" t="s">
        <v>44</v>
      </c>
      <c r="C28" s="5">
        <v>8.0000000000000036E-4</v>
      </c>
      <c r="D28" s="3">
        <f t="shared" si="0"/>
        <v>0.81920000000000037</v>
      </c>
      <c r="E28" s="3">
        <f t="shared" si="1"/>
        <v>0.5119999999999999</v>
      </c>
      <c r="F28" t="str">
        <f t="shared" si="2"/>
        <v>AUS</v>
      </c>
      <c r="G28" t="str">
        <f>+_xlfn.XLOOKUP(F28,Sheet1!C:C,Sheet1!B:B,"N/A",0)</f>
        <v>AU</v>
      </c>
      <c r="H28" t="str">
        <f>+_xlfn.XLOOKUP(F28,Sheet1!C:C,Sheet1!D:D,"N/A",0)</f>
        <v>036</v>
      </c>
    </row>
    <row r="29" spans="1:8" x14ac:dyDescent="0.25">
      <c r="A29" t="s">
        <v>43</v>
      </c>
      <c r="B29" t="s">
        <v>45</v>
      </c>
      <c r="C29" s="5">
        <v>4.999999999999999E-4</v>
      </c>
      <c r="D29" s="3">
        <f t="shared" si="0"/>
        <v>0.5119999999999999</v>
      </c>
      <c r="E29" s="3">
        <f t="shared" si="1"/>
        <v>0.5119999999999999</v>
      </c>
      <c r="F29" t="str">
        <f t="shared" si="2"/>
        <v>AUS</v>
      </c>
      <c r="G29" t="str">
        <f>+_xlfn.XLOOKUP(F29,Sheet1!C:C,Sheet1!B:B,"N/A",0)</f>
        <v>AU</v>
      </c>
      <c r="H29" t="str">
        <f>+_xlfn.XLOOKUP(F29,Sheet1!C:C,Sheet1!D:D,"N/A",0)</f>
        <v>036</v>
      </c>
    </row>
    <row r="30" spans="1:8" x14ac:dyDescent="0.25">
      <c r="A30" t="s">
        <v>43</v>
      </c>
      <c r="B30" t="s">
        <v>46</v>
      </c>
      <c r="C30" s="5">
        <v>9.1515220787862612E-4</v>
      </c>
      <c r="D30" s="3">
        <f t="shared" si="0"/>
        <v>0.93711586086771315</v>
      </c>
      <c r="E30" s="3">
        <f t="shared" si="1"/>
        <v>0.5119999999999999</v>
      </c>
      <c r="F30" t="str">
        <f t="shared" si="2"/>
        <v>AUS</v>
      </c>
      <c r="G30" t="str">
        <f>+_xlfn.XLOOKUP(F30,Sheet1!C:C,Sheet1!B:B,"N/A",0)</f>
        <v>AU</v>
      </c>
      <c r="H30" t="str">
        <f>+_xlfn.XLOOKUP(F30,Sheet1!C:C,Sheet1!D:D,"N/A",0)</f>
        <v>036</v>
      </c>
    </row>
    <row r="31" spans="1:8" x14ac:dyDescent="0.25">
      <c r="A31" t="s">
        <v>47</v>
      </c>
      <c r="B31" t="s">
        <v>48</v>
      </c>
      <c r="C31" s="5">
        <v>1.5000000000000002E-3</v>
      </c>
      <c r="D31" s="3">
        <f t="shared" si="0"/>
        <v>1.5360000000000003</v>
      </c>
      <c r="E31" s="3">
        <f t="shared" si="1"/>
        <v>0.59267841334478499</v>
      </c>
      <c r="F31" t="str">
        <f t="shared" si="2"/>
        <v>AUT</v>
      </c>
      <c r="G31" t="str">
        <f>+_xlfn.XLOOKUP(F31,Sheet1!C:C,Sheet1!B:B,"N/A",0)</f>
        <v>AT</v>
      </c>
      <c r="H31" t="str">
        <f>+_xlfn.XLOOKUP(F31,Sheet1!C:C,Sheet1!D:D,"N/A",0)</f>
        <v>040</v>
      </c>
    </row>
    <row r="32" spans="1:8" x14ac:dyDescent="0.25">
      <c r="A32" t="s">
        <v>47</v>
      </c>
      <c r="B32" t="s">
        <v>49</v>
      </c>
      <c r="C32" s="5">
        <v>5.787875130320166E-4</v>
      </c>
      <c r="D32" s="3">
        <f t="shared" si="0"/>
        <v>0.59267841334478499</v>
      </c>
      <c r="E32" s="3">
        <f t="shared" si="1"/>
        <v>0.59267841334478499</v>
      </c>
      <c r="F32" t="str">
        <f t="shared" si="2"/>
        <v>AUT</v>
      </c>
      <c r="G32" t="str">
        <f>+_xlfn.XLOOKUP(F32,Sheet1!C:C,Sheet1!B:B,"N/A",0)</f>
        <v>AT</v>
      </c>
      <c r="H32" t="str">
        <f>+_xlfn.XLOOKUP(F32,Sheet1!C:C,Sheet1!D:D,"N/A",0)</f>
        <v>040</v>
      </c>
    </row>
    <row r="33" spans="1:8" x14ac:dyDescent="0.25">
      <c r="A33" t="s">
        <v>47</v>
      </c>
      <c r="B33" t="s">
        <v>50</v>
      </c>
      <c r="C33" s="5">
        <v>6.2290000000000012E-4</v>
      </c>
      <c r="D33" s="3">
        <f t="shared" si="0"/>
        <v>0.63784960000000013</v>
      </c>
      <c r="E33" s="3">
        <f t="shared" si="1"/>
        <v>0.59267841334478499</v>
      </c>
      <c r="F33" t="str">
        <f t="shared" si="2"/>
        <v>AUT</v>
      </c>
      <c r="G33" t="str">
        <f>+_xlfn.XLOOKUP(F33,Sheet1!C:C,Sheet1!B:B,"N/A",0)</f>
        <v>AT</v>
      </c>
      <c r="H33" t="str">
        <f>+_xlfn.XLOOKUP(F33,Sheet1!C:C,Sheet1!D:D,"N/A",0)</f>
        <v>040</v>
      </c>
    </row>
    <row r="34" spans="1:8" x14ac:dyDescent="0.25">
      <c r="A34" t="s">
        <v>51</v>
      </c>
      <c r="B34" t="s">
        <v>52</v>
      </c>
      <c r="C34" s="5">
        <v>3.4999999999999996E-3</v>
      </c>
      <c r="D34" s="3">
        <f t="shared" si="0"/>
        <v>3.5839999999999996</v>
      </c>
      <c r="E34" s="3">
        <f t="shared" si="1"/>
        <v>3.0408704004466793</v>
      </c>
      <c r="F34" t="str">
        <f t="shared" si="2"/>
        <v>AZE</v>
      </c>
      <c r="G34" t="str">
        <f>+_xlfn.XLOOKUP(F34,Sheet1!C:C,Sheet1!B:B,"N/A",0)</f>
        <v>AZ</v>
      </c>
      <c r="H34" t="str">
        <f>+_xlfn.XLOOKUP(F34,Sheet1!C:C,Sheet1!D:D,"N/A",0)</f>
        <v>031</v>
      </c>
    </row>
    <row r="35" spans="1:8" x14ac:dyDescent="0.25">
      <c r="A35" t="s">
        <v>51</v>
      </c>
      <c r="B35" t="s">
        <v>53</v>
      </c>
      <c r="C35" s="5"/>
      <c r="D35" s="3">
        <f t="shared" si="0"/>
        <v>0</v>
      </c>
      <c r="E35" s="3">
        <f t="shared" si="1"/>
        <v>3.0408704004466793</v>
      </c>
      <c r="F35" t="str">
        <f t="shared" si="2"/>
        <v>AZE</v>
      </c>
      <c r="G35" t="str">
        <f>+_xlfn.XLOOKUP(F35,Sheet1!C:C,Sheet1!B:B,"N/A",0)</f>
        <v>AZ</v>
      </c>
      <c r="H35" t="str">
        <f>+_xlfn.XLOOKUP(F35,Sheet1!C:C,Sheet1!D:D,"N/A",0)</f>
        <v>031</v>
      </c>
    </row>
    <row r="36" spans="1:8" x14ac:dyDescent="0.25">
      <c r="A36" t="s">
        <v>51</v>
      </c>
      <c r="B36" t="s">
        <v>54</v>
      </c>
      <c r="C36" s="5">
        <v>2.9696000004362103E-3</v>
      </c>
      <c r="D36" s="3">
        <f t="shared" si="0"/>
        <v>3.0408704004466793</v>
      </c>
      <c r="E36" s="3">
        <f t="shared" si="1"/>
        <v>3.0408704004466793</v>
      </c>
      <c r="F36" t="str">
        <f t="shared" si="2"/>
        <v>AZE</v>
      </c>
      <c r="G36" t="str">
        <f>+_xlfn.XLOOKUP(F36,Sheet1!C:C,Sheet1!B:B,"N/A",0)</f>
        <v>AZ</v>
      </c>
      <c r="H36" t="str">
        <f>+_xlfn.XLOOKUP(F36,Sheet1!C:C,Sheet1!D:D,"N/A",0)</f>
        <v>031</v>
      </c>
    </row>
    <row r="37" spans="1:8" x14ac:dyDescent="0.25">
      <c r="A37" t="s">
        <v>55</v>
      </c>
      <c r="B37" t="s">
        <v>56</v>
      </c>
      <c r="C37" s="5">
        <v>8.9193150062071925E-4</v>
      </c>
      <c r="D37" s="3">
        <f t="shared" si="0"/>
        <v>0.91333785663561651</v>
      </c>
      <c r="E37" s="3">
        <f t="shared" si="1"/>
        <v>0.91333785663561651</v>
      </c>
      <c r="F37" t="str">
        <f t="shared" si="2"/>
        <v>BHS</v>
      </c>
      <c r="G37" t="str">
        <f>+_xlfn.XLOOKUP(F37,Sheet1!C:C,Sheet1!B:B,"N/A",0)</f>
        <v>BS</v>
      </c>
      <c r="H37" t="str">
        <f>+_xlfn.XLOOKUP(F37,Sheet1!C:C,Sheet1!D:D,"N/A",0)</f>
        <v>044</v>
      </c>
    </row>
    <row r="38" spans="1:8" x14ac:dyDescent="0.25">
      <c r="A38" t="s">
        <v>55</v>
      </c>
      <c r="B38" t="s">
        <v>57</v>
      </c>
      <c r="C38" s="5">
        <v>2.5454000000000006E-3</v>
      </c>
      <c r="D38" s="3">
        <f t="shared" si="0"/>
        <v>2.6064896000000006</v>
      </c>
      <c r="E38" s="3">
        <f t="shared" si="1"/>
        <v>0.91333785663561651</v>
      </c>
      <c r="F38" t="str">
        <f t="shared" si="2"/>
        <v>BHS</v>
      </c>
      <c r="G38" t="str">
        <f>+_xlfn.XLOOKUP(F38,Sheet1!C:C,Sheet1!B:B,"N/A",0)</f>
        <v>BS</v>
      </c>
      <c r="H38" t="str">
        <f>+_xlfn.XLOOKUP(F38,Sheet1!C:C,Sheet1!D:D,"N/A",0)</f>
        <v>044</v>
      </c>
    </row>
    <row r="39" spans="1:8" x14ac:dyDescent="0.25">
      <c r="A39" t="s">
        <v>58</v>
      </c>
      <c r="B39" t="s">
        <v>59</v>
      </c>
      <c r="C39" s="5">
        <v>4.3636105557624079E-3</v>
      </c>
      <c r="D39" s="3">
        <f t="shared" si="0"/>
        <v>4.4683372091007056</v>
      </c>
      <c r="E39" s="3">
        <f t="shared" si="1"/>
        <v>0.87096873522579987</v>
      </c>
      <c r="F39" t="str">
        <f t="shared" si="2"/>
        <v>BHR</v>
      </c>
      <c r="G39" t="str">
        <f>+_xlfn.XLOOKUP(F39,Sheet1!C:C,Sheet1!B:B,"N/A",0)</f>
        <v>BH</v>
      </c>
      <c r="H39" t="str">
        <f>+_xlfn.XLOOKUP(F39,Sheet1!C:C,Sheet1!D:D,"N/A",0)</f>
        <v>048</v>
      </c>
    </row>
    <row r="40" spans="1:8" x14ac:dyDescent="0.25">
      <c r="A40" t="s">
        <v>58</v>
      </c>
      <c r="B40" t="s">
        <v>60</v>
      </c>
      <c r="C40" s="5">
        <v>1.7293000006242171E-3</v>
      </c>
      <c r="D40" s="3">
        <f t="shared" si="0"/>
        <v>1.7708032006391983</v>
      </c>
      <c r="E40" s="3">
        <f t="shared" si="1"/>
        <v>0.87096873522579987</v>
      </c>
      <c r="F40" t="str">
        <f t="shared" si="2"/>
        <v>BHR</v>
      </c>
      <c r="G40" t="str">
        <f>+_xlfn.XLOOKUP(F40,Sheet1!C:C,Sheet1!B:B,"N/A",0)</f>
        <v>BH</v>
      </c>
      <c r="H40" t="str">
        <f>+_xlfn.XLOOKUP(F40,Sheet1!C:C,Sheet1!D:D,"N/A",0)</f>
        <v>048</v>
      </c>
    </row>
    <row r="41" spans="1:8" x14ac:dyDescent="0.25">
      <c r="A41" t="s">
        <v>58</v>
      </c>
      <c r="B41" t="s">
        <v>61</v>
      </c>
      <c r="C41" s="5">
        <v>8.5055540549394519E-4</v>
      </c>
      <c r="D41" s="3">
        <f t="shared" si="0"/>
        <v>0.87096873522579987</v>
      </c>
      <c r="E41" s="3">
        <f t="shared" si="1"/>
        <v>0.87096873522579987</v>
      </c>
      <c r="F41" t="str">
        <f t="shared" si="2"/>
        <v>BHR</v>
      </c>
      <c r="G41" t="str">
        <f>+_xlfn.XLOOKUP(F41,Sheet1!C:C,Sheet1!B:B,"N/A",0)</f>
        <v>BH</v>
      </c>
      <c r="H41" t="str">
        <f>+_xlfn.XLOOKUP(F41,Sheet1!C:C,Sheet1!D:D,"N/A",0)</f>
        <v>048</v>
      </c>
    </row>
    <row r="42" spans="1:8" x14ac:dyDescent="0.25">
      <c r="A42" t="s">
        <v>62</v>
      </c>
      <c r="B42" t="s">
        <v>63</v>
      </c>
      <c r="C42" s="5">
        <v>9.999999892450252E-4</v>
      </c>
      <c r="D42" s="3">
        <f t="shared" si="0"/>
        <v>1.0239999889869058</v>
      </c>
      <c r="E42" s="3">
        <f t="shared" si="1"/>
        <v>0.81920000000000026</v>
      </c>
      <c r="F42" t="str">
        <f t="shared" si="2"/>
        <v>BGD</v>
      </c>
      <c r="G42" t="str">
        <f>+_xlfn.XLOOKUP(F42,Sheet1!C:C,Sheet1!B:B,"N/A",0)</f>
        <v>BD</v>
      </c>
      <c r="H42" t="str">
        <f>+_xlfn.XLOOKUP(F42,Sheet1!C:C,Sheet1!D:D,"N/A",0)</f>
        <v>050</v>
      </c>
    </row>
    <row r="43" spans="1:8" x14ac:dyDescent="0.25">
      <c r="A43" t="s">
        <v>62</v>
      </c>
      <c r="B43" t="s">
        <v>64</v>
      </c>
      <c r="C43" s="5">
        <v>8.0000000000000026E-4</v>
      </c>
      <c r="D43" s="3">
        <f t="shared" si="0"/>
        <v>0.81920000000000026</v>
      </c>
      <c r="E43" s="3">
        <f t="shared" si="1"/>
        <v>0.81920000000000026</v>
      </c>
      <c r="F43" t="str">
        <f t="shared" si="2"/>
        <v>BGD</v>
      </c>
      <c r="G43" t="str">
        <f>+_xlfn.XLOOKUP(F43,Sheet1!C:C,Sheet1!B:B,"N/A",0)</f>
        <v>BD</v>
      </c>
      <c r="H43" t="str">
        <f>+_xlfn.XLOOKUP(F43,Sheet1!C:C,Sheet1!D:D,"N/A",0)</f>
        <v>050</v>
      </c>
    </row>
    <row r="44" spans="1:8" x14ac:dyDescent="0.25">
      <c r="A44" t="s">
        <v>62</v>
      </c>
      <c r="B44" t="s">
        <v>65</v>
      </c>
      <c r="C44" s="5">
        <v>9.999999999999998E-4</v>
      </c>
      <c r="D44" s="3">
        <f t="shared" si="0"/>
        <v>1.0239999999999998</v>
      </c>
      <c r="E44" s="3">
        <f t="shared" si="1"/>
        <v>0.81920000000000026</v>
      </c>
      <c r="F44" t="str">
        <f t="shared" si="2"/>
        <v>BGD</v>
      </c>
      <c r="G44" t="str">
        <f>+_xlfn.XLOOKUP(F44,Sheet1!C:C,Sheet1!B:B,"N/A",0)</f>
        <v>BD</v>
      </c>
      <c r="H44" t="str">
        <f>+_xlfn.XLOOKUP(F44,Sheet1!C:C,Sheet1!D:D,"N/A",0)</f>
        <v>050</v>
      </c>
    </row>
    <row r="45" spans="1:8" x14ac:dyDescent="0.25">
      <c r="A45" t="s">
        <v>66</v>
      </c>
      <c r="B45" t="s">
        <v>67</v>
      </c>
      <c r="C45" s="5">
        <v>2.5453999993423552E-3</v>
      </c>
      <c r="D45" s="3">
        <f t="shared" si="0"/>
        <v>2.6064895993265718</v>
      </c>
      <c r="E45" s="3">
        <f t="shared" si="1"/>
        <v>2.6064895993265718</v>
      </c>
      <c r="F45" t="str">
        <f t="shared" si="2"/>
        <v>BRB</v>
      </c>
      <c r="G45" t="str">
        <f>+_xlfn.XLOOKUP(F45,Sheet1!C:C,Sheet1!B:B,"N/A",0)</f>
        <v>BB</v>
      </c>
      <c r="H45" t="str">
        <f>+_xlfn.XLOOKUP(F45,Sheet1!C:C,Sheet1!D:D,"N/A",0)</f>
        <v>052</v>
      </c>
    </row>
    <row r="46" spans="1:8" x14ac:dyDescent="0.25">
      <c r="A46" t="s">
        <v>68</v>
      </c>
      <c r="B46" t="s">
        <v>69</v>
      </c>
      <c r="C46" s="5">
        <v>1.4975937714919215E-3</v>
      </c>
      <c r="D46" s="3">
        <f t="shared" si="0"/>
        <v>1.5335360220077277</v>
      </c>
      <c r="E46" s="3">
        <f t="shared" si="1"/>
        <v>1.5335360220077277</v>
      </c>
      <c r="F46" t="str">
        <f t="shared" si="2"/>
        <v>BLR</v>
      </c>
      <c r="G46" t="str">
        <f>+_xlfn.XLOOKUP(F46,Sheet1!C:C,Sheet1!B:B,"N/A",0)</f>
        <v>BY</v>
      </c>
      <c r="H46" t="str">
        <f>+_xlfn.XLOOKUP(F46,Sheet1!C:C,Sheet1!D:D,"N/A",0)</f>
        <v>112</v>
      </c>
    </row>
    <row r="47" spans="1:8" x14ac:dyDescent="0.25">
      <c r="A47" t="s">
        <v>68</v>
      </c>
      <c r="B47" t="s">
        <v>70</v>
      </c>
      <c r="C47" s="5">
        <v>5.7359430774133382E-3</v>
      </c>
      <c r="D47" s="3">
        <f t="shared" si="0"/>
        <v>5.8736057112712583</v>
      </c>
      <c r="E47" s="3">
        <f t="shared" si="1"/>
        <v>1.5335360220077277</v>
      </c>
      <c r="F47" t="str">
        <f t="shared" si="2"/>
        <v>BLR</v>
      </c>
      <c r="G47" t="str">
        <f>+_xlfn.XLOOKUP(F47,Sheet1!C:C,Sheet1!B:B,"N/A",0)</f>
        <v>BY</v>
      </c>
      <c r="H47" t="str">
        <f>+_xlfn.XLOOKUP(F47,Sheet1!C:C,Sheet1!D:D,"N/A",0)</f>
        <v>112</v>
      </c>
    </row>
    <row r="48" spans="1:8" x14ac:dyDescent="0.25">
      <c r="A48" t="s">
        <v>68</v>
      </c>
      <c r="B48" t="s">
        <v>71</v>
      </c>
      <c r="C48" s="5">
        <v>3.9762646660273342E-3</v>
      </c>
      <c r="D48" s="3">
        <f t="shared" si="0"/>
        <v>4.0716950180119902</v>
      </c>
      <c r="E48" s="3">
        <f t="shared" si="1"/>
        <v>1.5335360220077277</v>
      </c>
      <c r="F48" t="str">
        <f t="shared" si="2"/>
        <v>BLR</v>
      </c>
      <c r="G48" t="str">
        <f>+_xlfn.XLOOKUP(F48,Sheet1!C:C,Sheet1!B:B,"N/A",0)</f>
        <v>BY</v>
      </c>
      <c r="H48" t="str">
        <f>+_xlfn.XLOOKUP(F48,Sheet1!C:C,Sheet1!D:D,"N/A",0)</f>
        <v>112</v>
      </c>
    </row>
    <row r="49" spans="1:8" x14ac:dyDescent="0.25">
      <c r="A49" t="s">
        <v>72</v>
      </c>
      <c r="B49" t="s">
        <v>73</v>
      </c>
      <c r="C49" s="5"/>
      <c r="D49" s="3">
        <f t="shared" si="0"/>
        <v>0</v>
      </c>
      <c r="E49" s="3">
        <f t="shared" si="1"/>
        <v>0.35491840000000002</v>
      </c>
      <c r="F49" t="str">
        <f t="shared" si="2"/>
        <v>BEL</v>
      </c>
      <c r="G49" t="str">
        <f>+_xlfn.XLOOKUP(F49,Sheet1!C:C,Sheet1!B:B,"N/A",0)</f>
        <v>BE</v>
      </c>
      <c r="H49" t="str">
        <f>+_xlfn.XLOOKUP(F49,Sheet1!C:C,Sheet1!D:D,"N/A",0)</f>
        <v>056</v>
      </c>
    </row>
    <row r="50" spans="1:8" x14ac:dyDescent="0.25">
      <c r="A50" t="s">
        <v>72</v>
      </c>
      <c r="B50" t="s">
        <v>74</v>
      </c>
      <c r="C50" s="5">
        <v>8.6869999999999992E-4</v>
      </c>
      <c r="D50" s="3">
        <f t="shared" si="0"/>
        <v>0.88954879999999992</v>
      </c>
      <c r="E50" s="3">
        <f t="shared" si="1"/>
        <v>0.35491840000000002</v>
      </c>
      <c r="F50" t="str">
        <f t="shared" si="2"/>
        <v>BEL</v>
      </c>
      <c r="G50" t="str">
        <f>+_xlfn.XLOOKUP(F50,Sheet1!C:C,Sheet1!B:B,"N/A",0)</f>
        <v>BE</v>
      </c>
      <c r="H50" t="str">
        <f>+_xlfn.XLOOKUP(F50,Sheet1!C:C,Sheet1!D:D,"N/A",0)</f>
        <v>056</v>
      </c>
    </row>
    <row r="51" spans="1:8" x14ac:dyDescent="0.25">
      <c r="A51" t="s">
        <v>72</v>
      </c>
      <c r="B51" t="s">
        <v>75</v>
      </c>
      <c r="C51" s="5">
        <v>3.4660000000000002E-4</v>
      </c>
      <c r="D51" s="3">
        <f t="shared" si="0"/>
        <v>0.35491840000000002</v>
      </c>
      <c r="E51" s="3">
        <f t="shared" si="1"/>
        <v>0.35491840000000002</v>
      </c>
      <c r="F51" t="str">
        <f t="shared" si="2"/>
        <v>BEL</v>
      </c>
      <c r="G51" t="str">
        <f>+_xlfn.XLOOKUP(F51,Sheet1!C:C,Sheet1!B:B,"N/A",0)</f>
        <v>BE</v>
      </c>
      <c r="H51" t="str">
        <f>+_xlfn.XLOOKUP(F51,Sheet1!C:C,Sheet1!D:D,"N/A",0)</f>
        <v>056</v>
      </c>
    </row>
    <row r="52" spans="1:8" x14ac:dyDescent="0.25">
      <c r="A52" t="s">
        <v>72</v>
      </c>
      <c r="B52" t="s">
        <v>76</v>
      </c>
      <c r="C52" s="5">
        <v>6.4380000000000004E-4</v>
      </c>
      <c r="D52" s="3">
        <f t="shared" si="0"/>
        <v>0.65925120000000004</v>
      </c>
      <c r="E52" s="3">
        <f t="shared" si="1"/>
        <v>0.35491840000000002</v>
      </c>
      <c r="F52" t="str">
        <f t="shared" si="2"/>
        <v>BEL</v>
      </c>
      <c r="G52" t="str">
        <f>+_xlfn.XLOOKUP(F52,Sheet1!C:C,Sheet1!B:B,"N/A",0)</f>
        <v>BE</v>
      </c>
      <c r="H52" t="str">
        <f>+_xlfn.XLOOKUP(F52,Sheet1!C:C,Sheet1!D:D,"N/A",0)</f>
        <v>056</v>
      </c>
    </row>
    <row r="53" spans="1:8" x14ac:dyDescent="0.25">
      <c r="A53" t="s">
        <v>77</v>
      </c>
      <c r="B53" t="s">
        <v>78</v>
      </c>
      <c r="C53" s="5">
        <v>8.4920489209911743E-3</v>
      </c>
      <c r="D53" s="3">
        <f t="shared" si="0"/>
        <v>8.6958580950949624</v>
      </c>
      <c r="E53" s="3">
        <f t="shared" si="1"/>
        <v>8.6958580950949624</v>
      </c>
      <c r="F53" t="str">
        <f t="shared" si="2"/>
        <v>BLZ</v>
      </c>
      <c r="G53" t="str">
        <f>+_xlfn.XLOOKUP(F53,Sheet1!C:C,Sheet1!B:B,"N/A",0)</f>
        <v>BZ</v>
      </c>
      <c r="H53" t="str">
        <f>+_xlfn.XLOOKUP(F53,Sheet1!C:C,Sheet1!D:D,"N/A",0)</f>
        <v>084</v>
      </c>
    </row>
    <row r="54" spans="1:8" x14ac:dyDescent="0.25">
      <c r="A54" t="s">
        <v>77</v>
      </c>
      <c r="B54" t="s">
        <v>79</v>
      </c>
      <c r="C54" s="5">
        <v>3.4768203999999998</v>
      </c>
      <c r="D54" s="3">
        <f t="shared" si="0"/>
        <v>3560.2640895999998</v>
      </c>
      <c r="E54" s="3">
        <f t="shared" si="1"/>
        <v>8.6958580950949624</v>
      </c>
      <c r="F54" t="str">
        <f t="shared" si="2"/>
        <v>BLZ</v>
      </c>
      <c r="G54" t="str">
        <f>+_xlfn.XLOOKUP(F54,Sheet1!C:C,Sheet1!B:B,"N/A",0)</f>
        <v>BZ</v>
      </c>
      <c r="H54" t="str">
        <f>+_xlfn.XLOOKUP(F54,Sheet1!C:C,Sheet1!D:D,"N/A",0)</f>
        <v>084</v>
      </c>
    </row>
    <row r="55" spans="1:8" x14ac:dyDescent="0.25">
      <c r="A55" t="s">
        <v>80</v>
      </c>
      <c r="B55" t="s">
        <v>81</v>
      </c>
      <c r="C55" s="5">
        <v>8.0000000002769193E-3</v>
      </c>
      <c r="D55" s="3">
        <f t="shared" si="0"/>
        <v>8.1920000002835653</v>
      </c>
      <c r="E55" s="3">
        <f t="shared" si="1"/>
        <v>2.063518883778177</v>
      </c>
      <c r="F55" t="str">
        <f t="shared" si="2"/>
        <v>BEN</v>
      </c>
      <c r="G55" t="str">
        <f>+_xlfn.XLOOKUP(F55,Sheet1!C:C,Sheet1!B:B,"N/A",0)</f>
        <v>BJ</v>
      </c>
      <c r="H55" t="str">
        <f>+_xlfn.XLOOKUP(F55,Sheet1!C:C,Sheet1!D:D,"N/A",0)</f>
        <v>204</v>
      </c>
    </row>
    <row r="56" spans="1:8" x14ac:dyDescent="0.25">
      <c r="A56" t="s">
        <v>80</v>
      </c>
      <c r="B56" t="s">
        <v>82</v>
      </c>
      <c r="C56" s="5">
        <v>2.015155159939626E-3</v>
      </c>
      <c r="D56" s="3">
        <f t="shared" si="0"/>
        <v>2.063518883778177</v>
      </c>
      <c r="E56" s="3">
        <f t="shared" si="1"/>
        <v>2.063518883778177</v>
      </c>
      <c r="F56" t="str">
        <f t="shared" si="2"/>
        <v>BEN</v>
      </c>
      <c r="G56" t="str">
        <f>+_xlfn.XLOOKUP(F56,Sheet1!C:C,Sheet1!B:B,"N/A",0)</f>
        <v>BJ</v>
      </c>
      <c r="H56" t="str">
        <f>+_xlfn.XLOOKUP(F56,Sheet1!C:C,Sheet1!D:D,"N/A",0)</f>
        <v>204</v>
      </c>
    </row>
    <row r="57" spans="1:8" x14ac:dyDescent="0.25">
      <c r="A57" t="s">
        <v>80</v>
      </c>
      <c r="B57" t="s">
        <v>83</v>
      </c>
      <c r="C57" s="5">
        <v>4.000000003734564E-3</v>
      </c>
      <c r="D57" s="3">
        <f t="shared" si="0"/>
        <v>4.0960000038241935</v>
      </c>
      <c r="E57" s="3">
        <f t="shared" si="1"/>
        <v>2.063518883778177</v>
      </c>
      <c r="F57" t="str">
        <f t="shared" si="2"/>
        <v>BEN</v>
      </c>
      <c r="G57" t="str">
        <f>+_xlfn.XLOOKUP(F57,Sheet1!C:C,Sheet1!B:B,"N/A",0)</f>
        <v>BJ</v>
      </c>
      <c r="H57" t="str">
        <f>+_xlfn.XLOOKUP(F57,Sheet1!C:C,Sheet1!D:D,"N/A",0)</f>
        <v>204</v>
      </c>
    </row>
    <row r="58" spans="1:8" x14ac:dyDescent="0.25">
      <c r="A58" t="s">
        <v>84</v>
      </c>
      <c r="B58" t="s">
        <v>85</v>
      </c>
      <c r="C58" s="5">
        <v>2.5453999995290622E-3</v>
      </c>
      <c r="D58" s="3">
        <f t="shared" si="0"/>
        <v>2.6064895995177597</v>
      </c>
      <c r="E58" s="3">
        <f t="shared" si="1"/>
        <v>2.6064895995177597</v>
      </c>
      <c r="F58" t="str">
        <f t="shared" si="2"/>
        <v>BMU</v>
      </c>
      <c r="G58" t="str">
        <f>+_xlfn.XLOOKUP(F58,Sheet1!C:C,Sheet1!B:B,"N/A",0)</f>
        <v>BM</v>
      </c>
      <c r="H58" t="str">
        <f>+_xlfn.XLOOKUP(F58,Sheet1!C:C,Sheet1!D:D,"N/A",0)</f>
        <v>060</v>
      </c>
    </row>
    <row r="59" spans="1:8" x14ac:dyDescent="0.25">
      <c r="A59" t="s">
        <v>86</v>
      </c>
      <c r="B59" t="s">
        <v>87</v>
      </c>
      <c r="C59" s="5">
        <v>2.415311062693692</v>
      </c>
      <c r="D59" s="3">
        <f t="shared" si="0"/>
        <v>2473.2785281983406</v>
      </c>
      <c r="E59" s="3">
        <f t="shared" si="1"/>
        <v>52.129689595711369</v>
      </c>
      <c r="F59" t="str">
        <f t="shared" si="2"/>
        <v>BTN</v>
      </c>
      <c r="G59" t="str">
        <f>+_xlfn.XLOOKUP(F59,Sheet1!C:C,Sheet1!B:B,"N/A",0)</f>
        <v>BT</v>
      </c>
      <c r="H59" t="str">
        <f>+_xlfn.XLOOKUP(F59,Sheet1!C:C,Sheet1!D:D,"N/A",0)</f>
        <v>064</v>
      </c>
    </row>
    <row r="60" spans="1:8" x14ac:dyDescent="0.25">
      <c r="A60" t="s">
        <v>86</v>
      </c>
      <c r="B60" t="s">
        <v>88</v>
      </c>
      <c r="C60" s="5">
        <v>5.0907899995811884E-2</v>
      </c>
      <c r="D60" s="3">
        <f t="shared" si="0"/>
        <v>52.129689595711369</v>
      </c>
      <c r="E60" s="3">
        <f t="shared" si="1"/>
        <v>52.129689595711369</v>
      </c>
      <c r="F60" t="str">
        <f t="shared" si="2"/>
        <v>BTN</v>
      </c>
      <c r="G60" t="str">
        <f>+_xlfn.XLOOKUP(F60,Sheet1!C:C,Sheet1!B:B,"N/A",0)</f>
        <v>BT</v>
      </c>
      <c r="H60" t="str">
        <f>+_xlfn.XLOOKUP(F60,Sheet1!C:C,Sheet1!D:D,"N/A",0)</f>
        <v>064</v>
      </c>
    </row>
    <row r="61" spans="1:8" x14ac:dyDescent="0.25">
      <c r="A61" t="s">
        <v>89</v>
      </c>
      <c r="B61" t="s">
        <v>90</v>
      </c>
      <c r="C61" s="5">
        <v>1.69693E-2</v>
      </c>
      <c r="D61" s="3">
        <f t="shared" si="0"/>
        <v>17.3765632</v>
      </c>
      <c r="E61" s="3">
        <f t="shared" si="1"/>
        <v>1.8664448003365111</v>
      </c>
      <c r="F61" t="str">
        <f t="shared" si="2"/>
        <v>BOL</v>
      </c>
      <c r="G61" t="str">
        <f>+_xlfn.XLOOKUP(F61,Sheet1!C:C,Sheet1!B:B,"N/A",0)</f>
        <v>BO</v>
      </c>
      <c r="H61" t="str">
        <f>+_xlfn.XLOOKUP(F61,Sheet1!C:C,Sheet1!D:D,"N/A",0)</f>
        <v>068</v>
      </c>
    </row>
    <row r="62" spans="1:8" x14ac:dyDescent="0.25">
      <c r="A62" t="s">
        <v>89</v>
      </c>
      <c r="B62" t="s">
        <v>91</v>
      </c>
      <c r="C62" s="5">
        <v>8.4846000001757901E-3</v>
      </c>
      <c r="D62" s="3">
        <f t="shared" si="0"/>
        <v>8.688230400180009</v>
      </c>
      <c r="E62" s="3">
        <f t="shared" si="1"/>
        <v>1.8664448003365111</v>
      </c>
      <c r="F62" t="str">
        <f t="shared" si="2"/>
        <v>BOL</v>
      </c>
      <c r="G62" t="str">
        <f>+_xlfn.XLOOKUP(F62,Sheet1!C:C,Sheet1!B:B,"N/A",0)</f>
        <v>BO</v>
      </c>
      <c r="H62" t="str">
        <f>+_xlfn.XLOOKUP(F62,Sheet1!C:C,Sheet1!D:D,"N/A",0)</f>
        <v>068</v>
      </c>
    </row>
    <row r="63" spans="1:8" x14ac:dyDescent="0.25">
      <c r="A63" t="s">
        <v>89</v>
      </c>
      <c r="B63" t="s">
        <v>92</v>
      </c>
      <c r="C63" s="5">
        <v>1.8227000003286241E-3</v>
      </c>
      <c r="D63" s="3">
        <f t="shared" si="0"/>
        <v>1.8664448003365111</v>
      </c>
      <c r="E63" s="3">
        <f t="shared" si="1"/>
        <v>1.8664448003365111</v>
      </c>
      <c r="F63" t="str">
        <f t="shared" si="2"/>
        <v>BOL</v>
      </c>
      <c r="G63" t="str">
        <f>+_xlfn.XLOOKUP(F63,Sheet1!C:C,Sheet1!B:B,"N/A",0)</f>
        <v>BO</v>
      </c>
      <c r="H63" t="str">
        <f>+_xlfn.XLOOKUP(F63,Sheet1!C:C,Sheet1!D:D,"N/A",0)</f>
        <v>068</v>
      </c>
    </row>
    <row r="64" spans="1:8" x14ac:dyDescent="0.25">
      <c r="A64" t="s">
        <v>93</v>
      </c>
      <c r="B64" t="s">
        <v>94</v>
      </c>
      <c r="C64" s="5">
        <v>9.0249999999647958E-4</v>
      </c>
      <c r="D64" s="3">
        <f t="shared" si="0"/>
        <v>0.92415999999639509</v>
      </c>
      <c r="E64" s="3">
        <f t="shared" si="1"/>
        <v>0.49152000000000012</v>
      </c>
      <c r="F64" t="str">
        <f t="shared" si="2"/>
        <v>BIH</v>
      </c>
      <c r="G64" t="str">
        <f>+_xlfn.XLOOKUP(F64,Sheet1!C:C,Sheet1!B:B,"N/A",0)</f>
        <v>BA</v>
      </c>
      <c r="H64" t="str">
        <f>+_xlfn.XLOOKUP(F64,Sheet1!C:C,Sheet1!D:D,"N/A",0)</f>
        <v>070</v>
      </c>
    </row>
    <row r="65" spans="1:8" x14ac:dyDescent="0.25">
      <c r="A65" t="s">
        <v>93</v>
      </c>
      <c r="B65" t="s">
        <v>95</v>
      </c>
      <c r="C65" s="5">
        <v>4.8000000000000012E-4</v>
      </c>
      <c r="D65" s="3">
        <f t="shared" si="0"/>
        <v>0.49152000000000012</v>
      </c>
      <c r="E65" s="3">
        <f t="shared" si="1"/>
        <v>0.49152000000000012</v>
      </c>
      <c r="F65" t="str">
        <f t="shared" si="2"/>
        <v>BIH</v>
      </c>
      <c r="G65" t="str">
        <f>+_xlfn.XLOOKUP(F65,Sheet1!C:C,Sheet1!B:B,"N/A",0)</f>
        <v>BA</v>
      </c>
      <c r="H65" t="str">
        <f>+_xlfn.XLOOKUP(F65,Sheet1!C:C,Sheet1!D:D,"N/A",0)</f>
        <v>070</v>
      </c>
    </row>
    <row r="66" spans="1:8" x14ac:dyDescent="0.25">
      <c r="A66" t="s">
        <v>93</v>
      </c>
      <c r="B66" t="s">
        <v>96</v>
      </c>
      <c r="C66" s="5">
        <v>8.1983592422702649E-4</v>
      </c>
      <c r="D66" s="3">
        <f t="shared" si="0"/>
        <v>0.83951198640847513</v>
      </c>
      <c r="E66" s="3">
        <f t="shared" si="1"/>
        <v>0.49152000000000012</v>
      </c>
      <c r="F66" t="str">
        <f t="shared" si="2"/>
        <v>BIH</v>
      </c>
      <c r="G66" t="str">
        <f>+_xlfn.XLOOKUP(F66,Sheet1!C:C,Sheet1!B:B,"N/A",0)</f>
        <v>BA</v>
      </c>
      <c r="H66" t="str">
        <f>+_xlfn.XLOOKUP(F66,Sheet1!C:C,Sheet1!D:D,"N/A",0)</f>
        <v>070</v>
      </c>
    </row>
    <row r="67" spans="1:8" x14ac:dyDescent="0.25">
      <c r="A67" t="s">
        <v>97</v>
      </c>
      <c r="B67" t="s">
        <v>98</v>
      </c>
      <c r="C67" s="5">
        <v>3.9999998562620662E-3</v>
      </c>
      <c r="D67" s="3">
        <f t="shared" ref="D67:D130" si="3">C67*1024</f>
        <v>4.0959998528123558</v>
      </c>
      <c r="E67" s="3">
        <f t="shared" ref="E67:E130" si="4">_xlfn.MINIFS(D:D,A:A,A67,D:D,"&lt;&gt;0")</f>
        <v>1.8944959459187707</v>
      </c>
      <c r="F67" t="str">
        <f t="shared" ref="F67:F130" si="5">_xlfn.TEXTBEFORE(_xlfn.TEXTAFTER(B67,"("),")")</f>
        <v>BWA</v>
      </c>
      <c r="G67" t="str">
        <f>+_xlfn.XLOOKUP(F67,Sheet1!C:C,Sheet1!B:B,"N/A",0)</f>
        <v>BW</v>
      </c>
      <c r="H67" t="str">
        <f>+_xlfn.XLOOKUP(F67,Sheet1!C:C,Sheet1!D:D,"N/A",0)</f>
        <v>072</v>
      </c>
    </row>
    <row r="68" spans="1:8" x14ac:dyDescent="0.25">
      <c r="A68" t="s">
        <v>97</v>
      </c>
      <c r="B68" t="s">
        <v>99</v>
      </c>
      <c r="C68" s="5">
        <v>1.8500936971862995E-3</v>
      </c>
      <c r="D68" s="3">
        <f t="shared" si="3"/>
        <v>1.8944959459187707</v>
      </c>
      <c r="E68" s="3">
        <f t="shared" si="4"/>
        <v>1.8944959459187707</v>
      </c>
      <c r="F68" t="str">
        <f t="shared" si="5"/>
        <v>BWA</v>
      </c>
      <c r="G68" t="str">
        <f>+_xlfn.XLOOKUP(F68,Sheet1!C:C,Sheet1!B:B,"N/A",0)</f>
        <v>BW</v>
      </c>
      <c r="H68" t="str">
        <f>+_xlfn.XLOOKUP(F68,Sheet1!C:C,Sheet1!D:D,"N/A",0)</f>
        <v>072</v>
      </c>
    </row>
    <row r="69" spans="1:8" x14ac:dyDescent="0.25">
      <c r="A69" t="s">
        <v>97</v>
      </c>
      <c r="B69" t="s">
        <v>100</v>
      </c>
      <c r="C69" s="5">
        <v>1.9224999982917562E-3</v>
      </c>
      <c r="D69" s="3">
        <f t="shared" si="3"/>
        <v>1.9686399982507583</v>
      </c>
      <c r="E69" s="3">
        <f t="shared" si="4"/>
        <v>1.8944959459187707</v>
      </c>
      <c r="F69" t="str">
        <f t="shared" si="5"/>
        <v>BWA</v>
      </c>
      <c r="G69" t="str">
        <f>+_xlfn.XLOOKUP(F69,Sheet1!C:C,Sheet1!B:B,"N/A",0)</f>
        <v>BW</v>
      </c>
      <c r="H69" t="str">
        <f>+_xlfn.XLOOKUP(F69,Sheet1!C:C,Sheet1!D:D,"N/A",0)</f>
        <v>072</v>
      </c>
    </row>
    <row r="70" spans="1:8" x14ac:dyDescent="0.25">
      <c r="A70" t="s">
        <v>101</v>
      </c>
      <c r="B70" t="s">
        <v>102</v>
      </c>
      <c r="C70" s="5">
        <v>1.3152039944248433E-3</v>
      </c>
      <c r="D70" s="3">
        <f t="shared" si="3"/>
        <v>1.3467688902910395</v>
      </c>
      <c r="E70" s="3">
        <f t="shared" si="4"/>
        <v>0.86886399980481277</v>
      </c>
      <c r="F70" t="str">
        <f t="shared" si="5"/>
        <v>BRA</v>
      </c>
      <c r="G70" t="str">
        <f>+_xlfn.XLOOKUP(F70,Sheet1!C:C,Sheet1!B:B,"N/A",0)</f>
        <v>BR</v>
      </c>
      <c r="H70" t="str">
        <f>+_xlfn.XLOOKUP(F70,Sheet1!C:C,Sheet1!D:D,"N/A",0)</f>
        <v>076</v>
      </c>
    </row>
    <row r="71" spans="1:8" x14ac:dyDescent="0.25">
      <c r="A71" t="s">
        <v>101</v>
      </c>
      <c r="B71" t="s">
        <v>103</v>
      </c>
      <c r="C71" s="5">
        <v>8.4849999980938747E-4</v>
      </c>
      <c r="D71" s="3">
        <f t="shared" si="3"/>
        <v>0.86886399980481277</v>
      </c>
      <c r="E71" s="3">
        <f t="shared" si="4"/>
        <v>0.86886399980481277</v>
      </c>
      <c r="F71" t="str">
        <f t="shared" si="5"/>
        <v>BRA</v>
      </c>
      <c r="G71" t="str">
        <f>+_xlfn.XLOOKUP(F71,Sheet1!C:C,Sheet1!B:B,"N/A",0)</f>
        <v>BR</v>
      </c>
      <c r="H71" t="str">
        <f>+_xlfn.XLOOKUP(F71,Sheet1!C:C,Sheet1!D:D,"N/A",0)</f>
        <v>076</v>
      </c>
    </row>
    <row r="72" spans="1:8" x14ac:dyDescent="0.25">
      <c r="A72" t="s">
        <v>101</v>
      </c>
      <c r="B72" t="s">
        <v>104</v>
      </c>
      <c r="C72" s="5">
        <v>1.0323191249851428E-3</v>
      </c>
      <c r="D72" s="3">
        <f t="shared" si="3"/>
        <v>1.0570947839847862</v>
      </c>
      <c r="E72" s="3">
        <f t="shared" si="4"/>
        <v>0.86886399980481277</v>
      </c>
      <c r="F72" t="str">
        <f t="shared" si="5"/>
        <v>BRA</v>
      </c>
      <c r="G72" t="str">
        <f>+_xlfn.XLOOKUP(F72,Sheet1!C:C,Sheet1!B:B,"N/A",0)</f>
        <v>BR</v>
      </c>
      <c r="H72" t="str">
        <f>+_xlfn.XLOOKUP(F72,Sheet1!C:C,Sheet1!D:D,"N/A",0)</f>
        <v>076</v>
      </c>
    </row>
    <row r="73" spans="1:8" x14ac:dyDescent="0.25">
      <c r="A73" t="s">
        <v>105</v>
      </c>
      <c r="B73" t="s">
        <v>106</v>
      </c>
      <c r="C73" s="5">
        <v>7.4143721761242229</v>
      </c>
      <c r="D73" s="3">
        <f t="shared" si="3"/>
        <v>7592.3171083512043</v>
      </c>
      <c r="E73" s="3">
        <f t="shared" si="4"/>
        <v>0.86886399594281105</v>
      </c>
      <c r="F73" t="str">
        <f t="shared" si="5"/>
        <v>VGB</v>
      </c>
      <c r="G73" t="str">
        <f>+_xlfn.XLOOKUP(F73,Sheet1!C:C,Sheet1!B:B,"N/A",0)</f>
        <v>VG</v>
      </c>
      <c r="H73" t="str">
        <f>+_xlfn.XLOOKUP(F73,Sheet1!C:C,Sheet1!D:D,"N/A",0)</f>
        <v>092</v>
      </c>
    </row>
    <row r="74" spans="1:8" x14ac:dyDescent="0.25">
      <c r="A74" t="s">
        <v>105</v>
      </c>
      <c r="B74" t="s">
        <v>107</v>
      </c>
      <c r="C74" s="5">
        <v>8.4849999603790142E-4</v>
      </c>
      <c r="D74" s="3">
        <f t="shared" si="3"/>
        <v>0.86886399594281105</v>
      </c>
      <c r="E74" s="3">
        <f t="shared" si="4"/>
        <v>0.86886399594281105</v>
      </c>
      <c r="F74" t="str">
        <f t="shared" si="5"/>
        <v>VGB</v>
      </c>
      <c r="G74" t="str">
        <f>+_xlfn.XLOOKUP(F74,Sheet1!C:C,Sheet1!B:B,"N/A",0)</f>
        <v>VG</v>
      </c>
      <c r="H74" t="str">
        <f>+_xlfn.XLOOKUP(F74,Sheet1!C:C,Sheet1!D:D,"N/A",0)</f>
        <v>092</v>
      </c>
    </row>
    <row r="75" spans="1:8" x14ac:dyDescent="0.25">
      <c r="A75" t="s">
        <v>105</v>
      </c>
      <c r="B75" t="s">
        <v>108</v>
      </c>
      <c r="C75" s="5">
        <v>2.5453999727502604E-3</v>
      </c>
      <c r="D75" s="3">
        <f t="shared" si="3"/>
        <v>2.6064895720962666</v>
      </c>
      <c r="E75" s="3">
        <f t="shared" si="4"/>
        <v>0.86886399594281105</v>
      </c>
      <c r="F75" t="str">
        <f t="shared" si="5"/>
        <v>VGB</v>
      </c>
      <c r="G75" t="str">
        <f>+_xlfn.XLOOKUP(F75,Sheet1!C:C,Sheet1!B:B,"N/A",0)</f>
        <v>VG</v>
      </c>
      <c r="H75" t="str">
        <f>+_xlfn.XLOOKUP(F75,Sheet1!C:C,Sheet1!D:D,"N/A",0)</f>
        <v>092</v>
      </c>
    </row>
    <row r="76" spans="1:8" x14ac:dyDescent="0.25">
      <c r="A76" t="s">
        <v>109</v>
      </c>
      <c r="B76" t="s">
        <v>110</v>
      </c>
      <c r="C76" s="5">
        <v>2.0000000002761537E-3</v>
      </c>
      <c r="D76" s="3">
        <f t="shared" si="3"/>
        <v>2.0480000002827814</v>
      </c>
      <c r="E76" s="3">
        <f t="shared" si="4"/>
        <v>2.0480000002827814</v>
      </c>
      <c r="F76" t="str">
        <f t="shared" si="5"/>
        <v>BRN</v>
      </c>
      <c r="G76" t="str">
        <f>+_xlfn.XLOOKUP(F76,Sheet1!C:C,Sheet1!B:B,"N/A",0)</f>
        <v>BN</v>
      </c>
      <c r="H76" t="str">
        <f>+_xlfn.XLOOKUP(F76,Sheet1!C:C,Sheet1!D:D,"N/A",0)</f>
        <v>096</v>
      </c>
    </row>
    <row r="77" spans="1:8" x14ac:dyDescent="0.25">
      <c r="A77" t="s">
        <v>111</v>
      </c>
      <c r="B77" t="s">
        <v>112</v>
      </c>
      <c r="C77" s="5">
        <v>1.5E-3</v>
      </c>
      <c r="D77" s="3">
        <f t="shared" si="3"/>
        <v>1.536</v>
      </c>
      <c r="E77" s="3">
        <f t="shared" si="4"/>
        <v>0.48834560000000005</v>
      </c>
      <c r="F77" t="str">
        <f t="shared" si="5"/>
        <v>BGR</v>
      </c>
      <c r="G77" t="str">
        <f>+_xlfn.XLOOKUP(F77,Sheet1!C:C,Sheet1!B:B,"N/A",0)</f>
        <v>BG</v>
      </c>
      <c r="H77" t="str">
        <f>+_xlfn.XLOOKUP(F77,Sheet1!C:C,Sheet1!D:D,"N/A",0)</f>
        <v>100</v>
      </c>
    </row>
    <row r="78" spans="1:8" x14ac:dyDescent="0.25">
      <c r="A78" t="s">
        <v>111</v>
      </c>
      <c r="B78" t="s">
        <v>113</v>
      </c>
      <c r="C78" s="5">
        <v>4.7690000000000005E-4</v>
      </c>
      <c r="D78" s="3">
        <f t="shared" si="3"/>
        <v>0.48834560000000005</v>
      </c>
      <c r="E78" s="3">
        <f t="shared" si="4"/>
        <v>0.48834560000000005</v>
      </c>
      <c r="F78" t="str">
        <f t="shared" si="5"/>
        <v>BGR</v>
      </c>
      <c r="G78" t="str">
        <f>+_xlfn.XLOOKUP(F78,Sheet1!C:C,Sheet1!B:B,"N/A",0)</f>
        <v>BG</v>
      </c>
      <c r="H78" t="str">
        <f>+_xlfn.XLOOKUP(F78,Sheet1!C:C,Sheet1!D:D,"N/A",0)</f>
        <v>100</v>
      </c>
    </row>
    <row r="79" spans="1:8" x14ac:dyDescent="0.25">
      <c r="A79" t="s">
        <v>111</v>
      </c>
      <c r="B79" t="s">
        <v>114</v>
      </c>
      <c r="C79" s="5">
        <v>7.3779999999999983E-4</v>
      </c>
      <c r="D79" s="3">
        <f t="shared" si="3"/>
        <v>0.75550719999999982</v>
      </c>
      <c r="E79" s="3">
        <f t="shared" si="4"/>
        <v>0.48834560000000005</v>
      </c>
      <c r="F79" t="str">
        <f t="shared" si="5"/>
        <v>BGR</v>
      </c>
      <c r="G79" t="str">
        <f>+_xlfn.XLOOKUP(F79,Sheet1!C:C,Sheet1!B:B,"N/A",0)</f>
        <v>BG</v>
      </c>
      <c r="H79" t="str">
        <f>+_xlfn.XLOOKUP(F79,Sheet1!C:C,Sheet1!D:D,"N/A",0)</f>
        <v>100</v>
      </c>
    </row>
    <row r="80" spans="1:8" x14ac:dyDescent="0.25">
      <c r="A80" t="s">
        <v>115</v>
      </c>
      <c r="B80" t="s">
        <v>116</v>
      </c>
      <c r="C80" s="5">
        <v>8.0000001942713873E-3</v>
      </c>
      <c r="D80" s="3">
        <f t="shared" si="3"/>
        <v>8.1920001989339006</v>
      </c>
      <c r="E80" s="3">
        <f t="shared" si="4"/>
        <v>1.9686400034994449</v>
      </c>
      <c r="F80" t="str">
        <f t="shared" si="5"/>
        <v>BFA</v>
      </c>
      <c r="G80" t="str">
        <f>+_xlfn.XLOOKUP(F80,Sheet1!C:C,Sheet1!B:B,"N/A",0)</f>
        <v>BF</v>
      </c>
      <c r="H80" t="str">
        <f>+_xlfn.XLOOKUP(F80,Sheet1!C:C,Sheet1!D:D,"N/A",0)</f>
        <v>854</v>
      </c>
    </row>
    <row r="81" spans="1:8" x14ac:dyDescent="0.25">
      <c r="A81" t="s">
        <v>115</v>
      </c>
      <c r="B81" t="s">
        <v>117</v>
      </c>
      <c r="C81" s="5">
        <v>1.9225000034174267E-3</v>
      </c>
      <c r="D81" s="3">
        <f t="shared" si="3"/>
        <v>1.9686400034994449</v>
      </c>
      <c r="E81" s="3">
        <f t="shared" si="4"/>
        <v>1.9686400034994449</v>
      </c>
      <c r="F81" t="str">
        <f t="shared" si="5"/>
        <v>BFA</v>
      </c>
      <c r="G81" t="str">
        <f>+_xlfn.XLOOKUP(F81,Sheet1!C:C,Sheet1!B:B,"N/A",0)</f>
        <v>BF</v>
      </c>
      <c r="H81" t="str">
        <f>+_xlfn.XLOOKUP(F81,Sheet1!C:C,Sheet1!D:D,"N/A",0)</f>
        <v>854</v>
      </c>
    </row>
    <row r="82" spans="1:8" x14ac:dyDescent="0.25">
      <c r="A82" t="s">
        <v>115</v>
      </c>
      <c r="B82" t="s">
        <v>118</v>
      </c>
      <c r="C82" s="5"/>
      <c r="D82" s="3">
        <f t="shared" si="3"/>
        <v>0</v>
      </c>
      <c r="E82" s="3">
        <f t="shared" si="4"/>
        <v>1.9686400034994449</v>
      </c>
      <c r="F82" t="str">
        <f t="shared" si="5"/>
        <v>BFA</v>
      </c>
      <c r="G82" t="str">
        <f>+_xlfn.XLOOKUP(F82,Sheet1!C:C,Sheet1!B:B,"N/A",0)</f>
        <v>BF</v>
      </c>
      <c r="H82" t="str">
        <f>+_xlfn.XLOOKUP(F82,Sheet1!C:C,Sheet1!D:D,"N/A",0)</f>
        <v>854</v>
      </c>
    </row>
    <row r="83" spans="1:8" x14ac:dyDescent="0.25">
      <c r="A83" t="s">
        <v>119</v>
      </c>
      <c r="B83" t="s">
        <v>120</v>
      </c>
      <c r="C83" s="5">
        <v>7.9070281966412503</v>
      </c>
      <c r="D83" s="3">
        <f t="shared" si="3"/>
        <v>8096.7968733606403</v>
      </c>
      <c r="E83" s="3">
        <f t="shared" si="4"/>
        <v>29.616590485062037</v>
      </c>
      <c r="F83" t="str">
        <f t="shared" si="5"/>
        <v>BDI</v>
      </c>
      <c r="G83" t="str">
        <f>+_xlfn.XLOOKUP(F83,Sheet1!C:C,Sheet1!B:B,"N/A",0)</f>
        <v>BI</v>
      </c>
      <c r="H83" t="str">
        <f>+_xlfn.XLOOKUP(F83,Sheet1!C:C,Sheet1!D:D,"N/A",0)</f>
        <v>108</v>
      </c>
    </row>
    <row r="84" spans="1:8" x14ac:dyDescent="0.25">
      <c r="A84" t="s">
        <v>119</v>
      </c>
      <c r="B84" t="s">
        <v>121</v>
      </c>
      <c r="C84" s="5">
        <v>2.8922451645568396E-2</v>
      </c>
      <c r="D84" s="3">
        <f t="shared" si="3"/>
        <v>29.616590485062037</v>
      </c>
      <c r="E84" s="3">
        <f t="shared" si="4"/>
        <v>29.616590485062037</v>
      </c>
      <c r="F84" t="str">
        <f t="shared" si="5"/>
        <v>BDI</v>
      </c>
      <c r="G84" t="str">
        <f>+_xlfn.XLOOKUP(F84,Sheet1!C:C,Sheet1!B:B,"N/A",0)</f>
        <v>BI</v>
      </c>
      <c r="H84" t="str">
        <f>+_xlfn.XLOOKUP(F84,Sheet1!C:C,Sheet1!D:D,"N/A",0)</f>
        <v>108</v>
      </c>
    </row>
    <row r="85" spans="1:8" x14ac:dyDescent="0.25">
      <c r="A85" t="s">
        <v>122</v>
      </c>
      <c r="B85" t="s">
        <v>123</v>
      </c>
      <c r="C85" s="5">
        <v>4.2423000004725465E-3</v>
      </c>
      <c r="D85" s="3">
        <f t="shared" si="3"/>
        <v>4.3441152004838877</v>
      </c>
      <c r="E85" s="3">
        <f t="shared" si="4"/>
        <v>4.3441152004838877</v>
      </c>
      <c r="F85" t="str">
        <f t="shared" si="5"/>
        <v>KHM</v>
      </c>
      <c r="G85" t="str">
        <f>+_xlfn.XLOOKUP(F85,Sheet1!C:C,Sheet1!B:B,"N/A",0)</f>
        <v>KH</v>
      </c>
      <c r="H85" t="str">
        <f>+_xlfn.XLOOKUP(F85,Sheet1!C:C,Sheet1!D:D,"N/A",0)</f>
        <v>116</v>
      </c>
    </row>
    <row r="86" spans="1:8" x14ac:dyDescent="0.25">
      <c r="A86" t="s">
        <v>122</v>
      </c>
      <c r="B86" t="s">
        <v>124</v>
      </c>
      <c r="C86" s="5">
        <v>4.2428117161472882E-3</v>
      </c>
      <c r="D86" s="3">
        <f t="shared" si="3"/>
        <v>4.3446391973348231</v>
      </c>
      <c r="E86" s="3">
        <f t="shared" si="4"/>
        <v>4.3441152004838877</v>
      </c>
      <c r="F86" t="str">
        <f t="shared" si="5"/>
        <v>KHM</v>
      </c>
      <c r="G86" t="str">
        <f>+_xlfn.XLOOKUP(F86,Sheet1!C:C,Sheet1!B:B,"N/A",0)</f>
        <v>KH</v>
      </c>
      <c r="H86" t="str">
        <f>+_xlfn.XLOOKUP(F86,Sheet1!C:C,Sheet1!D:D,"N/A",0)</f>
        <v>116</v>
      </c>
    </row>
    <row r="87" spans="1:8" x14ac:dyDescent="0.25">
      <c r="A87" t="s">
        <v>122</v>
      </c>
      <c r="B87" t="s">
        <v>125</v>
      </c>
      <c r="C87" s="5">
        <v>4.2599943146263289E-3</v>
      </c>
      <c r="D87" s="3">
        <f t="shared" si="3"/>
        <v>4.3622341781773608</v>
      </c>
      <c r="E87" s="3">
        <f t="shared" si="4"/>
        <v>4.3441152004838877</v>
      </c>
      <c r="F87" t="str">
        <f t="shared" si="5"/>
        <v>KHM</v>
      </c>
      <c r="G87" t="str">
        <f>+_xlfn.XLOOKUP(F87,Sheet1!C:C,Sheet1!B:B,"N/A",0)</f>
        <v>KH</v>
      </c>
      <c r="H87" t="str">
        <f>+_xlfn.XLOOKUP(F87,Sheet1!C:C,Sheet1!D:D,"N/A",0)</f>
        <v>116</v>
      </c>
    </row>
    <row r="88" spans="1:8" x14ac:dyDescent="0.25">
      <c r="A88" t="s">
        <v>126</v>
      </c>
      <c r="B88" t="s">
        <v>127</v>
      </c>
      <c r="C88" s="5">
        <v>1.9573390864017206E-3</v>
      </c>
      <c r="D88" s="3">
        <f t="shared" si="3"/>
        <v>2.0043152244753619</v>
      </c>
      <c r="E88" s="3">
        <f t="shared" si="4"/>
        <v>1.9686400000694422</v>
      </c>
      <c r="F88" t="str">
        <f t="shared" si="5"/>
        <v>CMR</v>
      </c>
      <c r="G88" t="str">
        <f>+_xlfn.XLOOKUP(F88,Sheet1!C:C,Sheet1!B:B,"N/A",0)</f>
        <v>CM</v>
      </c>
      <c r="H88" t="str">
        <f>+_xlfn.XLOOKUP(F88,Sheet1!C:C,Sheet1!D:D,"N/A",0)</f>
        <v>120</v>
      </c>
    </row>
    <row r="89" spans="1:8" x14ac:dyDescent="0.25">
      <c r="A89" t="s">
        <v>126</v>
      </c>
      <c r="B89" t="s">
        <v>128</v>
      </c>
      <c r="C89" s="5">
        <v>1.9225000000678146E-3</v>
      </c>
      <c r="D89" s="3">
        <f t="shared" si="3"/>
        <v>1.9686400000694422</v>
      </c>
      <c r="E89" s="3">
        <f t="shared" si="4"/>
        <v>1.9686400000694422</v>
      </c>
      <c r="F89" t="str">
        <f t="shared" si="5"/>
        <v>CMR</v>
      </c>
      <c r="G89" t="str">
        <f>+_xlfn.XLOOKUP(F89,Sheet1!C:C,Sheet1!B:B,"N/A",0)</f>
        <v>CM</v>
      </c>
      <c r="H89" t="str">
        <f>+_xlfn.XLOOKUP(F89,Sheet1!C:C,Sheet1!D:D,"N/A",0)</f>
        <v>120</v>
      </c>
    </row>
    <row r="90" spans="1:8" x14ac:dyDescent="0.25">
      <c r="A90" t="s">
        <v>129</v>
      </c>
      <c r="B90" t="s">
        <v>130</v>
      </c>
      <c r="C90" s="5">
        <v>1.9009644950126264E-3</v>
      </c>
      <c r="D90" s="3">
        <f t="shared" si="3"/>
        <v>1.9465876428929294</v>
      </c>
      <c r="E90" s="3">
        <f t="shared" si="4"/>
        <v>1.2476415970267023</v>
      </c>
      <c r="F90" t="str">
        <f t="shared" si="5"/>
        <v>CAN</v>
      </c>
      <c r="G90" t="str">
        <f>+_xlfn.XLOOKUP(F90,Sheet1!C:C,Sheet1!B:B,"N/A",0)</f>
        <v>CA</v>
      </c>
      <c r="H90" t="str">
        <f>+_xlfn.XLOOKUP(F90,Sheet1!C:C,Sheet1!D:D,"N/A",0)</f>
        <v>124</v>
      </c>
    </row>
    <row r="91" spans="1:8" x14ac:dyDescent="0.25">
      <c r="A91" t="s">
        <v>129</v>
      </c>
      <c r="B91" t="s">
        <v>131</v>
      </c>
      <c r="C91" s="5">
        <v>4.2422999989843004E-3</v>
      </c>
      <c r="D91" s="3">
        <f t="shared" si="3"/>
        <v>4.3441151989599236</v>
      </c>
      <c r="E91" s="3">
        <f t="shared" si="4"/>
        <v>1.2476415970267023</v>
      </c>
      <c r="F91" t="str">
        <f t="shared" si="5"/>
        <v>CAN</v>
      </c>
      <c r="G91" t="str">
        <f>+_xlfn.XLOOKUP(F91,Sheet1!C:C,Sheet1!B:B,"N/A",0)</f>
        <v>CA</v>
      </c>
      <c r="H91" t="str">
        <f>+_xlfn.XLOOKUP(F91,Sheet1!C:C,Sheet1!D:D,"N/A",0)</f>
        <v>124</v>
      </c>
    </row>
    <row r="92" spans="1:8" x14ac:dyDescent="0.25">
      <c r="A92" t="s">
        <v>129</v>
      </c>
      <c r="B92" t="s">
        <v>132</v>
      </c>
      <c r="C92" s="5">
        <v>2.1606375281234668E-3</v>
      </c>
      <c r="D92" s="3">
        <f t="shared" si="3"/>
        <v>2.21249282879843</v>
      </c>
      <c r="E92" s="3">
        <f t="shared" si="4"/>
        <v>1.2476415970267023</v>
      </c>
      <c r="F92" t="str">
        <f t="shared" si="5"/>
        <v>CAN</v>
      </c>
      <c r="G92" t="str">
        <f>+_xlfn.XLOOKUP(F92,Sheet1!C:C,Sheet1!B:B,"N/A",0)</f>
        <v>CA</v>
      </c>
      <c r="H92" t="str">
        <f>+_xlfn.XLOOKUP(F92,Sheet1!C:C,Sheet1!D:D,"N/A",0)</f>
        <v>124</v>
      </c>
    </row>
    <row r="93" spans="1:8" x14ac:dyDescent="0.25">
      <c r="A93" t="s">
        <v>129</v>
      </c>
      <c r="B93" t="s">
        <v>133</v>
      </c>
      <c r="C93" s="5">
        <v>1.218399997096389E-3</v>
      </c>
      <c r="D93" s="3">
        <f t="shared" si="3"/>
        <v>1.2476415970267023</v>
      </c>
      <c r="E93" s="3">
        <f t="shared" si="4"/>
        <v>1.2476415970267023</v>
      </c>
      <c r="F93" t="str">
        <f t="shared" si="5"/>
        <v>CAN</v>
      </c>
      <c r="G93" t="str">
        <f>+_xlfn.XLOOKUP(F93,Sheet1!C:C,Sheet1!B:B,"N/A",0)</f>
        <v>CA</v>
      </c>
      <c r="H93" t="str">
        <f>+_xlfn.XLOOKUP(F93,Sheet1!C:C,Sheet1!D:D,"N/A",0)</f>
        <v>124</v>
      </c>
    </row>
    <row r="94" spans="1:8" x14ac:dyDescent="0.25">
      <c r="A94" t="s">
        <v>129</v>
      </c>
      <c r="B94" t="s">
        <v>134</v>
      </c>
      <c r="C94" s="5">
        <v>1.924984583131001E-3</v>
      </c>
      <c r="D94" s="3">
        <f t="shared" si="3"/>
        <v>1.971184213126145</v>
      </c>
      <c r="E94" s="3">
        <f t="shared" si="4"/>
        <v>1.2476415970267023</v>
      </c>
      <c r="F94" t="str">
        <f t="shared" si="5"/>
        <v>CAN</v>
      </c>
      <c r="G94" t="str">
        <f>+_xlfn.XLOOKUP(F94,Sheet1!C:C,Sheet1!B:B,"N/A",0)</f>
        <v>CA</v>
      </c>
      <c r="H94" t="str">
        <f>+_xlfn.XLOOKUP(F94,Sheet1!C:C,Sheet1!D:D,"N/A",0)</f>
        <v>124</v>
      </c>
    </row>
    <row r="95" spans="1:8" x14ac:dyDescent="0.25">
      <c r="A95" t="s">
        <v>129</v>
      </c>
      <c r="B95" t="s">
        <v>135</v>
      </c>
      <c r="C95" s="5">
        <v>2.0362999995476856E-3</v>
      </c>
      <c r="D95" s="3">
        <f t="shared" si="3"/>
        <v>2.0851711995368301</v>
      </c>
      <c r="E95" s="3">
        <f t="shared" si="4"/>
        <v>1.2476415970267023</v>
      </c>
      <c r="F95" t="str">
        <f t="shared" si="5"/>
        <v>CAN</v>
      </c>
      <c r="G95" t="str">
        <f>+_xlfn.XLOOKUP(F95,Sheet1!C:C,Sheet1!B:B,"N/A",0)</f>
        <v>CA</v>
      </c>
      <c r="H95" t="str">
        <f>+_xlfn.XLOOKUP(F95,Sheet1!C:C,Sheet1!D:D,"N/A",0)</f>
        <v>124</v>
      </c>
    </row>
    <row r="96" spans="1:8" x14ac:dyDescent="0.25">
      <c r="A96" t="s">
        <v>136</v>
      </c>
      <c r="B96" t="s">
        <v>137</v>
      </c>
      <c r="C96" s="5">
        <v>6.6004748314063026E-3</v>
      </c>
      <c r="D96" s="3">
        <f t="shared" si="3"/>
        <v>6.7588862273600538</v>
      </c>
      <c r="E96" s="3">
        <f t="shared" si="4"/>
        <v>5.9564653145998072</v>
      </c>
      <c r="F96" t="str">
        <f t="shared" si="5"/>
        <v>CPV</v>
      </c>
      <c r="G96" t="str">
        <f>+_xlfn.XLOOKUP(F96,Sheet1!C:C,Sheet1!B:B,"N/A",0)</f>
        <v>CV</v>
      </c>
      <c r="H96" t="str">
        <f>+_xlfn.XLOOKUP(F96,Sheet1!C:C,Sheet1!D:D,"N/A",0)</f>
        <v>132</v>
      </c>
    </row>
    <row r="97" spans="1:8" x14ac:dyDescent="0.25">
      <c r="A97" t="s">
        <v>136</v>
      </c>
      <c r="B97" t="s">
        <v>138</v>
      </c>
      <c r="C97" s="5">
        <v>5.8168606587888742E-3</v>
      </c>
      <c r="D97" s="3">
        <f t="shared" si="3"/>
        <v>5.9564653145998072</v>
      </c>
      <c r="E97" s="3">
        <f t="shared" si="4"/>
        <v>5.9564653145998072</v>
      </c>
      <c r="F97" t="str">
        <f t="shared" si="5"/>
        <v>CPV</v>
      </c>
      <c r="G97" t="str">
        <f>+_xlfn.XLOOKUP(F97,Sheet1!C:C,Sheet1!B:B,"N/A",0)</f>
        <v>CV</v>
      </c>
      <c r="H97" t="str">
        <f>+_xlfn.XLOOKUP(F97,Sheet1!C:C,Sheet1!D:D,"N/A",0)</f>
        <v>132</v>
      </c>
    </row>
    <row r="98" spans="1:8" x14ac:dyDescent="0.25">
      <c r="A98" t="s">
        <v>139</v>
      </c>
      <c r="B98" t="s">
        <v>140</v>
      </c>
      <c r="C98" s="5">
        <v>2.5453999929121503E-3</v>
      </c>
      <c r="D98" s="3">
        <f t="shared" si="3"/>
        <v>2.6064895927420419</v>
      </c>
      <c r="E98" s="3">
        <f t="shared" si="4"/>
        <v>2.6064895927420419</v>
      </c>
      <c r="F98" t="str">
        <f t="shared" si="5"/>
        <v>CYM</v>
      </c>
      <c r="G98" t="str">
        <f>+_xlfn.XLOOKUP(F98,Sheet1!C:C,Sheet1!B:B,"N/A",0)</f>
        <v>KY</v>
      </c>
      <c r="H98" t="str">
        <f>+_xlfn.XLOOKUP(F98,Sheet1!C:C,Sheet1!D:D,"N/A",0)</f>
        <v>136</v>
      </c>
    </row>
    <row r="99" spans="1:8" x14ac:dyDescent="0.25">
      <c r="A99" t="s">
        <v>141</v>
      </c>
      <c r="B99" t="s">
        <v>142</v>
      </c>
      <c r="C99" s="5"/>
      <c r="D99" s="3">
        <f t="shared" si="3"/>
        <v>0</v>
      </c>
      <c r="E99" s="3">
        <f t="shared" si="4"/>
        <v>1.9686400037219351</v>
      </c>
      <c r="F99" t="str">
        <f t="shared" si="5"/>
        <v>CAF</v>
      </c>
      <c r="G99" t="str">
        <f>+_xlfn.XLOOKUP(F99,Sheet1!C:C,Sheet1!B:B,"N/A",0)</f>
        <v>CF</v>
      </c>
      <c r="H99" t="str">
        <f>+_xlfn.XLOOKUP(F99,Sheet1!C:C,Sheet1!D:D,"N/A",0)</f>
        <v>140</v>
      </c>
    </row>
    <row r="100" spans="1:8" x14ac:dyDescent="0.25">
      <c r="A100" t="s">
        <v>141</v>
      </c>
      <c r="B100" t="s">
        <v>143</v>
      </c>
      <c r="C100" s="5">
        <v>8.0000000000000002E-3</v>
      </c>
      <c r="D100" s="3">
        <f t="shared" si="3"/>
        <v>8.1920000000000002</v>
      </c>
      <c r="E100" s="3">
        <f t="shared" si="4"/>
        <v>1.9686400037219351</v>
      </c>
      <c r="F100" t="str">
        <f t="shared" si="5"/>
        <v>CAF</v>
      </c>
      <c r="G100" t="str">
        <f>+_xlfn.XLOOKUP(F100,Sheet1!C:C,Sheet1!B:B,"N/A",0)</f>
        <v>CF</v>
      </c>
      <c r="H100" t="str">
        <f>+_xlfn.XLOOKUP(F100,Sheet1!C:C,Sheet1!D:D,"N/A",0)</f>
        <v>140</v>
      </c>
    </row>
    <row r="101" spans="1:8" x14ac:dyDescent="0.25">
      <c r="A101" t="s">
        <v>141</v>
      </c>
      <c r="B101" t="s">
        <v>144</v>
      </c>
      <c r="C101" s="5">
        <v>1.9225000036347023E-3</v>
      </c>
      <c r="D101" s="3">
        <f t="shared" si="3"/>
        <v>1.9686400037219351</v>
      </c>
      <c r="E101" s="3">
        <f t="shared" si="4"/>
        <v>1.9686400037219351</v>
      </c>
      <c r="F101" t="str">
        <f t="shared" si="5"/>
        <v>CAF</v>
      </c>
      <c r="G101" t="str">
        <f>+_xlfn.XLOOKUP(F101,Sheet1!C:C,Sheet1!B:B,"N/A",0)</f>
        <v>CF</v>
      </c>
      <c r="H101" t="str">
        <f>+_xlfn.XLOOKUP(F101,Sheet1!C:C,Sheet1!D:D,"N/A",0)</f>
        <v>140</v>
      </c>
    </row>
    <row r="102" spans="1:8" x14ac:dyDescent="0.25">
      <c r="A102" t="s">
        <v>145</v>
      </c>
      <c r="B102" t="s">
        <v>146</v>
      </c>
      <c r="C102" s="5">
        <v>1.9514999857774607E-3</v>
      </c>
      <c r="D102" s="3">
        <f t="shared" si="3"/>
        <v>1.9983359854361198</v>
      </c>
      <c r="E102" s="3">
        <f t="shared" si="4"/>
        <v>1.9983359854361198</v>
      </c>
      <c r="F102" t="str">
        <f t="shared" si="5"/>
        <v>TCD</v>
      </c>
      <c r="G102" t="str">
        <f>+_xlfn.XLOOKUP(F102,Sheet1!C:C,Sheet1!B:B,"N/A",0)</f>
        <v>TD</v>
      </c>
      <c r="H102" t="str">
        <f>+_xlfn.XLOOKUP(F102,Sheet1!C:C,Sheet1!D:D,"N/A",0)</f>
        <v>148</v>
      </c>
    </row>
    <row r="103" spans="1:8" x14ac:dyDescent="0.25">
      <c r="A103" t="s">
        <v>145</v>
      </c>
      <c r="B103" t="s">
        <v>147</v>
      </c>
      <c r="C103" s="5">
        <v>8.0000000000000002E-3</v>
      </c>
      <c r="D103" s="3">
        <f t="shared" si="3"/>
        <v>8.1920000000000002</v>
      </c>
      <c r="E103" s="3">
        <f t="shared" si="4"/>
        <v>1.9983359854361198</v>
      </c>
      <c r="F103" t="str">
        <f t="shared" si="5"/>
        <v>TCD</v>
      </c>
      <c r="G103" t="str">
        <f>+_xlfn.XLOOKUP(F103,Sheet1!C:C,Sheet1!B:B,"N/A",0)</f>
        <v>TD</v>
      </c>
      <c r="H103" t="str">
        <f>+_xlfn.XLOOKUP(F103,Sheet1!C:C,Sheet1!D:D,"N/A",0)</f>
        <v>148</v>
      </c>
    </row>
    <row r="104" spans="1:8" x14ac:dyDescent="0.25">
      <c r="A104" t="s">
        <v>148</v>
      </c>
      <c r="B104" t="s">
        <v>149</v>
      </c>
      <c r="C104" s="5">
        <v>1.017036574794793E-3</v>
      </c>
      <c r="D104" s="3">
        <f t="shared" si="3"/>
        <v>1.041445452589868</v>
      </c>
      <c r="E104" s="3">
        <f t="shared" si="4"/>
        <v>0.61480160664504679</v>
      </c>
      <c r="F104" t="str">
        <f t="shared" si="5"/>
        <v>GBR</v>
      </c>
      <c r="G104" t="str">
        <f>+_xlfn.XLOOKUP(F104,Sheet1!C:C,Sheet1!B:B,"N/A",0)</f>
        <v>GB</v>
      </c>
      <c r="H104" t="str">
        <f>+_xlfn.XLOOKUP(F104,Sheet1!C:C,Sheet1!D:D,"N/A",0)</f>
        <v>826</v>
      </c>
    </row>
    <row r="105" spans="1:8" x14ac:dyDescent="0.25">
      <c r="A105" t="s">
        <v>148</v>
      </c>
      <c r="B105" t="s">
        <v>150</v>
      </c>
      <c r="C105" s="5">
        <v>6.0039219398930351E-4</v>
      </c>
      <c r="D105" s="3">
        <f t="shared" si="3"/>
        <v>0.61480160664504679</v>
      </c>
      <c r="E105" s="3">
        <f t="shared" si="4"/>
        <v>0.61480160664504679</v>
      </c>
      <c r="F105" t="str">
        <f t="shared" si="5"/>
        <v>GBR</v>
      </c>
      <c r="G105" t="str">
        <f>+_xlfn.XLOOKUP(F105,Sheet1!C:C,Sheet1!B:B,"N/A",0)</f>
        <v>GB</v>
      </c>
      <c r="H105" t="str">
        <f>+_xlfn.XLOOKUP(F105,Sheet1!C:C,Sheet1!D:D,"N/A",0)</f>
        <v>826</v>
      </c>
    </row>
    <row r="106" spans="1:8" x14ac:dyDescent="0.25">
      <c r="A106" t="s">
        <v>148</v>
      </c>
      <c r="B106" t="s">
        <v>151</v>
      </c>
      <c r="C106" s="5">
        <v>7.1205158069181246E-4</v>
      </c>
      <c r="D106" s="3">
        <f t="shared" si="3"/>
        <v>0.72914081862841595</v>
      </c>
      <c r="E106" s="3">
        <f t="shared" si="4"/>
        <v>0.61480160664504679</v>
      </c>
      <c r="F106" t="str">
        <f t="shared" si="5"/>
        <v>GBR</v>
      </c>
      <c r="G106" t="str">
        <f>+_xlfn.XLOOKUP(F106,Sheet1!C:C,Sheet1!B:B,"N/A",0)</f>
        <v>GB</v>
      </c>
      <c r="H106" t="str">
        <f>+_xlfn.XLOOKUP(F106,Sheet1!C:C,Sheet1!D:D,"N/A",0)</f>
        <v>826</v>
      </c>
    </row>
    <row r="107" spans="1:8" x14ac:dyDescent="0.25">
      <c r="A107" t="s">
        <v>148</v>
      </c>
      <c r="B107" t="s">
        <v>152</v>
      </c>
      <c r="C107" s="5">
        <v>1.0060198501039713E-3</v>
      </c>
      <c r="D107" s="3">
        <f t="shared" si="3"/>
        <v>1.0301643265064666</v>
      </c>
      <c r="E107" s="3">
        <f t="shared" si="4"/>
        <v>0.61480160664504679</v>
      </c>
      <c r="F107" t="str">
        <f t="shared" si="5"/>
        <v>GBR</v>
      </c>
      <c r="G107" t="str">
        <f>+_xlfn.XLOOKUP(F107,Sheet1!C:C,Sheet1!B:B,"N/A",0)</f>
        <v>GB</v>
      </c>
      <c r="H107" t="str">
        <f>+_xlfn.XLOOKUP(F107,Sheet1!C:C,Sheet1!D:D,"N/A",0)</f>
        <v>826</v>
      </c>
    </row>
    <row r="108" spans="1:8" x14ac:dyDescent="0.25">
      <c r="A108" t="s">
        <v>153</v>
      </c>
      <c r="B108" t="s">
        <v>154</v>
      </c>
      <c r="C108" s="5">
        <v>9.7015687094680709E-4</v>
      </c>
      <c r="D108" s="3">
        <f t="shared" si="3"/>
        <v>0.99344063584953046</v>
      </c>
      <c r="E108" s="3">
        <f t="shared" si="4"/>
        <v>0.99344063584953046</v>
      </c>
      <c r="F108" t="str">
        <f t="shared" si="5"/>
        <v>CHL</v>
      </c>
      <c r="G108" t="str">
        <f>+_xlfn.XLOOKUP(F108,Sheet1!C:C,Sheet1!B:B,"N/A",0)</f>
        <v>CL</v>
      </c>
      <c r="H108" t="str">
        <f>+_xlfn.XLOOKUP(F108,Sheet1!C:C,Sheet1!D:D,"N/A",0)</f>
        <v>152</v>
      </c>
    </row>
    <row r="109" spans="1:8" x14ac:dyDescent="0.25">
      <c r="A109" t="s">
        <v>153</v>
      </c>
      <c r="B109" t="s">
        <v>155</v>
      </c>
      <c r="C109" s="5">
        <v>1.6969000000000003E-3</v>
      </c>
      <c r="D109" s="3">
        <f t="shared" si="3"/>
        <v>1.7376256000000003</v>
      </c>
      <c r="E109" s="3">
        <f t="shared" si="4"/>
        <v>0.99344063584953046</v>
      </c>
      <c r="F109" t="str">
        <f t="shared" si="5"/>
        <v>CHL</v>
      </c>
      <c r="G109" t="str">
        <f>+_xlfn.XLOOKUP(F109,Sheet1!C:C,Sheet1!B:B,"N/A",0)</f>
        <v>CL</v>
      </c>
      <c r="H109" t="str">
        <f>+_xlfn.XLOOKUP(F109,Sheet1!C:C,Sheet1!D:D,"N/A",0)</f>
        <v>152</v>
      </c>
    </row>
    <row r="110" spans="1:8" x14ac:dyDescent="0.25">
      <c r="A110" t="s">
        <v>153</v>
      </c>
      <c r="B110" t="s">
        <v>156</v>
      </c>
      <c r="C110" s="5">
        <v>1.0367280211194423E-3</v>
      </c>
      <c r="D110" s="3">
        <f t="shared" si="3"/>
        <v>1.061609493626309</v>
      </c>
      <c r="E110" s="3">
        <f t="shared" si="4"/>
        <v>0.99344063584953046</v>
      </c>
      <c r="F110" t="str">
        <f t="shared" si="5"/>
        <v>CHL</v>
      </c>
      <c r="G110" t="str">
        <f>+_xlfn.XLOOKUP(F110,Sheet1!C:C,Sheet1!B:B,"N/A",0)</f>
        <v>CL</v>
      </c>
      <c r="H110" t="str">
        <f>+_xlfn.XLOOKUP(F110,Sheet1!C:C,Sheet1!D:D,"N/A",0)</f>
        <v>152</v>
      </c>
    </row>
    <row r="111" spans="1:8" x14ac:dyDescent="0.25">
      <c r="A111" t="s">
        <v>153</v>
      </c>
      <c r="B111" t="s">
        <v>157</v>
      </c>
      <c r="C111" s="5">
        <v>5.0000000116493856E-3</v>
      </c>
      <c r="D111" s="3">
        <f t="shared" si="3"/>
        <v>5.1200000119289708</v>
      </c>
      <c r="E111" s="3">
        <f t="shared" si="4"/>
        <v>0.99344063584953046</v>
      </c>
      <c r="F111" t="str">
        <f t="shared" si="5"/>
        <v>CHL</v>
      </c>
      <c r="G111" t="str">
        <f>+_xlfn.XLOOKUP(F111,Sheet1!C:C,Sheet1!B:B,"N/A",0)</f>
        <v>CL</v>
      </c>
      <c r="H111" t="str">
        <f>+_xlfn.XLOOKUP(F111,Sheet1!C:C,Sheet1!D:D,"N/A",0)</f>
        <v>152</v>
      </c>
    </row>
    <row r="112" spans="1:8" x14ac:dyDescent="0.25">
      <c r="A112" t="s">
        <v>158</v>
      </c>
      <c r="B112" t="s">
        <v>159</v>
      </c>
      <c r="C112" s="5">
        <v>2.6447234943478941E-3</v>
      </c>
      <c r="D112" s="3">
        <f t="shared" si="3"/>
        <v>2.7081968582122435</v>
      </c>
      <c r="E112" s="3">
        <f t="shared" si="4"/>
        <v>1.166538933289194</v>
      </c>
      <c r="F112" t="str">
        <f t="shared" si="5"/>
        <v>CHN</v>
      </c>
      <c r="G112" t="str">
        <f>+_xlfn.XLOOKUP(F112,Sheet1!C:C,Sheet1!B:B,"N/A",0)</f>
        <v>CN</v>
      </c>
      <c r="H112" t="str">
        <f>+_xlfn.XLOOKUP(F112,Sheet1!C:C,Sheet1!D:D,"N/A",0)</f>
        <v>156</v>
      </c>
    </row>
    <row r="113" spans="1:8" x14ac:dyDescent="0.25">
      <c r="A113" t="s">
        <v>158</v>
      </c>
      <c r="B113" t="s">
        <v>160</v>
      </c>
      <c r="C113" s="5">
        <v>2E-3</v>
      </c>
      <c r="D113" s="3">
        <f t="shared" si="3"/>
        <v>2.048</v>
      </c>
      <c r="E113" s="3">
        <f t="shared" si="4"/>
        <v>1.166538933289194</v>
      </c>
      <c r="F113" t="str">
        <f t="shared" si="5"/>
        <v>CHN</v>
      </c>
      <c r="G113" t="str">
        <f>+_xlfn.XLOOKUP(F113,Sheet1!C:C,Sheet1!B:B,"N/A",0)</f>
        <v>CN</v>
      </c>
      <c r="H113" t="str">
        <f>+_xlfn.XLOOKUP(F113,Sheet1!C:C,Sheet1!D:D,"N/A",0)</f>
        <v>156</v>
      </c>
    </row>
    <row r="114" spans="1:8" x14ac:dyDescent="0.25">
      <c r="A114" t="s">
        <v>158</v>
      </c>
      <c r="B114" t="s">
        <v>161</v>
      </c>
      <c r="C114" s="5">
        <v>1.1391981770402285E-3</v>
      </c>
      <c r="D114" s="3">
        <f t="shared" si="3"/>
        <v>1.166538933289194</v>
      </c>
      <c r="E114" s="3">
        <f t="shared" si="4"/>
        <v>1.166538933289194</v>
      </c>
      <c r="F114" t="str">
        <f t="shared" si="5"/>
        <v>CHN</v>
      </c>
      <c r="G114" t="str">
        <f>+_xlfn.XLOOKUP(F114,Sheet1!C:C,Sheet1!B:B,"N/A",0)</f>
        <v>CN</v>
      </c>
      <c r="H114" t="str">
        <f>+_xlfn.XLOOKUP(F114,Sheet1!C:C,Sheet1!D:D,"N/A",0)</f>
        <v>156</v>
      </c>
    </row>
    <row r="115" spans="1:8" x14ac:dyDescent="0.25">
      <c r="A115" t="s">
        <v>162</v>
      </c>
      <c r="B115" t="s">
        <v>163</v>
      </c>
      <c r="C115" s="5">
        <v>2.2423827210253525E-3</v>
      </c>
      <c r="D115" s="3">
        <f t="shared" si="3"/>
        <v>2.296199906329961</v>
      </c>
      <c r="E115" s="3">
        <f t="shared" si="4"/>
        <v>1.0539980755039207</v>
      </c>
      <c r="F115" t="str">
        <f t="shared" si="5"/>
        <v>COL</v>
      </c>
      <c r="G115" t="str">
        <f>+_xlfn.XLOOKUP(F115,Sheet1!C:C,Sheet1!B:B,"N/A",0)</f>
        <v>CO</v>
      </c>
      <c r="H115" t="str">
        <f>+_xlfn.XLOOKUP(F115,Sheet1!C:C,Sheet1!D:D,"N/A",0)</f>
        <v>170</v>
      </c>
    </row>
    <row r="116" spans="1:8" x14ac:dyDescent="0.25">
      <c r="A116" t="s">
        <v>162</v>
      </c>
      <c r="B116" t="s">
        <v>164</v>
      </c>
      <c r="C116" s="5">
        <v>1.0292949956092975E-3</v>
      </c>
      <c r="D116" s="3">
        <f t="shared" si="3"/>
        <v>1.0539980755039207</v>
      </c>
      <c r="E116" s="3">
        <f t="shared" si="4"/>
        <v>1.0539980755039207</v>
      </c>
      <c r="F116" t="str">
        <f t="shared" si="5"/>
        <v>COL</v>
      </c>
      <c r="G116" t="str">
        <f>+_xlfn.XLOOKUP(F116,Sheet1!C:C,Sheet1!B:B,"N/A",0)</f>
        <v>CO</v>
      </c>
      <c r="H116" t="str">
        <f>+_xlfn.XLOOKUP(F116,Sheet1!C:C,Sheet1!D:D,"N/A",0)</f>
        <v>170</v>
      </c>
    </row>
    <row r="117" spans="1:8" x14ac:dyDescent="0.25">
      <c r="A117" t="s">
        <v>162</v>
      </c>
      <c r="B117" t="s">
        <v>165</v>
      </c>
      <c r="C117" s="5">
        <v>1.8226999999882781E-3</v>
      </c>
      <c r="D117" s="3">
        <f t="shared" si="3"/>
        <v>1.8664447999879967</v>
      </c>
      <c r="E117" s="3">
        <f t="shared" si="4"/>
        <v>1.0539980755039207</v>
      </c>
      <c r="F117" t="str">
        <f t="shared" si="5"/>
        <v>COL</v>
      </c>
      <c r="G117" t="str">
        <f>+_xlfn.XLOOKUP(F117,Sheet1!C:C,Sheet1!B:B,"N/A",0)</f>
        <v>CO</v>
      </c>
      <c r="H117" t="str">
        <f>+_xlfn.XLOOKUP(F117,Sheet1!C:C,Sheet1!D:D,"N/A",0)</f>
        <v>170</v>
      </c>
    </row>
    <row r="118" spans="1:8" x14ac:dyDescent="0.25">
      <c r="A118" t="s">
        <v>166</v>
      </c>
      <c r="B118" t="s">
        <v>167</v>
      </c>
      <c r="C118" s="5"/>
      <c r="D118" s="3">
        <f t="shared" si="3"/>
        <v>0</v>
      </c>
      <c r="E118" s="3">
        <f t="shared" si="4"/>
        <v>2.0481535999999996</v>
      </c>
      <c r="F118" t="str">
        <f t="shared" si="5"/>
        <v>COM</v>
      </c>
      <c r="G118" t="str">
        <f>+_xlfn.XLOOKUP(F118,Sheet1!C:C,Sheet1!B:B,"N/A",0)</f>
        <v>KM</v>
      </c>
      <c r="H118" t="str">
        <f>+_xlfn.XLOOKUP(F118,Sheet1!C:C,Sheet1!D:D,"N/A",0)</f>
        <v>174</v>
      </c>
    </row>
    <row r="119" spans="1:8" x14ac:dyDescent="0.25">
      <c r="A119" t="s">
        <v>166</v>
      </c>
      <c r="B119" t="s">
        <v>168</v>
      </c>
      <c r="C119" s="5">
        <v>2.0001499999999996E-3</v>
      </c>
      <c r="D119" s="3">
        <f t="shared" si="3"/>
        <v>2.0481535999999996</v>
      </c>
      <c r="E119" s="3">
        <f t="shared" si="4"/>
        <v>2.0481535999999996</v>
      </c>
      <c r="F119" t="str">
        <f t="shared" si="5"/>
        <v>COM</v>
      </c>
      <c r="G119" t="str">
        <f>+_xlfn.XLOOKUP(F119,Sheet1!C:C,Sheet1!B:B,"N/A",0)</f>
        <v>KM</v>
      </c>
      <c r="H119" t="str">
        <f>+_xlfn.XLOOKUP(F119,Sheet1!C:C,Sheet1!D:D,"N/A",0)</f>
        <v>174</v>
      </c>
    </row>
    <row r="120" spans="1:8" x14ac:dyDescent="0.25">
      <c r="A120" t="s">
        <v>169</v>
      </c>
      <c r="B120" t="s">
        <v>170</v>
      </c>
      <c r="C120" s="5">
        <v>1.9514999999999999E-3</v>
      </c>
      <c r="D120" s="3">
        <f t="shared" si="3"/>
        <v>1.9983359999999999</v>
      </c>
      <c r="E120" s="3">
        <f t="shared" si="4"/>
        <v>1.9983359999999999</v>
      </c>
      <c r="F120" t="str">
        <f t="shared" si="5"/>
        <v>COG</v>
      </c>
      <c r="G120" t="str">
        <f>+_xlfn.XLOOKUP(F120,Sheet1!C:C,Sheet1!B:B,"N/A",0)</f>
        <v>CG</v>
      </c>
      <c r="H120" t="str">
        <f>+_xlfn.XLOOKUP(F120,Sheet1!C:C,Sheet1!D:D,"N/A",0)</f>
        <v>178</v>
      </c>
    </row>
    <row r="121" spans="1:8" x14ac:dyDescent="0.25">
      <c r="A121" t="s">
        <v>169</v>
      </c>
      <c r="B121" t="s">
        <v>171</v>
      </c>
      <c r="C121" s="5">
        <v>1.9523258238767307E-3</v>
      </c>
      <c r="D121" s="3">
        <f t="shared" si="3"/>
        <v>1.9991816436497722</v>
      </c>
      <c r="E121" s="3">
        <f t="shared" si="4"/>
        <v>1.9983359999999999</v>
      </c>
      <c r="F121" t="str">
        <f t="shared" si="5"/>
        <v>COG</v>
      </c>
      <c r="G121" t="str">
        <f>+_xlfn.XLOOKUP(F121,Sheet1!C:C,Sheet1!B:B,"N/A",0)</f>
        <v>CG</v>
      </c>
      <c r="H121" t="str">
        <f>+_xlfn.XLOOKUP(F121,Sheet1!C:C,Sheet1!D:D,"N/A",0)</f>
        <v>178</v>
      </c>
    </row>
    <row r="122" spans="1:8" x14ac:dyDescent="0.25">
      <c r="A122" t="s">
        <v>172</v>
      </c>
      <c r="B122" t="s">
        <v>173</v>
      </c>
      <c r="C122" s="5">
        <v>1.6969000024751747E-3</v>
      </c>
      <c r="D122" s="3">
        <f t="shared" si="3"/>
        <v>1.7376256025345789</v>
      </c>
      <c r="E122" s="3">
        <f t="shared" si="4"/>
        <v>1.7376256025345789</v>
      </c>
      <c r="F122" t="str">
        <f t="shared" si="5"/>
        <v>COD</v>
      </c>
      <c r="G122" t="str">
        <f>+_xlfn.XLOOKUP(F122,Sheet1!C:C,Sheet1!B:B,"N/A",0)</f>
        <v>CD</v>
      </c>
      <c r="H122" t="str">
        <f>+_xlfn.XLOOKUP(F122,Sheet1!C:C,Sheet1!D:D,"N/A",0)</f>
        <v>180</v>
      </c>
    </row>
    <row r="123" spans="1:8" x14ac:dyDescent="0.25">
      <c r="A123" t="s">
        <v>172</v>
      </c>
      <c r="B123" t="s">
        <v>174</v>
      </c>
      <c r="C123" s="5">
        <v>1.9514999992538708E-3</v>
      </c>
      <c r="D123" s="3">
        <f t="shared" si="3"/>
        <v>1.9983359992359637</v>
      </c>
      <c r="E123" s="3">
        <f t="shared" si="4"/>
        <v>1.7376256025345789</v>
      </c>
      <c r="F123" t="str">
        <f t="shared" si="5"/>
        <v>COD</v>
      </c>
      <c r="G123" t="str">
        <f>+_xlfn.XLOOKUP(F123,Sheet1!C:C,Sheet1!B:B,"N/A",0)</f>
        <v>CD</v>
      </c>
      <c r="H123" t="str">
        <f>+_xlfn.XLOOKUP(F123,Sheet1!C:C,Sheet1!D:D,"N/A",0)</f>
        <v>180</v>
      </c>
    </row>
    <row r="124" spans="1:8" x14ac:dyDescent="0.25">
      <c r="A124" t="s">
        <v>172</v>
      </c>
      <c r="B124" t="s">
        <v>175</v>
      </c>
      <c r="C124" s="5">
        <v>1.9224999964737137E-3</v>
      </c>
      <c r="D124" s="3">
        <f t="shared" si="3"/>
        <v>1.9686399963890828</v>
      </c>
      <c r="E124" s="3">
        <f t="shared" si="4"/>
        <v>1.7376256025345789</v>
      </c>
      <c r="F124" t="str">
        <f t="shared" si="5"/>
        <v>COD</v>
      </c>
      <c r="G124" t="str">
        <f>+_xlfn.XLOOKUP(F124,Sheet1!C:C,Sheet1!B:B,"N/A",0)</f>
        <v>CD</v>
      </c>
      <c r="H124" t="str">
        <f>+_xlfn.XLOOKUP(F124,Sheet1!C:C,Sheet1!D:D,"N/A",0)</f>
        <v>180</v>
      </c>
    </row>
    <row r="125" spans="1:8" x14ac:dyDescent="0.25">
      <c r="A125" t="s">
        <v>172</v>
      </c>
      <c r="B125" t="s">
        <v>176</v>
      </c>
      <c r="C125" s="5">
        <v>6.4840087977574193E-2</v>
      </c>
      <c r="D125" s="3">
        <f t="shared" si="3"/>
        <v>66.396250089035973</v>
      </c>
      <c r="E125" s="3">
        <f t="shared" si="4"/>
        <v>1.7376256025345789</v>
      </c>
      <c r="F125" t="str">
        <f t="shared" si="5"/>
        <v>COD</v>
      </c>
      <c r="G125" t="str">
        <f>+_xlfn.XLOOKUP(F125,Sheet1!C:C,Sheet1!B:B,"N/A",0)</f>
        <v>CD</v>
      </c>
      <c r="H125" t="str">
        <f>+_xlfn.XLOOKUP(F125,Sheet1!C:C,Sheet1!D:D,"N/A",0)</f>
        <v>180</v>
      </c>
    </row>
    <row r="126" spans="1:8" x14ac:dyDescent="0.25">
      <c r="A126" t="s">
        <v>177</v>
      </c>
      <c r="B126" t="s">
        <v>178</v>
      </c>
      <c r="C126" s="5">
        <v>3.6237631325784974</v>
      </c>
      <c r="D126" s="3">
        <f t="shared" si="3"/>
        <v>3710.7334477603813</v>
      </c>
      <c r="E126" s="3">
        <f t="shared" si="4"/>
        <v>3710.7334477603813</v>
      </c>
      <c r="F126" t="str">
        <f t="shared" si="5"/>
        <v>COK</v>
      </c>
      <c r="G126" t="str">
        <f>+_xlfn.XLOOKUP(F126,Sheet1!C:C,Sheet1!B:B,"N/A",0)</f>
        <v>CK</v>
      </c>
      <c r="H126" t="str">
        <f>+_xlfn.XLOOKUP(F126,Sheet1!C:C,Sheet1!D:D,"N/A",0)</f>
        <v>184</v>
      </c>
    </row>
    <row r="127" spans="1:8" x14ac:dyDescent="0.25">
      <c r="A127" t="s">
        <v>179</v>
      </c>
      <c r="B127" t="s">
        <v>180</v>
      </c>
      <c r="C127" s="5">
        <v>2.0760704087448385E-3</v>
      </c>
      <c r="D127" s="3">
        <f t="shared" si="3"/>
        <v>2.1258960985547146</v>
      </c>
      <c r="E127" s="3">
        <f t="shared" si="4"/>
        <v>0.86886399983329754</v>
      </c>
      <c r="F127" t="str">
        <f t="shared" si="5"/>
        <v>CRI</v>
      </c>
      <c r="G127" t="str">
        <f>+_xlfn.XLOOKUP(F127,Sheet1!C:C,Sheet1!B:B,"N/A",0)</f>
        <v>CR</v>
      </c>
      <c r="H127" t="str">
        <f>+_xlfn.XLOOKUP(F127,Sheet1!C:C,Sheet1!D:D,"N/A",0)</f>
        <v>188</v>
      </c>
    </row>
    <row r="128" spans="1:8" x14ac:dyDescent="0.25">
      <c r="A128" t="s">
        <v>179</v>
      </c>
      <c r="B128" t="s">
        <v>181</v>
      </c>
      <c r="C128" s="5">
        <v>8.4849999983720463E-4</v>
      </c>
      <c r="D128" s="3">
        <f t="shared" si="3"/>
        <v>0.86886399983329754</v>
      </c>
      <c r="E128" s="3">
        <f t="shared" si="4"/>
        <v>0.86886399983329754</v>
      </c>
      <c r="F128" t="str">
        <f t="shared" si="5"/>
        <v>CRI</v>
      </c>
      <c r="G128" t="str">
        <f>+_xlfn.XLOOKUP(F128,Sheet1!C:C,Sheet1!B:B,"N/A",0)</f>
        <v>CR</v>
      </c>
      <c r="H128" t="str">
        <f>+_xlfn.XLOOKUP(F128,Sheet1!C:C,Sheet1!D:D,"N/A",0)</f>
        <v>188</v>
      </c>
    </row>
    <row r="129" spans="1:8" x14ac:dyDescent="0.25">
      <c r="A129" t="s">
        <v>179</v>
      </c>
      <c r="B129" t="s">
        <v>182</v>
      </c>
      <c r="C129" s="5">
        <v>1.0292000003860439E-3</v>
      </c>
      <c r="D129" s="3">
        <f t="shared" si="3"/>
        <v>1.053900800395309</v>
      </c>
      <c r="E129" s="3">
        <f t="shared" si="4"/>
        <v>0.86886399983329754</v>
      </c>
      <c r="F129" t="str">
        <f t="shared" si="5"/>
        <v>CRI</v>
      </c>
      <c r="G129" t="str">
        <f>+_xlfn.XLOOKUP(F129,Sheet1!C:C,Sheet1!B:B,"N/A",0)</f>
        <v>CR</v>
      </c>
      <c r="H129" t="str">
        <f>+_xlfn.XLOOKUP(F129,Sheet1!C:C,Sheet1!D:D,"N/A",0)</f>
        <v>188</v>
      </c>
    </row>
    <row r="130" spans="1:8" x14ac:dyDescent="0.25">
      <c r="A130" t="s">
        <v>183</v>
      </c>
      <c r="B130" t="s">
        <v>184</v>
      </c>
      <c r="C130" s="5">
        <v>1.5E-3</v>
      </c>
      <c r="D130" s="3">
        <f t="shared" si="3"/>
        <v>1.536</v>
      </c>
      <c r="E130" s="3">
        <f t="shared" si="4"/>
        <v>0.58796665321569219</v>
      </c>
      <c r="F130" t="str">
        <f t="shared" si="5"/>
        <v>HRV</v>
      </c>
      <c r="G130" t="str">
        <f>+_xlfn.XLOOKUP(F130,Sheet1!C:C,Sheet1!B:B,"N/A",0)</f>
        <v>HR</v>
      </c>
      <c r="H130" t="str">
        <f>+_xlfn.XLOOKUP(F130,Sheet1!C:C,Sheet1!D:D,"N/A",0)</f>
        <v>191</v>
      </c>
    </row>
    <row r="131" spans="1:8" x14ac:dyDescent="0.25">
      <c r="A131" t="s">
        <v>183</v>
      </c>
      <c r="B131" t="s">
        <v>185</v>
      </c>
      <c r="C131" s="5">
        <v>5.7418618478094941E-4</v>
      </c>
      <c r="D131" s="3">
        <f t="shared" ref="D131:D194" si="6">C131*1024</f>
        <v>0.58796665321569219</v>
      </c>
      <c r="E131" s="3">
        <f t="shared" ref="E131:E194" si="7">_xlfn.MINIFS(D:D,A:A,A131,D:D,"&lt;&gt;0")</f>
        <v>0.58796665321569219</v>
      </c>
      <c r="F131" t="str">
        <f t="shared" ref="F131:F194" si="8">_xlfn.TEXTBEFORE(_xlfn.TEXTAFTER(B131,"("),")")</f>
        <v>HRV</v>
      </c>
      <c r="G131" t="str">
        <f>+_xlfn.XLOOKUP(F131,Sheet1!C:C,Sheet1!B:B,"N/A",0)</f>
        <v>HR</v>
      </c>
      <c r="H131" t="str">
        <f>+_xlfn.XLOOKUP(F131,Sheet1!C:C,Sheet1!D:D,"N/A",0)</f>
        <v>191</v>
      </c>
    </row>
    <row r="132" spans="1:8" x14ac:dyDescent="0.25">
      <c r="A132" t="s">
        <v>183</v>
      </c>
      <c r="B132" t="s">
        <v>186</v>
      </c>
      <c r="C132" s="5">
        <v>7.3779999999999994E-4</v>
      </c>
      <c r="D132" s="3">
        <f t="shared" si="6"/>
        <v>0.75550719999999993</v>
      </c>
      <c r="E132" s="3">
        <f t="shared" si="7"/>
        <v>0.58796665321569219</v>
      </c>
      <c r="F132" t="str">
        <f t="shared" si="8"/>
        <v>HRV</v>
      </c>
      <c r="G132" t="str">
        <f>+_xlfn.XLOOKUP(F132,Sheet1!C:C,Sheet1!B:B,"N/A",0)</f>
        <v>HR</v>
      </c>
      <c r="H132" t="str">
        <f>+_xlfn.XLOOKUP(F132,Sheet1!C:C,Sheet1!D:D,"N/A",0)</f>
        <v>191</v>
      </c>
    </row>
    <row r="133" spans="1:8" x14ac:dyDescent="0.25">
      <c r="A133" t="s">
        <v>187</v>
      </c>
      <c r="B133" t="s">
        <v>188</v>
      </c>
      <c r="C133" s="5">
        <v>1.2821608929396891E-2</v>
      </c>
      <c r="D133" s="3">
        <f t="shared" si="6"/>
        <v>13.129327543702416</v>
      </c>
      <c r="E133" s="3">
        <f t="shared" si="7"/>
        <v>13.129327543702416</v>
      </c>
      <c r="F133" t="str">
        <f t="shared" si="8"/>
        <v>CUB</v>
      </c>
      <c r="G133" t="str">
        <f>+_xlfn.XLOOKUP(F133,Sheet1!C:C,Sheet1!B:B,"N/A",0)</f>
        <v>CU</v>
      </c>
      <c r="H133" t="str">
        <f>+_xlfn.XLOOKUP(F133,Sheet1!C:C,Sheet1!D:D,"N/A",0)</f>
        <v>192</v>
      </c>
    </row>
    <row r="134" spans="1:8" x14ac:dyDescent="0.25">
      <c r="A134" t="s">
        <v>189</v>
      </c>
      <c r="B134" t="s">
        <v>190</v>
      </c>
      <c r="C134" s="5">
        <v>2.5000000000000022E-4</v>
      </c>
      <c r="D134" s="3">
        <f t="shared" si="6"/>
        <v>0.25600000000000023</v>
      </c>
      <c r="E134" s="3">
        <f t="shared" si="7"/>
        <v>0.25600000000000023</v>
      </c>
      <c r="F134" t="str">
        <f t="shared" si="8"/>
        <v>CYP</v>
      </c>
      <c r="G134" t="str">
        <f>+_xlfn.XLOOKUP(F134,Sheet1!C:C,Sheet1!B:B,"N/A",0)</f>
        <v>CY</v>
      </c>
      <c r="H134" t="str">
        <f>+_xlfn.XLOOKUP(F134,Sheet1!C:C,Sheet1!D:D,"N/A",0)</f>
        <v>196</v>
      </c>
    </row>
    <row r="135" spans="1:8" x14ac:dyDescent="0.25">
      <c r="A135" t="s">
        <v>189</v>
      </c>
      <c r="B135" t="s">
        <v>191</v>
      </c>
      <c r="C135" s="5">
        <v>5.0730000000000013E-4</v>
      </c>
      <c r="D135" s="3">
        <f t="shared" si="6"/>
        <v>0.51947520000000014</v>
      </c>
      <c r="E135" s="3">
        <f t="shared" si="7"/>
        <v>0.25600000000000023</v>
      </c>
      <c r="F135" t="str">
        <f t="shared" si="8"/>
        <v>CYP</v>
      </c>
      <c r="G135" t="str">
        <f>+_xlfn.XLOOKUP(F135,Sheet1!C:C,Sheet1!B:B,"N/A",0)</f>
        <v>CY</v>
      </c>
      <c r="H135" t="str">
        <f>+_xlfn.XLOOKUP(F135,Sheet1!C:C,Sheet1!D:D,"N/A",0)</f>
        <v>196</v>
      </c>
    </row>
    <row r="136" spans="1:8" x14ac:dyDescent="0.25">
      <c r="A136" t="s">
        <v>189</v>
      </c>
      <c r="B136" t="s">
        <v>192</v>
      </c>
      <c r="C136" s="5"/>
      <c r="D136" s="3">
        <f t="shared" si="6"/>
        <v>0</v>
      </c>
      <c r="E136" s="3">
        <f t="shared" si="7"/>
        <v>0.25600000000000023</v>
      </c>
      <c r="F136" t="str">
        <f t="shared" si="8"/>
        <v>CYP</v>
      </c>
      <c r="G136" t="str">
        <f>+_xlfn.XLOOKUP(F136,Sheet1!C:C,Sheet1!B:B,"N/A",0)</f>
        <v>CY</v>
      </c>
      <c r="H136" t="str">
        <f>+_xlfn.XLOOKUP(F136,Sheet1!C:C,Sheet1!D:D,"N/A",0)</f>
        <v>196</v>
      </c>
    </row>
    <row r="137" spans="1:8" x14ac:dyDescent="0.25">
      <c r="A137" t="s">
        <v>189</v>
      </c>
      <c r="B137" t="s">
        <v>193</v>
      </c>
      <c r="C137" s="5">
        <v>3.6000000000000002E-4</v>
      </c>
      <c r="D137" s="3">
        <f t="shared" si="6"/>
        <v>0.36864000000000002</v>
      </c>
      <c r="E137" s="3">
        <f t="shared" si="7"/>
        <v>0.25600000000000023</v>
      </c>
      <c r="F137" t="str">
        <f t="shared" si="8"/>
        <v>CYP</v>
      </c>
      <c r="G137" t="str">
        <f>+_xlfn.XLOOKUP(F137,Sheet1!C:C,Sheet1!B:B,"N/A",0)</f>
        <v>CY</v>
      </c>
      <c r="H137" t="str">
        <f>+_xlfn.XLOOKUP(F137,Sheet1!C:C,Sheet1!D:D,"N/A",0)</f>
        <v>196</v>
      </c>
    </row>
    <row r="138" spans="1:8" x14ac:dyDescent="0.25">
      <c r="A138" t="s">
        <v>194</v>
      </c>
      <c r="B138" t="s">
        <v>195</v>
      </c>
      <c r="C138" s="5">
        <v>4.7689999999511132E-4</v>
      </c>
      <c r="D138" s="3">
        <f t="shared" si="6"/>
        <v>0.488345599994994</v>
      </c>
      <c r="E138" s="3">
        <f t="shared" si="7"/>
        <v>0.488345599994994</v>
      </c>
      <c r="F138" t="str">
        <f t="shared" si="8"/>
        <v>CZE</v>
      </c>
      <c r="G138" t="str">
        <f>+_xlfn.XLOOKUP(F138,Sheet1!C:C,Sheet1!B:B,"N/A",0)</f>
        <v>CZ</v>
      </c>
      <c r="H138" t="str">
        <f>+_xlfn.XLOOKUP(F138,Sheet1!C:C,Sheet1!D:D,"N/A",0)</f>
        <v>203</v>
      </c>
    </row>
    <row r="139" spans="1:8" x14ac:dyDescent="0.25">
      <c r="A139" t="s">
        <v>194</v>
      </c>
      <c r="B139" t="s">
        <v>196</v>
      </c>
      <c r="C139" s="5">
        <v>6.1895267877895078E-4</v>
      </c>
      <c r="D139" s="3">
        <f t="shared" si="6"/>
        <v>0.6338075430696456</v>
      </c>
      <c r="E139" s="3">
        <f t="shared" si="7"/>
        <v>0.488345599994994</v>
      </c>
      <c r="F139" t="str">
        <f t="shared" si="8"/>
        <v>CZE</v>
      </c>
      <c r="G139" t="str">
        <f>+_xlfn.XLOOKUP(F139,Sheet1!C:C,Sheet1!B:B,"N/A",0)</f>
        <v>CZ</v>
      </c>
      <c r="H139" t="str">
        <f>+_xlfn.XLOOKUP(F139,Sheet1!C:C,Sheet1!D:D,"N/A",0)</f>
        <v>203</v>
      </c>
    </row>
    <row r="140" spans="1:8" x14ac:dyDescent="0.25">
      <c r="A140" t="s">
        <v>194</v>
      </c>
      <c r="B140" t="s">
        <v>197</v>
      </c>
      <c r="C140" s="5">
        <v>8.9739999999403528E-4</v>
      </c>
      <c r="D140" s="3">
        <f t="shared" si="6"/>
        <v>0.91893759999389213</v>
      </c>
      <c r="E140" s="3">
        <f t="shared" si="7"/>
        <v>0.488345599994994</v>
      </c>
      <c r="F140" t="str">
        <f t="shared" si="8"/>
        <v>CZE</v>
      </c>
      <c r="G140" t="str">
        <f>+_xlfn.XLOOKUP(F140,Sheet1!C:C,Sheet1!B:B,"N/A",0)</f>
        <v>CZ</v>
      </c>
      <c r="H140" t="str">
        <f>+_xlfn.XLOOKUP(F140,Sheet1!C:C,Sheet1!D:D,"N/A",0)</f>
        <v>203</v>
      </c>
    </row>
    <row r="141" spans="1:8" x14ac:dyDescent="0.25">
      <c r="A141" t="s">
        <v>198</v>
      </c>
      <c r="B141" t="s">
        <v>199</v>
      </c>
      <c r="C141" s="5">
        <v>6.2290000000000002E-4</v>
      </c>
      <c r="D141" s="3">
        <f t="shared" si="6"/>
        <v>0.63784960000000002</v>
      </c>
      <c r="E141" s="3">
        <f t="shared" si="7"/>
        <v>0.25712639999999998</v>
      </c>
      <c r="F141" t="str">
        <f t="shared" si="8"/>
        <v>DNK</v>
      </c>
      <c r="G141" t="str">
        <f>+_xlfn.XLOOKUP(F141,Sheet1!C:C,Sheet1!B:B,"N/A",0)</f>
        <v>DK</v>
      </c>
      <c r="H141" t="str">
        <f>+_xlfn.XLOOKUP(F141,Sheet1!C:C,Sheet1!D:D,"N/A",0)</f>
        <v>208</v>
      </c>
    </row>
    <row r="142" spans="1:8" x14ac:dyDescent="0.25">
      <c r="A142" t="s">
        <v>198</v>
      </c>
      <c r="B142" t="s">
        <v>200</v>
      </c>
      <c r="C142" s="5">
        <v>3.2160000000000001E-4</v>
      </c>
      <c r="D142" s="3">
        <f t="shared" si="6"/>
        <v>0.32931840000000001</v>
      </c>
      <c r="E142" s="3">
        <f t="shared" si="7"/>
        <v>0.25712639999999998</v>
      </c>
      <c r="F142" t="str">
        <f t="shared" si="8"/>
        <v>DNK</v>
      </c>
      <c r="G142" t="str">
        <f>+_xlfn.XLOOKUP(F142,Sheet1!C:C,Sheet1!B:B,"N/A",0)</f>
        <v>DK</v>
      </c>
      <c r="H142" t="str">
        <f>+_xlfn.XLOOKUP(F142,Sheet1!C:C,Sheet1!D:D,"N/A",0)</f>
        <v>208</v>
      </c>
    </row>
    <row r="143" spans="1:8" x14ac:dyDescent="0.25">
      <c r="A143" t="s">
        <v>198</v>
      </c>
      <c r="B143" t="s">
        <v>201</v>
      </c>
      <c r="C143" s="5">
        <v>2.5109999999999998E-4</v>
      </c>
      <c r="D143" s="3">
        <f t="shared" si="6"/>
        <v>0.25712639999999998</v>
      </c>
      <c r="E143" s="3">
        <f t="shared" si="7"/>
        <v>0.25712639999999998</v>
      </c>
      <c r="F143" t="str">
        <f t="shared" si="8"/>
        <v>DNK</v>
      </c>
      <c r="G143" t="str">
        <f>+_xlfn.XLOOKUP(F143,Sheet1!C:C,Sheet1!B:B,"N/A",0)</f>
        <v>DK</v>
      </c>
      <c r="H143" t="str">
        <f>+_xlfn.XLOOKUP(F143,Sheet1!C:C,Sheet1!D:D,"N/A",0)</f>
        <v>208</v>
      </c>
    </row>
    <row r="144" spans="1:8" x14ac:dyDescent="0.25">
      <c r="A144" t="s">
        <v>198</v>
      </c>
      <c r="B144" t="s">
        <v>202</v>
      </c>
      <c r="C144" s="5">
        <v>3.5540000000000007E-4</v>
      </c>
      <c r="D144" s="3">
        <f t="shared" si="6"/>
        <v>0.36392960000000008</v>
      </c>
      <c r="E144" s="3">
        <f t="shared" si="7"/>
        <v>0.25712639999999998</v>
      </c>
      <c r="F144" t="str">
        <f t="shared" si="8"/>
        <v>DNK</v>
      </c>
      <c r="G144" t="str">
        <f>+_xlfn.XLOOKUP(F144,Sheet1!C:C,Sheet1!B:B,"N/A",0)</f>
        <v>DK</v>
      </c>
      <c r="H144" t="str">
        <f>+_xlfn.XLOOKUP(F144,Sheet1!C:C,Sheet1!D:D,"N/A",0)</f>
        <v>208</v>
      </c>
    </row>
    <row r="145" spans="1:8" x14ac:dyDescent="0.25">
      <c r="A145" t="s">
        <v>203</v>
      </c>
      <c r="B145" t="s">
        <v>204</v>
      </c>
      <c r="C145" s="5">
        <v>1.0251701839765681E-2</v>
      </c>
      <c r="D145" s="3">
        <f t="shared" si="6"/>
        <v>10.497742683920057</v>
      </c>
      <c r="E145" s="3">
        <f t="shared" si="7"/>
        <v>10.497742683920057</v>
      </c>
      <c r="F145" t="str">
        <f t="shared" si="8"/>
        <v>DJI</v>
      </c>
      <c r="G145" t="str">
        <f>+_xlfn.XLOOKUP(F145,Sheet1!C:C,Sheet1!B:B,"N/A",0)</f>
        <v>DJ</v>
      </c>
      <c r="H145" t="str">
        <f>+_xlfn.XLOOKUP(F145,Sheet1!C:C,Sheet1!D:D,"N/A",0)</f>
        <v>262</v>
      </c>
    </row>
    <row r="146" spans="1:8" x14ac:dyDescent="0.25">
      <c r="A146" t="s">
        <v>205</v>
      </c>
      <c r="B146" t="s">
        <v>206</v>
      </c>
      <c r="C146" s="5">
        <v>2.5454000018945698E-3</v>
      </c>
      <c r="D146" s="3">
        <f t="shared" si="6"/>
        <v>2.6064896019400394</v>
      </c>
      <c r="E146" s="3">
        <f t="shared" si="7"/>
        <v>2.6064896019400394</v>
      </c>
      <c r="F146" t="str">
        <f t="shared" si="8"/>
        <v>DMA</v>
      </c>
      <c r="G146" t="str">
        <f>+_xlfn.XLOOKUP(F146,Sheet1!C:C,Sheet1!B:B,"N/A",0)</f>
        <v>DM</v>
      </c>
      <c r="H146" t="str">
        <f>+_xlfn.XLOOKUP(F146,Sheet1!C:C,Sheet1!D:D,"N/A",0)</f>
        <v>212</v>
      </c>
    </row>
    <row r="147" spans="1:8" x14ac:dyDescent="0.25">
      <c r="A147" t="s">
        <v>207</v>
      </c>
      <c r="B147" t="s">
        <v>208</v>
      </c>
      <c r="C147" s="5">
        <v>1.0647947326221487E-3</v>
      </c>
      <c r="D147" s="3">
        <f t="shared" si="6"/>
        <v>1.0903498062050803</v>
      </c>
      <c r="E147" s="3">
        <f t="shared" si="7"/>
        <v>1.0903498062050803</v>
      </c>
      <c r="F147" t="str">
        <f t="shared" si="8"/>
        <v>DOM</v>
      </c>
      <c r="G147" t="str">
        <f>+_xlfn.XLOOKUP(F147,Sheet1!C:C,Sheet1!B:B,"N/A",0)</f>
        <v>DO</v>
      </c>
      <c r="H147" t="str">
        <f>+_xlfn.XLOOKUP(F147,Sheet1!C:C,Sheet1!D:D,"N/A",0)</f>
        <v>214</v>
      </c>
    </row>
    <row r="148" spans="1:8" x14ac:dyDescent="0.25">
      <c r="A148" t="s">
        <v>207</v>
      </c>
      <c r="B148" t="s">
        <v>209</v>
      </c>
      <c r="C148" s="5">
        <v>1.3956624480378553E-3</v>
      </c>
      <c r="D148" s="3">
        <f t="shared" si="6"/>
        <v>1.4291583467907638</v>
      </c>
      <c r="E148" s="3">
        <f t="shared" si="7"/>
        <v>1.0903498062050803</v>
      </c>
      <c r="F148" t="str">
        <f t="shared" si="8"/>
        <v>DOM</v>
      </c>
      <c r="G148" t="str">
        <f>+_xlfn.XLOOKUP(F148,Sheet1!C:C,Sheet1!B:B,"N/A",0)</f>
        <v>DO</v>
      </c>
      <c r="H148" t="str">
        <f>+_xlfn.XLOOKUP(F148,Sheet1!C:C,Sheet1!D:D,"N/A",0)</f>
        <v>214</v>
      </c>
    </row>
    <row r="149" spans="1:8" x14ac:dyDescent="0.25">
      <c r="A149" t="s">
        <v>207</v>
      </c>
      <c r="B149" t="s">
        <v>210</v>
      </c>
      <c r="C149" s="5">
        <v>9.1020879472438629E-2</v>
      </c>
      <c r="D149" s="3">
        <f t="shared" si="6"/>
        <v>93.205380579777156</v>
      </c>
      <c r="E149" s="3">
        <f t="shared" si="7"/>
        <v>1.0903498062050803</v>
      </c>
      <c r="F149" t="str">
        <f t="shared" si="8"/>
        <v>DOM</v>
      </c>
      <c r="G149" t="str">
        <f>+_xlfn.XLOOKUP(F149,Sheet1!C:C,Sheet1!B:B,"N/A",0)</f>
        <v>DO</v>
      </c>
      <c r="H149" t="str">
        <f>+_xlfn.XLOOKUP(F149,Sheet1!C:C,Sheet1!D:D,"N/A",0)</f>
        <v>214</v>
      </c>
    </row>
    <row r="150" spans="1:8" x14ac:dyDescent="0.25">
      <c r="A150" t="s">
        <v>211</v>
      </c>
      <c r="B150" t="s">
        <v>212</v>
      </c>
      <c r="C150" s="5">
        <v>0.1018163</v>
      </c>
      <c r="D150" s="3">
        <f t="shared" si="6"/>
        <v>104.2598912</v>
      </c>
      <c r="E150" s="3">
        <f t="shared" si="7"/>
        <v>53.338041835917274</v>
      </c>
      <c r="F150" t="str">
        <f t="shared" si="8"/>
        <v>TLS</v>
      </c>
      <c r="G150" t="str">
        <f>+_xlfn.XLOOKUP(F150,Sheet1!C:C,Sheet1!B:B,"N/A",0)</f>
        <v>TL</v>
      </c>
      <c r="H150" t="str">
        <f>+_xlfn.XLOOKUP(F150,Sheet1!C:C,Sheet1!D:D,"N/A",0)</f>
        <v>626</v>
      </c>
    </row>
    <row r="151" spans="1:8" x14ac:dyDescent="0.25">
      <c r="A151" t="s">
        <v>211</v>
      </c>
      <c r="B151" t="s">
        <v>213</v>
      </c>
      <c r="C151" s="5">
        <v>55.494604932086851</v>
      </c>
      <c r="D151" s="3">
        <f t="shared" si="6"/>
        <v>56826.475450456936</v>
      </c>
      <c r="E151" s="3">
        <f t="shared" si="7"/>
        <v>53.338041835917274</v>
      </c>
      <c r="F151" t="str">
        <f t="shared" si="8"/>
        <v>TLS</v>
      </c>
      <c r="G151" t="str">
        <f>+_xlfn.XLOOKUP(F151,Sheet1!C:C,Sheet1!B:B,"N/A",0)</f>
        <v>TL</v>
      </c>
      <c r="H151" t="str">
        <f>+_xlfn.XLOOKUP(F151,Sheet1!C:C,Sheet1!D:D,"N/A",0)</f>
        <v>626</v>
      </c>
    </row>
    <row r="152" spans="1:8" x14ac:dyDescent="0.25">
      <c r="A152" t="s">
        <v>211</v>
      </c>
      <c r="B152" t="s">
        <v>214</v>
      </c>
      <c r="C152" s="5">
        <v>5.2087931480387963E-2</v>
      </c>
      <c r="D152" s="3">
        <f t="shared" si="6"/>
        <v>53.338041835917274</v>
      </c>
      <c r="E152" s="3">
        <f t="shared" si="7"/>
        <v>53.338041835917274</v>
      </c>
      <c r="F152" t="str">
        <f t="shared" si="8"/>
        <v>TLS</v>
      </c>
      <c r="G152" t="str">
        <f>+_xlfn.XLOOKUP(F152,Sheet1!C:C,Sheet1!B:B,"N/A",0)</f>
        <v>TL</v>
      </c>
      <c r="H152" t="str">
        <f>+_xlfn.XLOOKUP(F152,Sheet1!C:C,Sheet1!D:D,"N/A",0)</f>
        <v>626</v>
      </c>
    </row>
    <row r="153" spans="1:8" x14ac:dyDescent="0.25">
      <c r="A153" t="s">
        <v>215</v>
      </c>
      <c r="B153" t="s">
        <v>216</v>
      </c>
      <c r="C153" s="5">
        <v>9.7931398265684792E-4</v>
      </c>
      <c r="D153" s="3">
        <f t="shared" si="6"/>
        <v>1.0028175182406123</v>
      </c>
      <c r="E153" s="3">
        <f t="shared" si="7"/>
        <v>1.0028175182406123</v>
      </c>
      <c r="F153" t="str">
        <f t="shared" si="8"/>
        <v>ECU</v>
      </c>
      <c r="G153" t="str">
        <f>+_xlfn.XLOOKUP(F153,Sheet1!C:C,Sheet1!B:B,"N/A",0)</f>
        <v>EC</v>
      </c>
      <c r="H153" t="str">
        <f>+_xlfn.XLOOKUP(F153,Sheet1!C:C,Sheet1!D:D,"N/A",0)</f>
        <v>218</v>
      </c>
    </row>
    <row r="154" spans="1:8" x14ac:dyDescent="0.25">
      <c r="A154" t="s">
        <v>215</v>
      </c>
      <c r="B154" t="s">
        <v>217</v>
      </c>
      <c r="C154" s="5">
        <v>4.4466224579844322</v>
      </c>
      <c r="D154" s="3">
        <f t="shared" si="6"/>
        <v>4553.3413969760586</v>
      </c>
      <c r="E154" s="3">
        <f t="shared" si="7"/>
        <v>1.0028175182406123</v>
      </c>
      <c r="F154" t="str">
        <f t="shared" si="8"/>
        <v>ECU</v>
      </c>
      <c r="G154" t="str">
        <f>+_xlfn.XLOOKUP(F154,Sheet1!C:C,Sheet1!B:B,"N/A",0)</f>
        <v>EC</v>
      </c>
      <c r="H154" t="str">
        <f>+_xlfn.XLOOKUP(F154,Sheet1!C:C,Sheet1!D:D,"N/A",0)</f>
        <v>218</v>
      </c>
    </row>
    <row r="155" spans="1:8" x14ac:dyDescent="0.25">
      <c r="A155" t="s">
        <v>215</v>
      </c>
      <c r="B155" t="s">
        <v>218</v>
      </c>
      <c r="C155" s="5">
        <v>1.0344570813293011E-3</v>
      </c>
      <c r="D155" s="3">
        <f t="shared" si="6"/>
        <v>1.0592840512812043</v>
      </c>
      <c r="E155" s="3">
        <f t="shared" si="7"/>
        <v>1.0028175182406123</v>
      </c>
      <c r="F155" t="str">
        <f t="shared" si="8"/>
        <v>ECU</v>
      </c>
      <c r="G155" t="str">
        <f>+_xlfn.XLOOKUP(F155,Sheet1!C:C,Sheet1!B:B,"N/A",0)</f>
        <v>EC</v>
      </c>
      <c r="H155" t="str">
        <f>+_xlfn.XLOOKUP(F155,Sheet1!C:C,Sheet1!D:D,"N/A",0)</f>
        <v>218</v>
      </c>
    </row>
    <row r="156" spans="1:8" x14ac:dyDescent="0.25">
      <c r="A156" t="s">
        <v>219</v>
      </c>
      <c r="B156" t="s">
        <v>220</v>
      </c>
      <c r="C156" s="5">
        <v>3.9655447505210547E-3</v>
      </c>
      <c r="D156" s="3">
        <f t="shared" si="6"/>
        <v>4.06071782453356</v>
      </c>
      <c r="E156" s="3">
        <f t="shared" si="7"/>
        <v>1.6849920000000003</v>
      </c>
      <c r="F156" t="str">
        <f t="shared" si="8"/>
        <v>EGY</v>
      </c>
      <c r="G156" t="str">
        <f>+_xlfn.XLOOKUP(F156,Sheet1!C:C,Sheet1!B:B,"N/A",0)</f>
        <v>EG</v>
      </c>
      <c r="H156" t="str">
        <f>+_xlfn.XLOOKUP(F156,Sheet1!C:C,Sheet1!D:D,"N/A",0)</f>
        <v>818</v>
      </c>
    </row>
    <row r="157" spans="1:8" x14ac:dyDescent="0.25">
      <c r="A157" t="s">
        <v>219</v>
      </c>
      <c r="B157" t="s">
        <v>221</v>
      </c>
      <c r="C157" s="5">
        <v>1.6455000000000003E-3</v>
      </c>
      <c r="D157" s="3">
        <f t="shared" si="6"/>
        <v>1.6849920000000003</v>
      </c>
      <c r="E157" s="3">
        <f t="shared" si="7"/>
        <v>1.6849920000000003</v>
      </c>
      <c r="F157" t="str">
        <f t="shared" si="8"/>
        <v>EGY</v>
      </c>
      <c r="G157" t="str">
        <f>+_xlfn.XLOOKUP(F157,Sheet1!C:C,Sheet1!B:B,"N/A",0)</f>
        <v>EG</v>
      </c>
      <c r="H157" t="str">
        <f>+_xlfn.XLOOKUP(F157,Sheet1!C:C,Sheet1!D:D,"N/A",0)</f>
        <v>818</v>
      </c>
    </row>
    <row r="158" spans="1:8" x14ac:dyDescent="0.25">
      <c r="A158" t="s">
        <v>219</v>
      </c>
      <c r="B158" t="s">
        <v>222</v>
      </c>
      <c r="C158" s="5">
        <v>2.6007000000000001E-3</v>
      </c>
      <c r="D158" s="3">
        <f t="shared" si="6"/>
        <v>2.6631168000000001</v>
      </c>
      <c r="E158" s="3">
        <f t="shared" si="7"/>
        <v>1.6849920000000003</v>
      </c>
      <c r="F158" t="str">
        <f t="shared" si="8"/>
        <v>EGY</v>
      </c>
      <c r="G158" t="str">
        <f>+_xlfn.XLOOKUP(F158,Sheet1!C:C,Sheet1!B:B,"N/A",0)</f>
        <v>EG</v>
      </c>
      <c r="H158" t="str">
        <f>+_xlfn.XLOOKUP(F158,Sheet1!C:C,Sheet1!D:D,"N/A",0)</f>
        <v>818</v>
      </c>
    </row>
    <row r="159" spans="1:8" x14ac:dyDescent="0.25">
      <c r="A159" t="s">
        <v>223</v>
      </c>
      <c r="B159" t="s">
        <v>224</v>
      </c>
      <c r="C159" s="5">
        <v>1.120304315769568E-3</v>
      </c>
      <c r="D159" s="3">
        <f t="shared" si="6"/>
        <v>1.1471916193480376</v>
      </c>
      <c r="E159" s="3">
        <f t="shared" si="7"/>
        <v>0.86886401657743517</v>
      </c>
      <c r="F159" t="str">
        <f t="shared" si="8"/>
        <v>SLV</v>
      </c>
      <c r="G159" t="str">
        <f>+_xlfn.XLOOKUP(F159,Sheet1!C:C,Sheet1!B:B,"N/A",0)</f>
        <v>SV</v>
      </c>
      <c r="H159" t="str">
        <f>+_xlfn.XLOOKUP(F159,Sheet1!C:C,Sheet1!D:D,"N/A",0)</f>
        <v>222</v>
      </c>
    </row>
    <row r="160" spans="1:8" x14ac:dyDescent="0.25">
      <c r="A160" t="s">
        <v>223</v>
      </c>
      <c r="B160" t="s">
        <v>225</v>
      </c>
      <c r="C160" s="5">
        <v>8.4850001618890154E-4</v>
      </c>
      <c r="D160" s="3">
        <f t="shared" si="6"/>
        <v>0.86886401657743517</v>
      </c>
      <c r="E160" s="3">
        <f t="shared" si="7"/>
        <v>0.86886401657743517</v>
      </c>
      <c r="F160" t="str">
        <f t="shared" si="8"/>
        <v>SLV</v>
      </c>
      <c r="G160" t="str">
        <f>+_xlfn.XLOOKUP(F160,Sheet1!C:C,Sheet1!B:B,"N/A",0)</f>
        <v>SV</v>
      </c>
      <c r="H160" t="str">
        <f>+_xlfn.XLOOKUP(F160,Sheet1!C:C,Sheet1!D:D,"N/A",0)</f>
        <v>222</v>
      </c>
    </row>
    <row r="161" spans="1:8" x14ac:dyDescent="0.25">
      <c r="A161" t="s">
        <v>223</v>
      </c>
      <c r="B161" t="s">
        <v>226</v>
      </c>
      <c r="C161" s="5">
        <v>1.0296058552207873E-3</v>
      </c>
      <c r="D161" s="3">
        <f t="shared" si="6"/>
        <v>1.0543163957460862</v>
      </c>
      <c r="E161" s="3">
        <f t="shared" si="7"/>
        <v>0.86886401657743517</v>
      </c>
      <c r="F161" t="str">
        <f t="shared" si="8"/>
        <v>SLV</v>
      </c>
      <c r="G161" t="str">
        <f>+_xlfn.XLOOKUP(F161,Sheet1!C:C,Sheet1!B:B,"N/A",0)</f>
        <v>SV</v>
      </c>
      <c r="H161" t="str">
        <f>+_xlfn.XLOOKUP(F161,Sheet1!C:C,Sheet1!D:D,"N/A",0)</f>
        <v>222</v>
      </c>
    </row>
    <row r="162" spans="1:8" x14ac:dyDescent="0.25">
      <c r="A162" t="s">
        <v>223</v>
      </c>
      <c r="B162" t="s">
        <v>227</v>
      </c>
      <c r="C162" s="5">
        <v>1.8227000009764151E-3</v>
      </c>
      <c r="D162" s="3">
        <f t="shared" si="6"/>
        <v>1.8664448009998491</v>
      </c>
      <c r="E162" s="3">
        <f t="shared" si="7"/>
        <v>0.86886401657743517</v>
      </c>
      <c r="F162" t="str">
        <f t="shared" si="8"/>
        <v>SLV</v>
      </c>
      <c r="G162" t="str">
        <f>+_xlfn.XLOOKUP(F162,Sheet1!C:C,Sheet1!B:B,"N/A",0)</f>
        <v>SV</v>
      </c>
      <c r="H162" t="str">
        <f>+_xlfn.XLOOKUP(F162,Sheet1!C:C,Sheet1!D:D,"N/A",0)</f>
        <v>222</v>
      </c>
    </row>
    <row r="163" spans="1:8" x14ac:dyDescent="0.25">
      <c r="A163" t="s">
        <v>228</v>
      </c>
      <c r="B163" t="s">
        <v>229</v>
      </c>
      <c r="C163" s="5"/>
      <c r="D163" s="3">
        <f t="shared" si="6"/>
        <v>0</v>
      </c>
      <c r="E163" s="3">
        <f t="shared" si="7"/>
        <v>47.785471958392584</v>
      </c>
      <c r="F163" t="str">
        <f t="shared" si="8"/>
        <v>GNQ</v>
      </c>
      <c r="G163" t="str">
        <f>+_xlfn.XLOOKUP(F163,Sheet1!C:C,Sheet1!B:B,"N/A",0)</f>
        <v>GQ</v>
      </c>
      <c r="H163" t="str">
        <f>+_xlfn.XLOOKUP(F163,Sheet1!C:C,Sheet1!D:D,"N/A",0)</f>
        <v>226</v>
      </c>
    </row>
    <row r="164" spans="1:8" x14ac:dyDescent="0.25">
      <c r="A164" t="s">
        <v>228</v>
      </c>
      <c r="B164" t="s">
        <v>230</v>
      </c>
      <c r="C164" s="5">
        <v>4.6665499959367758E-2</v>
      </c>
      <c r="D164" s="3">
        <f t="shared" si="6"/>
        <v>47.785471958392584</v>
      </c>
      <c r="E164" s="3">
        <f t="shared" si="7"/>
        <v>47.785471958392584</v>
      </c>
      <c r="F164" t="str">
        <f t="shared" si="8"/>
        <v>GNQ</v>
      </c>
      <c r="G164" t="str">
        <f>+_xlfn.XLOOKUP(F164,Sheet1!C:C,Sheet1!B:B,"N/A",0)</f>
        <v>GQ</v>
      </c>
      <c r="H164" t="str">
        <f>+_xlfn.XLOOKUP(F164,Sheet1!C:C,Sheet1!D:D,"N/A",0)</f>
        <v>226</v>
      </c>
    </row>
    <row r="165" spans="1:8" x14ac:dyDescent="0.25">
      <c r="A165" t="s">
        <v>231</v>
      </c>
      <c r="B165" t="s">
        <v>232</v>
      </c>
      <c r="C165" s="5">
        <v>2.9999999998589564E-4</v>
      </c>
      <c r="D165" s="3">
        <f t="shared" si="6"/>
        <v>0.30719999998555714</v>
      </c>
      <c r="E165" s="3">
        <f t="shared" si="7"/>
        <v>0.30719999998555714</v>
      </c>
      <c r="F165" t="str">
        <f t="shared" si="8"/>
        <v>EST</v>
      </c>
      <c r="G165" t="str">
        <f>+_xlfn.XLOOKUP(F165,Sheet1!C:C,Sheet1!B:B,"N/A",0)</f>
        <v>EE</v>
      </c>
      <c r="H165" t="str">
        <f>+_xlfn.XLOOKUP(F165,Sheet1!C:C,Sheet1!D:D,"N/A",0)</f>
        <v>233</v>
      </c>
    </row>
    <row r="166" spans="1:8" x14ac:dyDescent="0.25">
      <c r="A166" t="s">
        <v>231</v>
      </c>
      <c r="B166" t="s">
        <v>233</v>
      </c>
      <c r="C166" s="5">
        <v>6.4570000000000003E-4</v>
      </c>
      <c r="D166" s="3">
        <f t="shared" si="6"/>
        <v>0.66119680000000003</v>
      </c>
      <c r="E166" s="3">
        <f t="shared" si="7"/>
        <v>0.30719999998555714</v>
      </c>
      <c r="F166" t="str">
        <f t="shared" si="8"/>
        <v>EST</v>
      </c>
      <c r="G166" t="str">
        <f>+_xlfn.XLOOKUP(F166,Sheet1!C:C,Sheet1!B:B,"N/A",0)</f>
        <v>EE</v>
      </c>
      <c r="H166" t="str">
        <f>+_xlfn.XLOOKUP(F166,Sheet1!C:C,Sheet1!D:D,"N/A",0)</f>
        <v>233</v>
      </c>
    </row>
    <row r="167" spans="1:8" x14ac:dyDescent="0.25">
      <c r="A167" t="s">
        <v>231</v>
      </c>
      <c r="B167" t="s">
        <v>234</v>
      </c>
      <c r="C167" s="5">
        <v>3.5539999999407128E-4</v>
      </c>
      <c r="D167" s="3">
        <f t="shared" si="6"/>
        <v>0.36392959999392899</v>
      </c>
      <c r="E167" s="3">
        <f t="shared" si="7"/>
        <v>0.30719999998555714</v>
      </c>
      <c r="F167" t="str">
        <f t="shared" si="8"/>
        <v>EST</v>
      </c>
      <c r="G167" t="str">
        <f>+_xlfn.XLOOKUP(F167,Sheet1!C:C,Sheet1!B:B,"N/A",0)</f>
        <v>EE</v>
      </c>
      <c r="H167" t="str">
        <f>+_xlfn.XLOOKUP(F167,Sheet1!C:C,Sheet1!D:D,"N/A",0)</f>
        <v>233</v>
      </c>
    </row>
    <row r="168" spans="1:8" x14ac:dyDescent="0.25">
      <c r="A168" t="s">
        <v>235</v>
      </c>
      <c r="B168" t="s">
        <v>236</v>
      </c>
      <c r="C168" s="5">
        <v>6.5510814900965095E-2</v>
      </c>
      <c r="D168" s="3">
        <f t="shared" si="6"/>
        <v>67.083074458588257</v>
      </c>
      <c r="E168" s="3">
        <f t="shared" si="7"/>
        <v>5.12</v>
      </c>
      <c r="F168" t="str">
        <f t="shared" si="8"/>
        <v>ETH</v>
      </c>
      <c r="G168" t="str">
        <f>+_xlfn.XLOOKUP(F168,Sheet1!C:C,Sheet1!B:B,"N/A",0)</f>
        <v>ET</v>
      </c>
      <c r="H168" t="str">
        <f>+_xlfn.XLOOKUP(F168,Sheet1!C:C,Sheet1!D:D,"N/A",0)</f>
        <v>231</v>
      </c>
    </row>
    <row r="169" spans="1:8" x14ac:dyDescent="0.25">
      <c r="A169" t="s">
        <v>235</v>
      </c>
      <c r="B169" t="s">
        <v>237</v>
      </c>
      <c r="C169" s="5">
        <v>5.0000000000000001E-3</v>
      </c>
      <c r="D169" s="3">
        <f t="shared" si="6"/>
        <v>5.12</v>
      </c>
      <c r="E169" s="3">
        <f t="shared" si="7"/>
        <v>5.12</v>
      </c>
      <c r="F169" t="str">
        <f t="shared" si="8"/>
        <v>ETH</v>
      </c>
      <c r="G169" t="str">
        <f>+_xlfn.XLOOKUP(F169,Sheet1!C:C,Sheet1!B:B,"N/A",0)</f>
        <v>ET</v>
      </c>
      <c r="H169" t="str">
        <f>+_xlfn.XLOOKUP(F169,Sheet1!C:C,Sheet1!D:D,"N/A",0)</f>
        <v>231</v>
      </c>
    </row>
    <row r="170" spans="1:8" x14ac:dyDescent="0.25">
      <c r="A170" t="s">
        <v>238</v>
      </c>
      <c r="B170" t="s">
        <v>239</v>
      </c>
      <c r="C170" s="5">
        <v>0.5</v>
      </c>
      <c r="D170" s="3">
        <f t="shared" si="6"/>
        <v>512</v>
      </c>
      <c r="E170" s="3">
        <f t="shared" si="7"/>
        <v>512</v>
      </c>
      <c r="F170" t="str">
        <f t="shared" si="8"/>
        <v>FLK</v>
      </c>
      <c r="G170" t="str">
        <f>+_xlfn.XLOOKUP(F170,Sheet1!C:C,Sheet1!B:B,"N/A",0)</f>
        <v>FK</v>
      </c>
      <c r="H170" t="str">
        <f>+_xlfn.XLOOKUP(F170,Sheet1!C:C,Sheet1!D:D,"N/A",0)</f>
        <v>238</v>
      </c>
    </row>
    <row r="171" spans="1:8" x14ac:dyDescent="0.25">
      <c r="A171" t="s">
        <v>240</v>
      </c>
      <c r="B171" t="s">
        <v>241</v>
      </c>
      <c r="C171" s="5">
        <v>1.2500000000195727E-3</v>
      </c>
      <c r="D171" s="3">
        <f t="shared" si="6"/>
        <v>1.2800000000200424</v>
      </c>
      <c r="E171" s="3">
        <f t="shared" si="7"/>
        <v>0.8173492589414777</v>
      </c>
      <c r="F171" t="str">
        <f t="shared" si="8"/>
        <v>FRO</v>
      </c>
      <c r="G171" t="str">
        <f>+_xlfn.XLOOKUP(F171,Sheet1!C:C,Sheet1!B:B,"N/A",0)</f>
        <v>FO</v>
      </c>
      <c r="H171" t="str">
        <f>+_xlfn.XLOOKUP(F171,Sheet1!C:C,Sheet1!D:D,"N/A",0)</f>
        <v>234</v>
      </c>
    </row>
    <row r="172" spans="1:8" x14ac:dyDescent="0.25">
      <c r="A172" t="s">
        <v>240</v>
      </c>
      <c r="B172" t="s">
        <v>242</v>
      </c>
      <c r="C172" s="5">
        <v>7.9819263568503681E-4</v>
      </c>
      <c r="D172" s="3">
        <f t="shared" si="6"/>
        <v>0.8173492589414777</v>
      </c>
      <c r="E172" s="3">
        <f t="shared" si="7"/>
        <v>0.8173492589414777</v>
      </c>
      <c r="F172" t="str">
        <f t="shared" si="8"/>
        <v>FRO</v>
      </c>
      <c r="G172" t="str">
        <f>+_xlfn.XLOOKUP(F172,Sheet1!C:C,Sheet1!B:B,"N/A",0)</f>
        <v>FO</v>
      </c>
      <c r="H172" t="str">
        <f>+_xlfn.XLOOKUP(F172,Sheet1!C:C,Sheet1!D:D,"N/A",0)</f>
        <v>234</v>
      </c>
    </row>
    <row r="173" spans="1:8" x14ac:dyDescent="0.25">
      <c r="A173" t="s">
        <v>243</v>
      </c>
      <c r="B173" t="s">
        <v>244</v>
      </c>
      <c r="C173" s="5">
        <v>3.393899999805603E-3</v>
      </c>
      <c r="D173" s="3">
        <f t="shared" si="6"/>
        <v>3.4753535998009375</v>
      </c>
      <c r="E173" s="3">
        <f t="shared" si="7"/>
        <v>3.4753535998009375</v>
      </c>
      <c r="F173" t="str">
        <f t="shared" si="8"/>
        <v>FJI</v>
      </c>
      <c r="G173" t="str">
        <f>+_xlfn.XLOOKUP(F173,Sheet1!C:C,Sheet1!B:B,"N/A",0)</f>
        <v>FJ</v>
      </c>
      <c r="H173" t="str">
        <f>+_xlfn.XLOOKUP(F173,Sheet1!C:C,Sheet1!D:D,"N/A",0)</f>
        <v>242</v>
      </c>
    </row>
    <row r="174" spans="1:8" x14ac:dyDescent="0.25">
      <c r="A174" t="s">
        <v>243</v>
      </c>
      <c r="B174" t="s">
        <v>245</v>
      </c>
      <c r="C174" s="5">
        <v>8.5071207455317717E-3</v>
      </c>
      <c r="D174" s="3">
        <f t="shared" si="6"/>
        <v>8.7112916434245342</v>
      </c>
      <c r="E174" s="3">
        <f t="shared" si="7"/>
        <v>3.4753535998009375</v>
      </c>
      <c r="F174" t="str">
        <f t="shared" si="8"/>
        <v>FJI</v>
      </c>
      <c r="G174" t="str">
        <f>+_xlfn.XLOOKUP(F174,Sheet1!C:C,Sheet1!B:B,"N/A",0)</f>
        <v>FJ</v>
      </c>
      <c r="H174" t="str">
        <f>+_xlfn.XLOOKUP(F174,Sheet1!C:C,Sheet1!D:D,"N/A",0)</f>
        <v>242</v>
      </c>
    </row>
    <row r="175" spans="1:8" x14ac:dyDescent="0.25">
      <c r="A175" t="s">
        <v>246</v>
      </c>
      <c r="B175" t="s">
        <v>247</v>
      </c>
      <c r="C175" s="5">
        <v>1.3010435433725754E-3</v>
      </c>
      <c r="D175" s="3">
        <f t="shared" si="6"/>
        <v>1.3322685884135173</v>
      </c>
      <c r="E175" s="3">
        <f t="shared" si="7"/>
        <v>0.25712640000000003</v>
      </c>
      <c r="F175" t="str">
        <f t="shared" si="8"/>
        <v>FIN</v>
      </c>
      <c r="G175" t="str">
        <f>+_xlfn.XLOOKUP(F175,Sheet1!C:C,Sheet1!B:B,"N/A",0)</f>
        <v>FI</v>
      </c>
      <c r="H175" t="str">
        <f>+_xlfn.XLOOKUP(F175,Sheet1!C:C,Sheet1!D:D,"N/A",0)</f>
        <v>246</v>
      </c>
    </row>
    <row r="176" spans="1:8" x14ac:dyDescent="0.25">
      <c r="A176" t="s">
        <v>246</v>
      </c>
      <c r="B176" t="s">
        <v>248</v>
      </c>
      <c r="C176" s="5">
        <v>3.0000000000000003E-4</v>
      </c>
      <c r="D176" s="3">
        <f t="shared" si="6"/>
        <v>0.30720000000000003</v>
      </c>
      <c r="E176" s="3">
        <f t="shared" si="7"/>
        <v>0.25712640000000003</v>
      </c>
      <c r="F176" t="str">
        <f t="shared" si="8"/>
        <v>FIN</v>
      </c>
      <c r="G176" t="str">
        <f>+_xlfn.XLOOKUP(F176,Sheet1!C:C,Sheet1!B:B,"N/A",0)</f>
        <v>FI</v>
      </c>
      <c r="H176" t="str">
        <f>+_xlfn.XLOOKUP(F176,Sheet1!C:C,Sheet1!D:D,"N/A",0)</f>
        <v>246</v>
      </c>
    </row>
    <row r="177" spans="1:8" x14ac:dyDescent="0.25">
      <c r="A177" t="s">
        <v>246</v>
      </c>
      <c r="B177" t="s">
        <v>249</v>
      </c>
      <c r="C177" s="5">
        <v>2.5110000000000003E-4</v>
      </c>
      <c r="D177" s="3">
        <f t="shared" si="6"/>
        <v>0.25712640000000003</v>
      </c>
      <c r="E177" s="3">
        <f t="shared" si="7"/>
        <v>0.25712640000000003</v>
      </c>
      <c r="F177" t="str">
        <f t="shared" si="8"/>
        <v>FIN</v>
      </c>
      <c r="G177" t="str">
        <f>+_xlfn.XLOOKUP(F177,Sheet1!C:C,Sheet1!B:B,"N/A",0)</f>
        <v>FI</v>
      </c>
      <c r="H177" t="str">
        <f>+_xlfn.XLOOKUP(F177,Sheet1!C:C,Sheet1!D:D,"N/A",0)</f>
        <v>246</v>
      </c>
    </row>
    <row r="178" spans="1:8" x14ac:dyDescent="0.25">
      <c r="A178" t="s">
        <v>246</v>
      </c>
      <c r="B178" t="s">
        <v>250</v>
      </c>
      <c r="C178" s="5">
        <v>3.5540000000009749E-4</v>
      </c>
      <c r="D178" s="3">
        <f t="shared" si="6"/>
        <v>0.36392960000009983</v>
      </c>
      <c r="E178" s="3">
        <f t="shared" si="7"/>
        <v>0.25712640000000003</v>
      </c>
      <c r="F178" t="str">
        <f t="shared" si="8"/>
        <v>FIN</v>
      </c>
      <c r="G178" t="str">
        <f>+_xlfn.XLOOKUP(F178,Sheet1!C:C,Sheet1!B:B,"N/A",0)</f>
        <v>FI</v>
      </c>
      <c r="H178" t="str">
        <f>+_xlfn.XLOOKUP(F178,Sheet1!C:C,Sheet1!D:D,"N/A",0)</f>
        <v>246</v>
      </c>
    </row>
    <row r="179" spans="1:8" x14ac:dyDescent="0.25">
      <c r="A179" t="s">
        <v>251</v>
      </c>
      <c r="B179" t="s">
        <v>252</v>
      </c>
      <c r="C179" s="5">
        <v>4.8840000000000005E-4</v>
      </c>
      <c r="D179" s="3">
        <f t="shared" si="6"/>
        <v>0.50012160000000005</v>
      </c>
      <c r="E179" s="3">
        <f t="shared" si="7"/>
        <v>0.50012160000000005</v>
      </c>
      <c r="F179" t="str">
        <f t="shared" si="8"/>
        <v>FRA</v>
      </c>
      <c r="G179" t="str">
        <f>+_xlfn.XLOOKUP(F179,Sheet1!C:C,Sheet1!B:B,"N/A",0)</f>
        <v>FR</v>
      </c>
      <c r="H179" t="str">
        <f>+_xlfn.XLOOKUP(F179,Sheet1!C:C,Sheet1!D:D,"N/A",0)</f>
        <v>250</v>
      </c>
    </row>
    <row r="180" spans="1:8" x14ac:dyDescent="0.25">
      <c r="A180" t="s">
        <v>251</v>
      </c>
      <c r="B180" t="s">
        <v>253</v>
      </c>
      <c r="C180" s="5">
        <v>5.0259999999999986E-4</v>
      </c>
      <c r="D180" s="3">
        <f t="shared" si="6"/>
        <v>0.51466239999999985</v>
      </c>
      <c r="E180" s="3">
        <f t="shared" si="7"/>
        <v>0.50012160000000005</v>
      </c>
      <c r="F180" t="str">
        <f t="shared" si="8"/>
        <v>FRA</v>
      </c>
      <c r="G180" t="str">
        <f>+_xlfn.XLOOKUP(F180,Sheet1!C:C,Sheet1!B:B,"N/A",0)</f>
        <v>FR</v>
      </c>
      <c r="H180" t="str">
        <f>+_xlfn.XLOOKUP(F180,Sheet1!C:C,Sheet1!D:D,"N/A",0)</f>
        <v>250</v>
      </c>
    </row>
    <row r="181" spans="1:8" x14ac:dyDescent="0.25">
      <c r="A181" t="s">
        <v>251</v>
      </c>
      <c r="B181" t="s">
        <v>254</v>
      </c>
      <c r="C181" s="5">
        <v>5.8129999999999987E-4</v>
      </c>
      <c r="D181" s="3">
        <f t="shared" si="6"/>
        <v>0.59525119999999987</v>
      </c>
      <c r="E181" s="3">
        <f t="shared" si="7"/>
        <v>0.50012160000000005</v>
      </c>
      <c r="F181" t="str">
        <f t="shared" si="8"/>
        <v>FRA</v>
      </c>
      <c r="G181" t="str">
        <f>+_xlfn.XLOOKUP(F181,Sheet1!C:C,Sheet1!B:B,"N/A",0)</f>
        <v>FR</v>
      </c>
      <c r="H181" t="str">
        <f>+_xlfn.XLOOKUP(F181,Sheet1!C:C,Sheet1!D:D,"N/A",0)</f>
        <v>250</v>
      </c>
    </row>
    <row r="182" spans="1:8" x14ac:dyDescent="0.25">
      <c r="A182" t="s">
        <v>251</v>
      </c>
      <c r="B182" t="s">
        <v>255</v>
      </c>
      <c r="C182" s="5">
        <v>8.6870000000000014E-4</v>
      </c>
      <c r="D182" s="3">
        <f t="shared" si="6"/>
        <v>0.88954880000000014</v>
      </c>
      <c r="E182" s="3">
        <f t="shared" si="7"/>
        <v>0.50012160000000005</v>
      </c>
      <c r="F182" t="str">
        <f t="shared" si="8"/>
        <v>FRA</v>
      </c>
      <c r="G182" t="str">
        <f>+_xlfn.XLOOKUP(F182,Sheet1!C:C,Sheet1!B:B,"N/A",0)</f>
        <v>FR</v>
      </c>
      <c r="H182" t="str">
        <f>+_xlfn.XLOOKUP(F182,Sheet1!C:C,Sheet1!D:D,"N/A",0)</f>
        <v>250</v>
      </c>
    </row>
    <row r="183" spans="1:8" x14ac:dyDescent="0.25">
      <c r="A183" t="s">
        <v>256</v>
      </c>
      <c r="B183" t="s">
        <v>257</v>
      </c>
      <c r="C183" s="5">
        <v>3.9167258644660495E-2</v>
      </c>
      <c r="D183" s="3">
        <f t="shared" si="6"/>
        <v>40.107272852132347</v>
      </c>
      <c r="E183" s="3">
        <f t="shared" si="7"/>
        <v>22.411545657413349</v>
      </c>
      <c r="F183" t="str">
        <f t="shared" si="8"/>
        <v>PYF</v>
      </c>
      <c r="G183" t="str">
        <f>+_xlfn.XLOOKUP(F183,Sheet1!C:C,Sheet1!B:B,"N/A",0)</f>
        <v>PF</v>
      </c>
      <c r="H183" t="str">
        <f>+_xlfn.XLOOKUP(F183,Sheet1!C:C,Sheet1!D:D,"N/A",0)</f>
        <v>258</v>
      </c>
    </row>
    <row r="184" spans="1:8" x14ac:dyDescent="0.25">
      <c r="A184" t="s">
        <v>256</v>
      </c>
      <c r="B184" t="s">
        <v>258</v>
      </c>
      <c r="C184" s="5">
        <v>2.1886275056067724E-2</v>
      </c>
      <c r="D184" s="3">
        <f t="shared" si="6"/>
        <v>22.411545657413349</v>
      </c>
      <c r="E184" s="3">
        <f t="shared" si="7"/>
        <v>22.411545657413349</v>
      </c>
      <c r="F184" t="str">
        <f t="shared" si="8"/>
        <v>PYF</v>
      </c>
      <c r="G184" t="str">
        <f>+_xlfn.XLOOKUP(F184,Sheet1!C:C,Sheet1!B:B,"N/A",0)</f>
        <v>PF</v>
      </c>
      <c r="H184" t="str">
        <f>+_xlfn.XLOOKUP(F184,Sheet1!C:C,Sheet1!D:D,"N/A",0)</f>
        <v>258</v>
      </c>
    </row>
    <row r="185" spans="1:8" x14ac:dyDescent="0.25">
      <c r="A185" t="s">
        <v>259</v>
      </c>
      <c r="B185" t="s">
        <v>260</v>
      </c>
      <c r="C185" s="5">
        <v>6.5758542702945978E-4</v>
      </c>
      <c r="D185" s="3">
        <f t="shared" si="6"/>
        <v>0.67336747727816681</v>
      </c>
      <c r="E185" s="3">
        <f t="shared" si="7"/>
        <v>0.59525119999999998</v>
      </c>
      <c r="F185" t="str">
        <f t="shared" si="8"/>
        <v>GUF</v>
      </c>
      <c r="G185" t="str">
        <f>+_xlfn.XLOOKUP(F185,Sheet1!C:C,Sheet1!B:B,"N/A",0)</f>
        <v>GF</v>
      </c>
      <c r="H185" t="str">
        <f>+_xlfn.XLOOKUP(F185,Sheet1!C:C,Sheet1!D:D,"N/A",0)</f>
        <v>254</v>
      </c>
    </row>
    <row r="186" spans="1:8" x14ac:dyDescent="0.25">
      <c r="A186" t="s">
        <v>259</v>
      </c>
      <c r="B186" t="s">
        <v>261</v>
      </c>
      <c r="C186" s="5">
        <v>1.287768191133248E-3</v>
      </c>
      <c r="D186" s="3">
        <f t="shared" si="6"/>
        <v>1.318674627720446</v>
      </c>
      <c r="E186" s="3">
        <f t="shared" si="7"/>
        <v>0.59525119999999998</v>
      </c>
      <c r="F186" t="str">
        <f t="shared" si="8"/>
        <v>GLP</v>
      </c>
      <c r="G186" t="str">
        <f>+_xlfn.XLOOKUP(F186,Sheet1!C:C,Sheet1!B:B,"N/A",0)</f>
        <v>GP</v>
      </c>
      <c r="H186" t="str">
        <f>+_xlfn.XLOOKUP(F186,Sheet1!C:C,Sheet1!D:D,"N/A",0)</f>
        <v>312</v>
      </c>
    </row>
    <row r="187" spans="1:8" x14ac:dyDescent="0.25">
      <c r="A187" t="s">
        <v>259</v>
      </c>
      <c r="B187" t="s">
        <v>262</v>
      </c>
      <c r="C187" s="5">
        <v>1.2655709557437679E-3</v>
      </c>
      <c r="D187" s="3">
        <f t="shared" si="6"/>
        <v>1.2959446586816183</v>
      </c>
      <c r="E187" s="3">
        <f t="shared" si="7"/>
        <v>0.59525119999999998</v>
      </c>
      <c r="F187" t="str">
        <f t="shared" si="8"/>
        <v>GLP</v>
      </c>
      <c r="G187" t="str">
        <f>+_xlfn.XLOOKUP(F187,Sheet1!C:C,Sheet1!B:B,"N/A",0)</f>
        <v>GP</v>
      </c>
      <c r="H187" t="str">
        <f>+_xlfn.XLOOKUP(F187,Sheet1!C:C,Sheet1!D:D,"N/A",0)</f>
        <v>312</v>
      </c>
    </row>
    <row r="188" spans="1:8" x14ac:dyDescent="0.25">
      <c r="A188" t="s">
        <v>259</v>
      </c>
      <c r="B188" t="s">
        <v>263</v>
      </c>
      <c r="C188" s="5"/>
      <c r="D188" s="3">
        <f t="shared" si="6"/>
        <v>0</v>
      </c>
      <c r="E188" s="3">
        <f t="shared" si="7"/>
        <v>0.59525119999999998</v>
      </c>
      <c r="F188" t="str">
        <f t="shared" si="8"/>
        <v>GLP</v>
      </c>
      <c r="G188" t="str">
        <f>+_xlfn.XLOOKUP(F188,Sheet1!C:C,Sheet1!B:B,"N/A",0)</f>
        <v>GP</v>
      </c>
      <c r="H188" t="str">
        <f>+_xlfn.XLOOKUP(F188,Sheet1!C:C,Sheet1!D:D,"N/A",0)</f>
        <v>312</v>
      </c>
    </row>
    <row r="189" spans="1:8" x14ac:dyDescent="0.25">
      <c r="A189" t="s">
        <v>259</v>
      </c>
      <c r="B189" t="s">
        <v>264</v>
      </c>
      <c r="C189" s="5">
        <v>5.8129999999999998E-4</v>
      </c>
      <c r="D189" s="3">
        <f t="shared" si="6"/>
        <v>0.59525119999999998</v>
      </c>
      <c r="E189" s="3">
        <f t="shared" si="7"/>
        <v>0.59525119999999998</v>
      </c>
      <c r="F189" t="str">
        <f t="shared" si="8"/>
        <v>MTQ</v>
      </c>
      <c r="G189" t="str">
        <f>+_xlfn.XLOOKUP(F189,Sheet1!C:C,Sheet1!B:B,"N/A",0)</f>
        <v>MQ</v>
      </c>
      <c r="H189" t="str">
        <f>+_xlfn.XLOOKUP(F189,Sheet1!C:C,Sheet1!D:D,"N/A",0)</f>
        <v>474</v>
      </c>
    </row>
    <row r="190" spans="1:8" x14ac:dyDescent="0.25">
      <c r="A190" t="s">
        <v>259</v>
      </c>
      <c r="B190" t="s">
        <v>265</v>
      </c>
      <c r="C190" s="5">
        <v>3.3447882253606754E-3</v>
      </c>
      <c r="D190" s="3">
        <f t="shared" si="6"/>
        <v>3.4250631427693317</v>
      </c>
      <c r="E190" s="3">
        <f t="shared" si="7"/>
        <v>0.59525119999999998</v>
      </c>
      <c r="F190" t="str">
        <f t="shared" si="8"/>
        <v>GLP</v>
      </c>
      <c r="G190" t="str">
        <f>+_xlfn.XLOOKUP(F190,Sheet1!C:C,Sheet1!B:B,"N/A",0)</f>
        <v>GP</v>
      </c>
      <c r="H190" t="str">
        <f>+_xlfn.XLOOKUP(F190,Sheet1!C:C,Sheet1!D:D,"N/A",0)</f>
        <v>312</v>
      </c>
    </row>
    <row r="191" spans="1:8" x14ac:dyDescent="0.25">
      <c r="A191" t="s">
        <v>266</v>
      </c>
      <c r="B191" t="s">
        <v>267</v>
      </c>
      <c r="C191" s="5">
        <v>1.951499999789362E-3</v>
      </c>
      <c r="D191" s="3">
        <f t="shared" si="6"/>
        <v>1.9983359997843066</v>
      </c>
      <c r="E191" s="3">
        <f t="shared" si="7"/>
        <v>1.9983359997843066</v>
      </c>
      <c r="F191" t="str">
        <f t="shared" si="8"/>
        <v>GAB</v>
      </c>
      <c r="G191" t="str">
        <f>+_xlfn.XLOOKUP(F191,Sheet1!C:C,Sheet1!B:B,"N/A",0)</f>
        <v>GA</v>
      </c>
      <c r="H191" t="str">
        <f>+_xlfn.XLOOKUP(F191,Sheet1!C:C,Sheet1!D:D,"N/A",0)</f>
        <v>266</v>
      </c>
    </row>
    <row r="192" spans="1:8" x14ac:dyDescent="0.25">
      <c r="A192" t="s">
        <v>266</v>
      </c>
      <c r="B192" t="s">
        <v>268</v>
      </c>
      <c r="C192" s="5">
        <v>8.0000000014156403E-3</v>
      </c>
      <c r="D192" s="3">
        <f t="shared" si="6"/>
        <v>8.1920000014496157</v>
      </c>
      <c r="E192" s="3">
        <f t="shared" si="7"/>
        <v>1.9983359997843066</v>
      </c>
      <c r="F192" t="str">
        <f t="shared" si="8"/>
        <v>GAB</v>
      </c>
      <c r="G192" t="str">
        <f>+_xlfn.XLOOKUP(F192,Sheet1!C:C,Sheet1!B:B,"N/A",0)</f>
        <v>GA</v>
      </c>
      <c r="H192" t="str">
        <f>+_xlfn.XLOOKUP(F192,Sheet1!C:C,Sheet1!D:D,"N/A",0)</f>
        <v>266</v>
      </c>
    </row>
    <row r="193" spans="1:8" x14ac:dyDescent="0.25">
      <c r="A193" t="s">
        <v>269</v>
      </c>
      <c r="B193" t="s">
        <v>270</v>
      </c>
      <c r="C193" s="5">
        <v>1.69690000026838E-3</v>
      </c>
      <c r="D193" s="3">
        <f t="shared" si="6"/>
        <v>1.7376256002748212</v>
      </c>
      <c r="E193" s="3">
        <f t="shared" si="7"/>
        <v>1.7376256002748212</v>
      </c>
      <c r="F193" t="str">
        <f t="shared" si="8"/>
        <v>GMB</v>
      </c>
      <c r="G193" t="str">
        <f>+_xlfn.XLOOKUP(F193,Sheet1!C:C,Sheet1!B:B,"N/A",0)</f>
        <v>GM</v>
      </c>
      <c r="H193" t="str">
        <f>+_xlfn.XLOOKUP(F193,Sheet1!C:C,Sheet1!D:D,"N/A",0)</f>
        <v>270</v>
      </c>
    </row>
    <row r="194" spans="1:8" x14ac:dyDescent="0.25">
      <c r="A194" t="s">
        <v>269</v>
      </c>
      <c r="B194" t="s">
        <v>271</v>
      </c>
      <c r="C194" s="5">
        <v>5.0000000000000001E-3</v>
      </c>
      <c r="D194" s="3">
        <f t="shared" si="6"/>
        <v>5.12</v>
      </c>
      <c r="E194" s="3">
        <f t="shared" si="7"/>
        <v>1.7376256002748212</v>
      </c>
      <c r="F194" t="str">
        <f t="shared" si="8"/>
        <v>GMB</v>
      </c>
      <c r="G194" t="str">
        <f>+_xlfn.XLOOKUP(F194,Sheet1!C:C,Sheet1!B:B,"N/A",0)</f>
        <v>GM</v>
      </c>
      <c r="H194" t="str">
        <f>+_xlfn.XLOOKUP(F194,Sheet1!C:C,Sheet1!D:D,"N/A",0)</f>
        <v>270</v>
      </c>
    </row>
    <row r="195" spans="1:8" x14ac:dyDescent="0.25">
      <c r="A195" t="s">
        <v>269</v>
      </c>
      <c r="B195" t="s">
        <v>272</v>
      </c>
      <c r="C195" s="5">
        <v>2.3000000000000004E-3</v>
      </c>
      <c r="D195" s="3">
        <f t="shared" ref="D195:D258" si="9">C195*1024</f>
        <v>2.3552000000000004</v>
      </c>
      <c r="E195" s="3">
        <f t="shared" ref="E195:E258" si="10">_xlfn.MINIFS(D:D,A:A,A195,D:D,"&lt;&gt;0")</f>
        <v>1.7376256002748212</v>
      </c>
      <c r="F195" t="str">
        <f t="shared" ref="F195:F258" si="11">_xlfn.TEXTBEFORE(_xlfn.TEXTAFTER(B195,"("),")")</f>
        <v>GMB</v>
      </c>
      <c r="G195" t="str">
        <f>+_xlfn.XLOOKUP(F195,Sheet1!C:C,Sheet1!B:B,"N/A",0)</f>
        <v>GM</v>
      </c>
      <c r="H195" t="str">
        <f>+_xlfn.XLOOKUP(F195,Sheet1!C:C,Sheet1!D:D,"N/A",0)</f>
        <v>270</v>
      </c>
    </row>
    <row r="196" spans="1:8" x14ac:dyDescent="0.25">
      <c r="A196" t="s">
        <v>273</v>
      </c>
      <c r="B196" t="s">
        <v>274</v>
      </c>
      <c r="C196" s="5">
        <v>1.0375601425331872E-3</v>
      </c>
      <c r="D196" s="3">
        <f t="shared" si="9"/>
        <v>1.0624615859539837</v>
      </c>
      <c r="E196" s="3">
        <f t="shared" si="10"/>
        <v>0.71679999999999977</v>
      </c>
      <c r="F196" t="str">
        <f t="shared" si="11"/>
        <v>GEO</v>
      </c>
      <c r="G196" t="str">
        <f>+_xlfn.XLOOKUP(F196,Sheet1!C:C,Sheet1!B:B,"N/A",0)</f>
        <v>GE</v>
      </c>
      <c r="H196" t="str">
        <f>+_xlfn.XLOOKUP(F196,Sheet1!C:C,Sheet1!D:D,"N/A",0)</f>
        <v>268</v>
      </c>
    </row>
    <row r="197" spans="1:8" x14ac:dyDescent="0.25">
      <c r="A197" t="s">
        <v>273</v>
      </c>
      <c r="B197" t="s">
        <v>275</v>
      </c>
      <c r="C197" s="5">
        <v>6.9999999999999978E-4</v>
      </c>
      <c r="D197" s="3">
        <f t="shared" si="9"/>
        <v>0.71679999999999977</v>
      </c>
      <c r="E197" s="3">
        <f t="shared" si="10"/>
        <v>0.71679999999999977</v>
      </c>
      <c r="F197" t="str">
        <f t="shared" si="11"/>
        <v>GEO</v>
      </c>
      <c r="G197" t="str">
        <f>+_xlfn.XLOOKUP(F197,Sheet1!C:C,Sheet1!B:B,"N/A",0)</f>
        <v>GE</v>
      </c>
      <c r="H197" t="str">
        <f>+_xlfn.XLOOKUP(F197,Sheet1!C:C,Sheet1!D:D,"N/A",0)</f>
        <v>268</v>
      </c>
    </row>
    <row r="198" spans="1:8" x14ac:dyDescent="0.25">
      <c r="A198" t="s">
        <v>273</v>
      </c>
      <c r="B198" t="s">
        <v>276</v>
      </c>
      <c r="C198" s="5">
        <v>4.1996141231079335E-3</v>
      </c>
      <c r="D198" s="3">
        <f t="shared" si="9"/>
        <v>4.3004048620625239</v>
      </c>
      <c r="E198" s="3">
        <f t="shared" si="10"/>
        <v>0.71679999999999977</v>
      </c>
      <c r="F198" t="str">
        <f t="shared" si="11"/>
        <v>GEO</v>
      </c>
      <c r="G198" t="str">
        <f>+_xlfn.XLOOKUP(F198,Sheet1!C:C,Sheet1!B:B,"N/A",0)</f>
        <v>GE</v>
      </c>
      <c r="H198" t="str">
        <f>+_xlfn.XLOOKUP(F198,Sheet1!C:C,Sheet1!D:D,"N/A",0)</f>
        <v>268</v>
      </c>
    </row>
    <row r="199" spans="1:8" x14ac:dyDescent="0.25">
      <c r="A199" t="s">
        <v>277</v>
      </c>
      <c r="B199" t="s">
        <v>278</v>
      </c>
      <c r="C199" s="5">
        <v>6.8975646787053531E-4</v>
      </c>
      <c r="D199" s="3">
        <f t="shared" si="9"/>
        <v>0.70631062309942816</v>
      </c>
      <c r="E199" s="3">
        <f t="shared" si="10"/>
        <v>0.68751359999999984</v>
      </c>
      <c r="F199" t="str">
        <f t="shared" si="11"/>
        <v>DEU</v>
      </c>
      <c r="G199" t="str">
        <f>+_xlfn.XLOOKUP(F199,Sheet1!C:C,Sheet1!B:B,"N/A",0)</f>
        <v>DE</v>
      </c>
      <c r="H199" t="str">
        <f>+_xlfn.XLOOKUP(F199,Sheet1!C:C,Sheet1!D:D,"N/A",0)</f>
        <v>276</v>
      </c>
    </row>
    <row r="200" spans="1:8" x14ac:dyDescent="0.25">
      <c r="A200" t="s">
        <v>277</v>
      </c>
      <c r="B200" t="s">
        <v>279</v>
      </c>
      <c r="C200" s="5">
        <v>6.7139999999999984E-4</v>
      </c>
      <c r="D200" s="3">
        <f t="shared" si="9"/>
        <v>0.68751359999999984</v>
      </c>
      <c r="E200" s="3">
        <f t="shared" si="10"/>
        <v>0.68751359999999984</v>
      </c>
      <c r="F200" t="str">
        <f t="shared" si="11"/>
        <v>DEU</v>
      </c>
      <c r="G200" t="str">
        <f>+_xlfn.XLOOKUP(F200,Sheet1!C:C,Sheet1!B:B,"N/A",0)</f>
        <v>DE</v>
      </c>
      <c r="H200" t="str">
        <f>+_xlfn.XLOOKUP(F200,Sheet1!C:C,Sheet1!D:D,"N/A",0)</f>
        <v>276</v>
      </c>
    </row>
    <row r="201" spans="1:8" x14ac:dyDescent="0.25">
      <c r="A201" t="s">
        <v>277</v>
      </c>
      <c r="B201" t="s">
        <v>280</v>
      </c>
      <c r="C201" s="5">
        <v>8.9739999999999991E-4</v>
      </c>
      <c r="D201" s="3">
        <f t="shared" si="9"/>
        <v>0.91893759999999991</v>
      </c>
      <c r="E201" s="3">
        <f t="shared" si="10"/>
        <v>0.68751359999999984</v>
      </c>
      <c r="F201" t="str">
        <f t="shared" si="11"/>
        <v>DEU</v>
      </c>
      <c r="G201" t="str">
        <f>+_xlfn.XLOOKUP(F201,Sheet1!C:C,Sheet1!B:B,"N/A",0)</f>
        <v>DE</v>
      </c>
      <c r="H201" t="str">
        <f>+_xlfn.XLOOKUP(F201,Sheet1!C:C,Sheet1!D:D,"N/A",0)</f>
        <v>276</v>
      </c>
    </row>
    <row r="202" spans="1:8" x14ac:dyDescent="0.25">
      <c r="A202" t="s">
        <v>281</v>
      </c>
      <c r="B202" t="s">
        <v>282</v>
      </c>
      <c r="C202" s="5">
        <v>1.8592046011352518E-3</v>
      </c>
      <c r="D202" s="3">
        <f t="shared" si="9"/>
        <v>1.9038255115624978</v>
      </c>
      <c r="E202" s="3">
        <f t="shared" si="10"/>
        <v>1.5204351996133618</v>
      </c>
      <c r="F202" t="str">
        <f t="shared" si="11"/>
        <v>GHA</v>
      </c>
      <c r="G202" t="str">
        <f>+_xlfn.XLOOKUP(F202,Sheet1!C:C,Sheet1!B:B,"N/A",0)</f>
        <v>GH</v>
      </c>
      <c r="H202" t="str">
        <f>+_xlfn.XLOOKUP(F202,Sheet1!C:C,Sheet1!D:D,"N/A",0)</f>
        <v>288</v>
      </c>
    </row>
    <row r="203" spans="1:8" x14ac:dyDescent="0.25">
      <c r="A203" t="s">
        <v>281</v>
      </c>
      <c r="B203" t="s">
        <v>283</v>
      </c>
      <c r="C203" s="5">
        <v>1.4847999996224237E-3</v>
      </c>
      <c r="D203" s="3">
        <f t="shared" si="9"/>
        <v>1.5204351996133618</v>
      </c>
      <c r="E203" s="3">
        <f t="shared" si="10"/>
        <v>1.5204351996133618</v>
      </c>
      <c r="F203" t="str">
        <f t="shared" si="11"/>
        <v>GHA</v>
      </c>
      <c r="G203" t="str">
        <f>+_xlfn.XLOOKUP(F203,Sheet1!C:C,Sheet1!B:B,"N/A",0)</f>
        <v>GH</v>
      </c>
      <c r="H203" t="str">
        <f>+_xlfn.XLOOKUP(F203,Sheet1!C:C,Sheet1!D:D,"N/A",0)</f>
        <v>288</v>
      </c>
    </row>
    <row r="204" spans="1:8" x14ac:dyDescent="0.25">
      <c r="A204" t="s">
        <v>281</v>
      </c>
      <c r="B204" t="s">
        <v>284</v>
      </c>
      <c r="C204" s="5">
        <v>5.9925952349700901E-3</v>
      </c>
      <c r="D204" s="3">
        <f t="shared" si="9"/>
        <v>6.1364175206093723</v>
      </c>
      <c r="E204" s="3">
        <f t="shared" si="10"/>
        <v>1.5204351996133618</v>
      </c>
      <c r="F204" t="str">
        <f t="shared" si="11"/>
        <v>GHA</v>
      </c>
      <c r="G204" t="str">
        <f>+_xlfn.XLOOKUP(F204,Sheet1!C:C,Sheet1!B:B,"N/A",0)</f>
        <v>GH</v>
      </c>
      <c r="H204" t="str">
        <f>+_xlfn.XLOOKUP(F204,Sheet1!C:C,Sheet1!D:D,"N/A",0)</f>
        <v>288</v>
      </c>
    </row>
    <row r="205" spans="1:8" x14ac:dyDescent="0.25">
      <c r="A205" t="s">
        <v>285</v>
      </c>
      <c r="B205" t="s">
        <v>286</v>
      </c>
      <c r="C205" s="5">
        <v>1.1000000000000001E-3</v>
      </c>
      <c r="D205" s="3">
        <f t="shared" si="9"/>
        <v>1.1264000000000001</v>
      </c>
      <c r="E205" s="3">
        <f t="shared" si="10"/>
        <v>1.1264000000000001</v>
      </c>
      <c r="F205" t="str">
        <f t="shared" si="11"/>
        <v>GIB</v>
      </c>
      <c r="G205" t="str">
        <f>+_xlfn.XLOOKUP(F205,Sheet1!C:C,Sheet1!B:B,"N/A",0)</f>
        <v>GI</v>
      </c>
      <c r="H205" t="str">
        <f>+_xlfn.XLOOKUP(F205,Sheet1!C:C,Sheet1!D:D,"N/A",0)</f>
        <v>292</v>
      </c>
    </row>
    <row r="206" spans="1:8" x14ac:dyDescent="0.25">
      <c r="A206" t="s">
        <v>287</v>
      </c>
      <c r="B206" t="s">
        <v>288</v>
      </c>
      <c r="C206" s="5">
        <v>5.9171509954296961E-4</v>
      </c>
      <c r="D206" s="3">
        <f t="shared" si="9"/>
        <v>0.60591626193200088</v>
      </c>
      <c r="E206" s="3">
        <f t="shared" si="10"/>
        <v>0.60591626193200088</v>
      </c>
      <c r="F206" t="str">
        <f t="shared" si="11"/>
        <v>GRC</v>
      </c>
      <c r="G206" t="str">
        <f>+_xlfn.XLOOKUP(F206,Sheet1!C:C,Sheet1!B:B,"N/A",0)</f>
        <v>GR</v>
      </c>
      <c r="H206" t="str">
        <f>+_xlfn.XLOOKUP(F206,Sheet1!C:C,Sheet1!D:D,"N/A",0)</f>
        <v>300</v>
      </c>
    </row>
    <row r="207" spans="1:8" x14ac:dyDescent="0.25">
      <c r="A207" t="s">
        <v>287</v>
      </c>
      <c r="B207" t="s">
        <v>289</v>
      </c>
      <c r="C207" s="5">
        <v>8.9739999999999991E-4</v>
      </c>
      <c r="D207" s="3">
        <f t="shared" si="9"/>
        <v>0.91893759999999991</v>
      </c>
      <c r="E207" s="3">
        <f t="shared" si="10"/>
        <v>0.60591626193200088</v>
      </c>
      <c r="F207" t="str">
        <f t="shared" si="11"/>
        <v>GRC</v>
      </c>
      <c r="G207" t="str">
        <f>+_xlfn.XLOOKUP(F207,Sheet1!C:C,Sheet1!B:B,"N/A",0)</f>
        <v>GR</v>
      </c>
      <c r="H207" t="str">
        <f>+_xlfn.XLOOKUP(F207,Sheet1!C:C,Sheet1!D:D,"N/A",0)</f>
        <v>300</v>
      </c>
    </row>
    <row r="208" spans="1:8" x14ac:dyDescent="0.25">
      <c r="A208" t="s">
        <v>287</v>
      </c>
      <c r="B208" t="s">
        <v>290</v>
      </c>
      <c r="C208" s="5">
        <v>7.3779999999999994E-4</v>
      </c>
      <c r="D208" s="3">
        <f t="shared" si="9"/>
        <v>0.75550719999999993</v>
      </c>
      <c r="E208" s="3">
        <f t="shared" si="10"/>
        <v>0.60591626193200088</v>
      </c>
      <c r="F208" t="str">
        <f t="shared" si="11"/>
        <v>GRC</v>
      </c>
      <c r="G208" t="str">
        <f>+_xlfn.XLOOKUP(F208,Sheet1!C:C,Sheet1!B:B,"N/A",0)</f>
        <v>GR</v>
      </c>
      <c r="H208" t="str">
        <f>+_xlfn.XLOOKUP(F208,Sheet1!C:C,Sheet1!D:D,"N/A",0)</f>
        <v>300</v>
      </c>
    </row>
    <row r="209" spans="1:8" x14ac:dyDescent="0.25">
      <c r="A209" t="s">
        <v>291</v>
      </c>
      <c r="B209" t="s">
        <v>292</v>
      </c>
      <c r="C209" s="5">
        <v>3.0012969305620138E-3</v>
      </c>
      <c r="D209" s="3">
        <f t="shared" si="9"/>
        <v>3.0733280568955021</v>
      </c>
      <c r="E209" s="3">
        <f t="shared" si="10"/>
        <v>3.0733280568955021</v>
      </c>
      <c r="F209" t="str">
        <f t="shared" si="11"/>
        <v>GRL</v>
      </c>
      <c r="G209" t="str">
        <f>+_xlfn.XLOOKUP(F209,Sheet1!C:C,Sheet1!B:B,"N/A",0)</f>
        <v>GL</v>
      </c>
      <c r="H209" t="str">
        <f>+_xlfn.XLOOKUP(F209,Sheet1!C:C,Sheet1!D:D,"N/A",0)</f>
        <v>304</v>
      </c>
    </row>
    <row r="210" spans="1:8" x14ac:dyDescent="0.25">
      <c r="A210" t="s">
        <v>293</v>
      </c>
      <c r="B210" t="s">
        <v>294</v>
      </c>
      <c r="C210" s="5">
        <v>2.5454000011282947E-3</v>
      </c>
      <c r="D210" s="3">
        <f t="shared" si="9"/>
        <v>2.6064896011553738</v>
      </c>
      <c r="E210" s="3">
        <f t="shared" si="10"/>
        <v>2.6064896011553738</v>
      </c>
      <c r="F210" t="str">
        <f t="shared" si="11"/>
        <v>GRD</v>
      </c>
      <c r="G210" t="str">
        <f>+_xlfn.XLOOKUP(F210,Sheet1!C:C,Sheet1!B:B,"N/A",0)</f>
        <v>GD</v>
      </c>
      <c r="H210" t="str">
        <f>+_xlfn.XLOOKUP(F210,Sheet1!C:C,Sheet1!D:D,"N/A",0)</f>
        <v>308</v>
      </c>
    </row>
    <row r="211" spans="1:8" x14ac:dyDescent="0.25">
      <c r="A211" t="s">
        <v>295</v>
      </c>
      <c r="B211" t="s">
        <v>296</v>
      </c>
      <c r="C211" s="5">
        <v>6.7876962120206816E-3</v>
      </c>
      <c r="D211" s="3">
        <f t="shared" si="9"/>
        <v>6.9506009211091779</v>
      </c>
      <c r="E211" s="3">
        <f t="shared" si="10"/>
        <v>0.69528283452718531</v>
      </c>
      <c r="F211" t="str">
        <f t="shared" si="11"/>
        <v>GUM</v>
      </c>
      <c r="G211" t="str">
        <f>+_xlfn.XLOOKUP(F211,Sheet1!C:C,Sheet1!B:B,"N/A",0)</f>
        <v>GU</v>
      </c>
      <c r="H211" t="str">
        <f>+_xlfn.XLOOKUP(F211,Sheet1!C:C,Sheet1!D:D,"N/A",0)</f>
        <v>316</v>
      </c>
    </row>
    <row r="212" spans="1:8" x14ac:dyDescent="0.25">
      <c r="A212" t="s">
        <v>295</v>
      </c>
      <c r="B212" t="s">
        <v>297</v>
      </c>
      <c r="C212" s="5">
        <v>10.825443453054682</v>
      </c>
      <c r="D212" s="3">
        <f t="shared" si="9"/>
        <v>11085.254095927994</v>
      </c>
      <c r="E212" s="3">
        <f t="shared" si="10"/>
        <v>0.69528283452718531</v>
      </c>
      <c r="F212" t="str">
        <f t="shared" si="11"/>
        <v>GUM</v>
      </c>
      <c r="G212" t="str">
        <f>+_xlfn.XLOOKUP(F212,Sheet1!C:C,Sheet1!B:B,"N/A",0)</f>
        <v>GU</v>
      </c>
      <c r="H212" t="str">
        <f>+_xlfn.XLOOKUP(F212,Sheet1!C:C,Sheet1!D:D,"N/A",0)</f>
        <v>316</v>
      </c>
    </row>
    <row r="213" spans="1:8" x14ac:dyDescent="0.25">
      <c r="A213" t="s">
        <v>295</v>
      </c>
      <c r="B213" t="s">
        <v>298</v>
      </c>
      <c r="C213" s="5">
        <v>6.7898714309295441E-4</v>
      </c>
      <c r="D213" s="3">
        <f t="shared" si="9"/>
        <v>0.69528283452718531</v>
      </c>
      <c r="E213" s="3">
        <f t="shared" si="10"/>
        <v>0.69528283452718531</v>
      </c>
      <c r="F213" t="str">
        <f t="shared" si="11"/>
        <v>GUM</v>
      </c>
      <c r="G213" t="str">
        <f>+_xlfn.XLOOKUP(F213,Sheet1!C:C,Sheet1!B:B,"N/A",0)</f>
        <v>GU</v>
      </c>
      <c r="H213" t="str">
        <f>+_xlfn.XLOOKUP(F213,Sheet1!C:C,Sheet1!D:D,"N/A",0)</f>
        <v>316</v>
      </c>
    </row>
    <row r="214" spans="1:8" x14ac:dyDescent="0.25">
      <c r="A214" t="s">
        <v>299</v>
      </c>
      <c r="B214" t="s">
        <v>300</v>
      </c>
      <c r="C214" s="5">
        <v>9.2175364761520222E-4</v>
      </c>
      <c r="D214" s="3">
        <f t="shared" si="9"/>
        <v>0.94387573515796708</v>
      </c>
      <c r="E214" s="3">
        <f t="shared" si="10"/>
        <v>0.94387573515796708</v>
      </c>
      <c r="F214" t="str">
        <f t="shared" si="11"/>
        <v>GTM</v>
      </c>
      <c r="G214" t="str">
        <f>+_xlfn.XLOOKUP(F214,Sheet1!C:C,Sheet1!B:B,"N/A",0)</f>
        <v>GT</v>
      </c>
      <c r="H214" t="str">
        <f>+_xlfn.XLOOKUP(F214,Sheet1!C:C,Sheet1!D:D,"N/A",0)</f>
        <v>320</v>
      </c>
    </row>
    <row r="215" spans="1:8" x14ac:dyDescent="0.25">
      <c r="A215" t="s">
        <v>299</v>
      </c>
      <c r="B215" t="s">
        <v>301</v>
      </c>
      <c r="C215" s="5">
        <v>1.8226999998907456E-3</v>
      </c>
      <c r="D215" s="3">
        <f t="shared" si="9"/>
        <v>1.8664447998881235</v>
      </c>
      <c r="E215" s="3">
        <f t="shared" si="10"/>
        <v>0.94387573515796708</v>
      </c>
      <c r="F215" t="str">
        <f t="shared" si="11"/>
        <v>GTM</v>
      </c>
      <c r="G215" t="str">
        <f>+_xlfn.XLOOKUP(F215,Sheet1!C:C,Sheet1!B:B,"N/A",0)</f>
        <v>GT</v>
      </c>
      <c r="H215" t="str">
        <f>+_xlfn.XLOOKUP(F215,Sheet1!C:C,Sheet1!D:D,"N/A",0)</f>
        <v>320</v>
      </c>
    </row>
    <row r="216" spans="1:8" x14ac:dyDescent="0.25">
      <c r="A216" t="s">
        <v>302</v>
      </c>
      <c r="B216" t="s">
        <v>303</v>
      </c>
      <c r="C216" s="5"/>
      <c r="D216" s="3">
        <f t="shared" si="9"/>
        <v>0</v>
      </c>
      <c r="E216" s="3">
        <f t="shared" si="10"/>
        <v>1.9686400129881143</v>
      </c>
      <c r="F216" t="str">
        <f t="shared" si="11"/>
        <v>GIN</v>
      </c>
      <c r="G216" t="str">
        <f>+_xlfn.XLOOKUP(F216,Sheet1!C:C,Sheet1!B:B,"N/A",0)</f>
        <v>GN</v>
      </c>
      <c r="H216" t="str">
        <f>+_xlfn.XLOOKUP(F216,Sheet1!C:C,Sheet1!D:D,"N/A",0)</f>
        <v>324</v>
      </c>
    </row>
    <row r="217" spans="1:8" x14ac:dyDescent="0.25">
      <c r="A217" t="s">
        <v>302</v>
      </c>
      <c r="B217" t="s">
        <v>304</v>
      </c>
      <c r="C217" s="5">
        <v>4.3725551522586677E-3</v>
      </c>
      <c r="D217" s="3">
        <f t="shared" si="9"/>
        <v>4.4774964759128757</v>
      </c>
      <c r="E217" s="3">
        <f t="shared" si="10"/>
        <v>1.9686400129881143</v>
      </c>
      <c r="F217" t="str">
        <f t="shared" si="11"/>
        <v>GIN</v>
      </c>
      <c r="G217" t="str">
        <f>+_xlfn.XLOOKUP(F217,Sheet1!C:C,Sheet1!B:B,"N/A",0)</f>
        <v>GN</v>
      </c>
      <c r="H217" t="str">
        <f>+_xlfn.XLOOKUP(F217,Sheet1!C:C,Sheet1!D:D,"N/A",0)</f>
        <v>324</v>
      </c>
    </row>
    <row r="218" spans="1:8" x14ac:dyDescent="0.25">
      <c r="A218" t="s">
        <v>302</v>
      </c>
      <c r="B218" t="s">
        <v>305</v>
      </c>
      <c r="C218" s="5">
        <v>1.9225000126837054E-3</v>
      </c>
      <c r="D218" s="3">
        <f t="shared" si="9"/>
        <v>1.9686400129881143</v>
      </c>
      <c r="E218" s="3">
        <f t="shared" si="10"/>
        <v>1.9686400129881143</v>
      </c>
      <c r="F218" t="str">
        <f t="shared" si="11"/>
        <v>GIN</v>
      </c>
      <c r="G218" t="str">
        <f>+_xlfn.XLOOKUP(F218,Sheet1!C:C,Sheet1!B:B,"N/A",0)</f>
        <v>GN</v>
      </c>
      <c r="H218" t="str">
        <f>+_xlfn.XLOOKUP(F218,Sheet1!C:C,Sheet1!D:D,"N/A",0)</f>
        <v>324</v>
      </c>
    </row>
    <row r="219" spans="1:8" x14ac:dyDescent="0.25">
      <c r="A219" t="s">
        <v>306</v>
      </c>
      <c r="B219" t="s">
        <v>307</v>
      </c>
      <c r="C219" s="5">
        <v>5.0968520045398943E-3</v>
      </c>
      <c r="D219" s="3">
        <f t="shared" si="9"/>
        <v>5.2191764526488518</v>
      </c>
      <c r="E219" s="3">
        <f t="shared" si="10"/>
        <v>1.9686400091585208</v>
      </c>
      <c r="F219" t="str">
        <f t="shared" si="11"/>
        <v>GNB</v>
      </c>
      <c r="G219" t="str">
        <f>+_xlfn.XLOOKUP(F219,Sheet1!C:C,Sheet1!B:B,"N/A",0)</f>
        <v>GW</v>
      </c>
      <c r="H219" t="str">
        <f>+_xlfn.XLOOKUP(F219,Sheet1!C:C,Sheet1!D:D,"N/A",0)</f>
        <v>624</v>
      </c>
    </row>
    <row r="220" spans="1:8" x14ac:dyDescent="0.25">
      <c r="A220" t="s">
        <v>306</v>
      </c>
      <c r="B220" t="s">
        <v>308</v>
      </c>
      <c r="C220" s="5">
        <v>1.9225000089438679E-3</v>
      </c>
      <c r="D220" s="3">
        <f t="shared" si="9"/>
        <v>1.9686400091585208</v>
      </c>
      <c r="E220" s="3">
        <f t="shared" si="10"/>
        <v>1.9686400091585208</v>
      </c>
      <c r="F220" t="str">
        <f t="shared" si="11"/>
        <v>GNB</v>
      </c>
      <c r="G220" t="str">
        <f>+_xlfn.XLOOKUP(F220,Sheet1!C:C,Sheet1!B:B,"N/A",0)</f>
        <v>GW</v>
      </c>
      <c r="H220" t="str">
        <f>+_xlfn.XLOOKUP(F220,Sheet1!C:C,Sheet1!D:D,"N/A",0)</f>
        <v>624</v>
      </c>
    </row>
    <row r="221" spans="1:8" x14ac:dyDescent="0.25">
      <c r="A221" t="s">
        <v>309</v>
      </c>
      <c r="B221" t="s">
        <v>310</v>
      </c>
      <c r="C221" s="5">
        <v>2.5454000001976706E-3</v>
      </c>
      <c r="D221" s="3">
        <f t="shared" si="9"/>
        <v>2.6064896002024147</v>
      </c>
      <c r="E221" s="3">
        <f t="shared" si="10"/>
        <v>0.8688639735854059</v>
      </c>
      <c r="F221" t="str">
        <f t="shared" si="11"/>
        <v>GUY</v>
      </c>
      <c r="G221" t="str">
        <f>+_xlfn.XLOOKUP(F221,Sheet1!C:C,Sheet1!B:B,"N/A",0)</f>
        <v>GY</v>
      </c>
      <c r="H221" t="str">
        <f>+_xlfn.XLOOKUP(F221,Sheet1!C:C,Sheet1!D:D,"N/A",0)</f>
        <v>328</v>
      </c>
    </row>
    <row r="222" spans="1:8" x14ac:dyDescent="0.25">
      <c r="A222" t="s">
        <v>309</v>
      </c>
      <c r="B222" t="s">
        <v>311</v>
      </c>
      <c r="C222" s="5">
        <v>8.4849997420449795E-4</v>
      </c>
      <c r="D222" s="3">
        <f t="shared" si="9"/>
        <v>0.8688639735854059</v>
      </c>
      <c r="E222" s="3">
        <f t="shared" si="10"/>
        <v>0.8688639735854059</v>
      </c>
      <c r="F222" t="str">
        <f t="shared" si="11"/>
        <v>GUY</v>
      </c>
      <c r="G222" t="str">
        <f>+_xlfn.XLOOKUP(F222,Sheet1!C:C,Sheet1!B:B,"N/A",0)</f>
        <v>GY</v>
      </c>
      <c r="H222" t="str">
        <f>+_xlfn.XLOOKUP(F222,Sheet1!C:C,Sheet1!D:D,"N/A",0)</f>
        <v>328</v>
      </c>
    </row>
    <row r="223" spans="1:8" x14ac:dyDescent="0.25">
      <c r="A223" t="s">
        <v>312</v>
      </c>
      <c r="B223" t="s">
        <v>313</v>
      </c>
      <c r="C223" s="5">
        <v>2.574582759165393E-2</v>
      </c>
      <c r="D223" s="3">
        <f t="shared" si="9"/>
        <v>26.363727453853624</v>
      </c>
      <c r="E223" s="3">
        <f t="shared" si="10"/>
        <v>26.363727453853624</v>
      </c>
      <c r="F223" t="str">
        <f t="shared" si="11"/>
        <v>HTI</v>
      </c>
      <c r="G223" t="str">
        <f>+_xlfn.XLOOKUP(F223,Sheet1!C:C,Sheet1!B:B,"N/A",0)</f>
        <v>HT</v>
      </c>
      <c r="H223" t="str">
        <f>+_xlfn.XLOOKUP(F223,Sheet1!C:C,Sheet1!D:D,"N/A",0)</f>
        <v>332</v>
      </c>
    </row>
    <row r="224" spans="1:8" x14ac:dyDescent="0.25">
      <c r="A224" t="s">
        <v>314</v>
      </c>
      <c r="B224" t="s">
        <v>315</v>
      </c>
      <c r="C224" s="5">
        <v>1.0680631471145904E-3</v>
      </c>
      <c r="D224" s="3">
        <f t="shared" si="9"/>
        <v>1.0936966626453406</v>
      </c>
      <c r="E224" s="3">
        <f t="shared" si="10"/>
        <v>1.0936966626453406</v>
      </c>
      <c r="F224" t="str">
        <f t="shared" si="11"/>
        <v>HND</v>
      </c>
      <c r="G224" t="str">
        <f>+_xlfn.XLOOKUP(F224,Sheet1!C:C,Sheet1!B:B,"N/A",0)</f>
        <v>HN</v>
      </c>
      <c r="H224" t="str">
        <f>+_xlfn.XLOOKUP(F224,Sheet1!C:C,Sheet1!D:D,"N/A",0)</f>
        <v>340</v>
      </c>
    </row>
    <row r="225" spans="1:8" x14ac:dyDescent="0.25">
      <c r="A225" t="s">
        <v>314</v>
      </c>
      <c r="B225" t="s">
        <v>316</v>
      </c>
      <c r="C225" s="5">
        <v>1.8226999942402302E-3</v>
      </c>
      <c r="D225" s="3">
        <f t="shared" si="9"/>
        <v>1.8664447941019957</v>
      </c>
      <c r="E225" s="3">
        <f t="shared" si="10"/>
        <v>1.0936966626453406</v>
      </c>
      <c r="F225" t="str">
        <f t="shared" si="11"/>
        <v>HND</v>
      </c>
      <c r="G225" t="str">
        <f>+_xlfn.XLOOKUP(F225,Sheet1!C:C,Sheet1!B:B,"N/A",0)</f>
        <v>HN</v>
      </c>
      <c r="H225" t="str">
        <f>+_xlfn.XLOOKUP(F225,Sheet1!C:C,Sheet1!D:D,"N/A",0)</f>
        <v>340</v>
      </c>
    </row>
    <row r="226" spans="1:8" x14ac:dyDescent="0.25">
      <c r="A226" t="s">
        <v>317</v>
      </c>
      <c r="B226" t="s">
        <v>318</v>
      </c>
      <c r="C226" s="5">
        <v>2.9984999531555718E-3</v>
      </c>
      <c r="D226" s="3">
        <f t="shared" si="9"/>
        <v>3.0704639520313055</v>
      </c>
      <c r="E226" s="3">
        <f t="shared" si="10"/>
        <v>0.54038192372351657</v>
      </c>
      <c r="F226" t="str">
        <f t="shared" si="11"/>
        <v>HKG</v>
      </c>
      <c r="G226" t="str">
        <f>+_xlfn.XLOOKUP(F226,Sheet1!C:C,Sheet1!B:B,"N/A",0)</f>
        <v>HK</v>
      </c>
      <c r="H226" t="str">
        <f>+_xlfn.XLOOKUP(F226,Sheet1!C:C,Sheet1!D:D,"N/A",0)</f>
        <v>344</v>
      </c>
    </row>
    <row r="227" spans="1:8" x14ac:dyDescent="0.25">
      <c r="A227" t="s">
        <v>317</v>
      </c>
      <c r="B227" t="s">
        <v>319</v>
      </c>
      <c r="C227" s="5">
        <v>9.3331000000000004E-3</v>
      </c>
      <c r="D227" s="3">
        <f t="shared" si="9"/>
        <v>9.5570944000000004</v>
      </c>
      <c r="E227" s="3">
        <f t="shared" si="10"/>
        <v>0.54038192372351657</v>
      </c>
      <c r="F227" t="str">
        <f t="shared" si="11"/>
        <v>HKG</v>
      </c>
      <c r="G227" t="str">
        <f>+_xlfn.XLOOKUP(F227,Sheet1!C:C,Sheet1!B:B,"N/A",0)</f>
        <v>HK</v>
      </c>
      <c r="H227" t="str">
        <f>+_xlfn.XLOOKUP(F227,Sheet1!C:C,Sheet1!D:D,"N/A",0)</f>
        <v>344</v>
      </c>
    </row>
    <row r="228" spans="1:8" x14ac:dyDescent="0.25">
      <c r="A228" t="s">
        <v>317</v>
      </c>
      <c r="B228" t="s">
        <v>320</v>
      </c>
      <c r="C228" s="5">
        <v>5.2771672238624665E-4</v>
      </c>
      <c r="D228" s="3">
        <f t="shared" si="9"/>
        <v>0.54038192372351657</v>
      </c>
      <c r="E228" s="3">
        <f t="shared" si="10"/>
        <v>0.54038192372351657</v>
      </c>
      <c r="F228" t="str">
        <f t="shared" si="11"/>
        <v>HKG</v>
      </c>
      <c r="G228" t="str">
        <f>+_xlfn.XLOOKUP(F228,Sheet1!C:C,Sheet1!B:B,"N/A",0)</f>
        <v>HK</v>
      </c>
      <c r="H228" t="str">
        <f>+_xlfn.XLOOKUP(F228,Sheet1!C:C,Sheet1!D:D,"N/A",0)</f>
        <v>344</v>
      </c>
    </row>
    <row r="229" spans="1:8" x14ac:dyDescent="0.25">
      <c r="A229" t="s">
        <v>317</v>
      </c>
      <c r="B229" t="s">
        <v>321</v>
      </c>
      <c r="C229" s="5">
        <v>4.3011415182431746E-3</v>
      </c>
      <c r="D229" s="3">
        <f t="shared" si="9"/>
        <v>4.4043689146810108</v>
      </c>
      <c r="E229" s="3">
        <f t="shared" si="10"/>
        <v>0.54038192372351657</v>
      </c>
      <c r="F229" t="str">
        <f t="shared" si="11"/>
        <v>HKG</v>
      </c>
      <c r="G229" t="str">
        <f>+_xlfn.XLOOKUP(F229,Sheet1!C:C,Sheet1!B:B,"N/A",0)</f>
        <v>HK</v>
      </c>
      <c r="H229" t="str">
        <f>+_xlfn.XLOOKUP(F229,Sheet1!C:C,Sheet1!D:D,"N/A",0)</f>
        <v>344</v>
      </c>
    </row>
    <row r="230" spans="1:8" x14ac:dyDescent="0.25">
      <c r="A230" t="s">
        <v>322</v>
      </c>
      <c r="B230" t="s">
        <v>323</v>
      </c>
      <c r="C230" s="5">
        <v>4.7689999999999999E-4</v>
      </c>
      <c r="D230" s="3">
        <f t="shared" si="9"/>
        <v>0.48834559999999999</v>
      </c>
      <c r="E230" s="3">
        <f t="shared" si="10"/>
        <v>0.48834559999999999</v>
      </c>
      <c r="F230" t="str">
        <f t="shared" si="11"/>
        <v>HUN</v>
      </c>
      <c r="G230" t="str">
        <f>+_xlfn.XLOOKUP(F230,Sheet1!C:C,Sheet1!B:B,"N/A",0)</f>
        <v>HU</v>
      </c>
      <c r="H230" t="str">
        <f>+_xlfn.XLOOKUP(F230,Sheet1!C:C,Sheet1!D:D,"N/A",0)</f>
        <v>348</v>
      </c>
    </row>
    <row r="231" spans="1:8" x14ac:dyDescent="0.25">
      <c r="A231" t="s">
        <v>322</v>
      </c>
      <c r="B231" t="s">
        <v>324</v>
      </c>
      <c r="C231" s="5">
        <v>6.2789923968984351E-4</v>
      </c>
      <c r="D231" s="3">
        <f t="shared" si="9"/>
        <v>0.64296882144239975</v>
      </c>
      <c r="E231" s="3">
        <f t="shared" si="10"/>
        <v>0.48834559999999999</v>
      </c>
      <c r="F231" t="str">
        <f t="shared" si="11"/>
        <v>HUN</v>
      </c>
      <c r="G231" t="str">
        <f>+_xlfn.XLOOKUP(F231,Sheet1!C:C,Sheet1!B:B,"N/A",0)</f>
        <v>HU</v>
      </c>
      <c r="H231" t="str">
        <f>+_xlfn.XLOOKUP(F231,Sheet1!C:C,Sheet1!D:D,"N/A",0)</f>
        <v>348</v>
      </c>
    </row>
    <row r="232" spans="1:8" x14ac:dyDescent="0.25">
      <c r="A232" t="s">
        <v>322</v>
      </c>
      <c r="B232" t="s">
        <v>325</v>
      </c>
      <c r="C232" s="5">
        <v>8.9739999994477911E-4</v>
      </c>
      <c r="D232" s="3">
        <f t="shared" si="9"/>
        <v>0.91893759994345381</v>
      </c>
      <c r="E232" s="3">
        <f t="shared" si="10"/>
        <v>0.48834559999999999</v>
      </c>
      <c r="F232" t="str">
        <f t="shared" si="11"/>
        <v>HUN</v>
      </c>
      <c r="G232" t="str">
        <f>+_xlfn.XLOOKUP(F232,Sheet1!C:C,Sheet1!B:B,"N/A",0)</f>
        <v>HU</v>
      </c>
      <c r="H232" t="str">
        <f>+_xlfn.XLOOKUP(F232,Sheet1!C:C,Sheet1!D:D,"N/A",0)</f>
        <v>348</v>
      </c>
    </row>
    <row r="233" spans="1:8" x14ac:dyDescent="0.25">
      <c r="A233" t="s">
        <v>326</v>
      </c>
      <c r="B233" t="s">
        <v>327</v>
      </c>
      <c r="C233" s="5">
        <v>9.6670000000000013E-4</v>
      </c>
      <c r="D233" s="3">
        <f t="shared" si="9"/>
        <v>0.98990080000000014</v>
      </c>
      <c r="E233" s="3">
        <f t="shared" si="10"/>
        <v>0.31703039998504218</v>
      </c>
      <c r="F233" t="str">
        <f t="shared" si="11"/>
        <v>ISL</v>
      </c>
      <c r="G233" t="str">
        <f>+_xlfn.XLOOKUP(F233,Sheet1!C:C,Sheet1!B:B,"N/A",0)</f>
        <v>IS</v>
      </c>
      <c r="H233" t="str">
        <f>+_xlfn.XLOOKUP(F233,Sheet1!C:C,Sheet1!D:D,"N/A",0)</f>
        <v>352</v>
      </c>
    </row>
    <row r="234" spans="1:8" x14ac:dyDescent="0.25">
      <c r="A234" t="s">
        <v>326</v>
      </c>
      <c r="B234" t="s">
        <v>328</v>
      </c>
      <c r="C234" s="5">
        <v>8.0044993207949655E-4</v>
      </c>
      <c r="D234" s="3">
        <f t="shared" si="9"/>
        <v>0.81966073044940446</v>
      </c>
      <c r="E234" s="3">
        <f t="shared" si="10"/>
        <v>0.31703039998504218</v>
      </c>
      <c r="F234" t="str">
        <f t="shared" si="11"/>
        <v>ISL</v>
      </c>
      <c r="G234" t="str">
        <f>+_xlfn.XLOOKUP(F234,Sheet1!C:C,Sheet1!B:B,"N/A",0)</f>
        <v>IS</v>
      </c>
      <c r="H234" t="str">
        <f>+_xlfn.XLOOKUP(F234,Sheet1!C:C,Sheet1!D:D,"N/A",0)</f>
        <v>352</v>
      </c>
    </row>
    <row r="235" spans="1:8" x14ac:dyDescent="0.25">
      <c r="A235" t="s">
        <v>326</v>
      </c>
      <c r="B235" t="s">
        <v>329</v>
      </c>
      <c r="C235" s="5">
        <v>3.0959999998539275E-4</v>
      </c>
      <c r="D235" s="3">
        <f t="shared" si="9"/>
        <v>0.31703039998504218</v>
      </c>
      <c r="E235" s="3">
        <f t="shared" si="10"/>
        <v>0.31703039998504218</v>
      </c>
      <c r="F235" t="str">
        <f t="shared" si="11"/>
        <v>ISL</v>
      </c>
      <c r="G235" t="str">
        <f>+_xlfn.XLOOKUP(F235,Sheet1!C:C,Sheet1!B:B,"N/A",0)</f>
        <v>IS</v>
      </c>
      <c r="H235" t="str">
        <f>+_xlfn.XLOOKUP(F235,Sheet1!C:C,Sheet1!D:D,"N/A",0)</f>
        <v>352</v>
      </c>
    </row>
    <row r="236" spans="1:8" x14ac:dyDescent="0.25">
      <c r="A236" t="s">
        <v>330</v>
      </c>
      <c r="B236" t="s">
        <v>331</v>
      </c>
      <c r="C236" s="5">
        <v>3.6004081000000001</v>
      </c>
      <c r="D236" s="3">
        <f t="shared" si="9"/>
        <v>3686.8178944000001</v>
      </c>
      <c r="E236" s="3">
        <f t="shared" si="10"/>
        <v>0.86886399880530496</v>
      </c>
      <c r="F236" t="str">
        <f t="shared" si="11"/>
        <v>IND</v>
      </c>
      <c r="G236" t="str">
        <f>+_xlfn.XLOOKUP(F236,Sheet1!C:C,Sheet1!B:B,"N/A",0)</f>
        <v>IN</v>
      </c>
      <c r="H236" t="str">
        <f>+_xlfn.XLOOKUP(F236,Sheet1!C:C,Sheet1!D:D,"N/A",0)</f>
        <v>356</v>
      </c>
    </row>
    <row r="237" spans="1:8" x14ac:dyDescent="0.25">
      <c r="A237" t="s">
        <v>330</v>
      </c>
      <c r="B237" t="s">
        <v>332</v>
      </c>
      <c r="C237" s="5">
        <v>1.7761556256173285E-3</v>
      </c>
      <c r="D237" s="3">
        <f t="shared" si="9"/>
        <v>1.8187833606321444</v>
      </c>
      <c r="E237" s="3">
        <f t="shared" si="10"/>
        <v>0.86886399880530496</v>
      </c>
      <c r="F237" t="str">
        <f t="shared" si="11"/>
        <v>IND</v>
      </c>
      <c r="G237" t="str">
        <f>+_xlfn.XLOOKUP(F237,Sheet1!C:C,Sheet1!B:B,"N/A",0)</f>
        <v>IN</v>
      </c>
      <c r="H237" t="str">
        <f>+_xlfn.XLOOKUP(F237,Sheet1!C:C,Sheet1!D:D,"N/A",0)</f>
        <v>356</v>
      </c>
    </row>
    <row r="238" spans="1:8" x14ac:dyDescent="0.25">
      <c r="A238" t="s">
        <v>330</v>
      </c>
      <c r="B238" t="s">
        <v>333</v>
      </c>
      <c r="C238" s="5">
        <v>8.4849999883330563E-4</v>
      </c>
      <c r="D238" s="3">
        <f t="shared" si="9"/>
        <v>0.86886399880530496</v>
      </c>
      <c r="E238" s="3">
        <f t="shared" si="10"/>
        <v>0.86886399880530496</v>
      </c>
      <c r="F238" t="str">
        <f t="shared" si="11"/>
        <v>IND</v>
      </c>
      <c r="G238" t="str">
        <f>+_xlfn.XLOOKUP(F238,Sheet1!C:C,Sheet1!B:B,"N/A",0)</f>
        <v>IN</v>
      </c>
      <c r="H238" t="str">
        <f>+_xlfn.XLOOKUP(F238,Sheet1!C:C,Sheet1!D:D,"N/A",0)</f>
        <v>356</v>
      </c>
    </row>
    <row r="239" spans="1:8" x14ac:dyDescent="0.25">
      <c r="A239" t="s">
        <v>330</v>
      </c>
      <c r="B239" t="s">
        <v>334</v>
      </c>
      <c r="C239" s="5">
        <v>2.9165902174993754E-3</v>
      </c>
      <c r="D239" s="3">
        <f t="shared" si="9"/>
        <v>2.9865883827193604</v>
      </c>
      <c r="E239" s="3">
        <f t="shared" si="10"/>
        <v>0.86886399880530496</v>
      </c>
      <c r="F239" t="str">
        <f t="shared" si="11"/>
        <v>IND</v>
      </c>
      <c r="G239" t="str">
        <f>+_xlfn.XLOOKUP(F239,Sheet1!C:C,Sheet1!B:B,"N/A",0)</f>
        <v>IN</v>
      </c>
      <c r="H239" t="str">
        <f>+_xlfn.XLOOKUP(F239,Sheet1!C:C,Sheet1!D:D,"N/A",0)</f>
        <v>356</v>
      </c>
    </row>
    <row r="240" spans="1:8" x14ac:dyDescent="0.25">
      <c r="A240" t="s">
        <v>335</v>
      </c>
      <c r="B240" t="s">
        <v>336</v>
      </c>
      <c r="C240" s="5">
        <v>4.9999999999148833E-3</v>
      </c>
      <c r="D240" s="3">
        <f t="shared" si="9"/>
        <v>5.1199999999128405</v>
      </c>
      <c r="E240" s="3">
        <f t="shared" si="10"/>
        <v>0.56330068403909861</v>
      </c>
      <c r="F240" t="str">
        <f t="shared" si="11"/>
        <v>IDN</v>
      </c>
      <c r="G240" t="str">
        <f>+_xlfn.XLOOKUP(F240,Sheet1!C:C,Sheet1!B:B,"N/A",0)</f>
        <v>ID</v>
      </c>
      <c r="H240" t="str">
        <f>+_xlfn.XLOOKUP(F240,Sheet1!C:C,Sheet1!D:D,"N/A",0)</f>
        <v>360</v>
      </c>
    </row>
    <row r="241" spans="1:8" x14ac:dyDescent="0.25">
      <c r="A241" t="s">
        <v>335</v>
      </c>
      <c r="B241" t="s">
        <v>337</v>
      </c>
      <c r="C241" s="5">
        <v>9.9999999995134471E-4</v>
      </c>
      <c r="D241" s="3">
        <f t="shared" si="9"/>
        <v>1.023999999950177</v>
      </c>
      <c r="E241" s="3">
        <f t="shared" si="10"/>
        <v>0.56330068403909861</v>
      </c>
      <c r="F241" t="str">
        <f t="shared" si="11"/>
        <v>IDN</v>
      </c>
      <c r="G241" t="str">
        <f>+_xlfn.XLOOKUP(F241,Sheet1!C:C,Sheet1!B:B,"N/A",0)</f>
        <v>ID</v>
      </c>
      <c r="H241" t="str">
        <f>+_xlfn.XLOOKUP(F241,Sheet1!C:C,Sheet1!D:D,"N/A",0)</f>
        <v>360</v>
      </c>
    </row>
    <row r="242" spans="1:8" x14ac:dyDescent="0.25">
      <c r="A242" t="s">
        <v>335</v>
      </c>
      <c r="B242" t="s">
        <v>338</v>
      </c>
      <c r="C242" s="5">
        <v>5.5009832425693224E-4</v>
      </c>
      <c r="D242" s="3">
        <f t="shared" si="9"/>
        <v>0.56330068403909861</v>
      </c>
      <c r="E242" s="3">
        <f t="shared" si="10"/>
        <v>0.56330068403909861</v>
      </c>
      <c r="F242" t="str">
        <f t="shared" si="11"/>
        <v>IDN</v>
      </c>
      <c r="G242" t="str">
        <f>+_xlfn.XLOOKUP(F242,Sheet1!C:C,Sheet1!B:B,"N/A",0)</f>
        <v>ID</v>
      </c>
      <c r="H242" t="str">
        <f>+_xlfn.XLOOKUP(F242,Sheet1!C:C,Sheet1!D:D,"N/A",0)</f>
        <v>360</v>
      </c>
    </row>
    <row r="243" spans="1:8" x14ac:dyDescent="0.25">
      <c r="A243" t="s">
        <v>339</v>
      </c>
      <c r="B243" t="s">
        <v>340</v>
      </c>
      <c r="C243" s="5">
        <v>4.9999999999523334E-3</v>
      </c>
      <c r="D243" s="3">
        <f t="shared" si="9"/>
        <v>5.1199999999511894</v>
      </c>
      <c r="E243" s="3">
        <f t="shared" si="10"/>
        <v>5.1199999999511894</v>
      </c>
      <c r="F243" t="str">
        <f t="shared" si="11"/>
        <v>IRN</v>
      </c>
      <c r="G243" t="str">
        <f>+_xlfn.XLOOKUP(F243,Sheet1!C:C,Sheet1!B:B,"N/A",0)</f>
        <v>IR</v>
      </c>
      <c r="H243" t="str">
        <f>+_xlfn.XLOOKUP(F243,Sheet1!C:C,Sheet1!D:D,"N/A",0)</f>
        <v>364</v>
      </c>
    </row>
    <row r="244" spans="1:8" x14ac:dyDescent="0.25">
      <c r="A244" t="s">
        <v>339</v>
      </c>
      <c r="B244" t="s">
        <v>341</v>
      </c>
      <c r="C244" s="5">
        <v>5.0000000002056203E-3</v>
      </c>
      <c r="D244" s="3">
        <f t="shared" si="9"/>
        <v>5.1200000002105552</v>
      </c>
      <c r="E244" s="3">
        <f t="shared" si="10"/>
        <v>5.1199999999511894</v>
      </c>
      <c r="F244" t="str">
        <f t="shared" si="11"/>
        <v>IRN</v>
      </c>
      <c r="G244" t="str">
        <f>+_xlfn.XLOOKUP(F244,Sheet1!C:C,Sheet1!B:B,"N/A",0)</f>
        <v>IR</v>
      </c>
      <c r="H244" t="str">
        <f>+_xlfn.XLOOKUP(F244,Sheet1!C:C,Sheet1!D:D,"N/A",0)</f>
        <v>364</v>
      </c>
    </row>
    <row r="245" spans="1:8" x14ac:dyDescent="0.25">
      <c r="A245" t="s">
        <v>339</v>
      </c>
      <c r="B245" t="s">
        <v>342</v>
      </c>
      <c r="C245" s="5">
        <v>4.9943623896669759E-2</v>
      </c>
      <c r="D245" s="3">
        <f t="shared" si="9"/>
        <v>51.142270870189833</v>
      </c>
      <c r="E245" s="3">
        <f t="shared" si="10"/>
        <v>5.1199999999511894</v>
      </c>
      <c r="F245" t="str">
        <f t="shared" si="11"/>
        <v>IRN</v>
      </c>
      <c r="G245" t="str">
        <f>+_xlfn.XLOOKUP(F245,Sheet1!C:C,Sheet1!B:B,"N/A",0)</f>
        <v>IR</v>
      </c>
      <c r="H245" t="str">
        <f>+_xlfn.XLOOKUP(F245,Sheet1!C:C,Sheet1!D:D,"N/A",0)</f>
        <v>364</v>
      </c>
    </row>
    <row r="246" spans="1:8" x14ac:dyDescent="0.25">
      <c r="A246" t="s">
        <v>343</v>
      </c>
      <c r="B246" t="s">
        <v>344</v>
      </c>
      <c r="C246" s="5">
        <v>1.5741499255822894E-3</v>
      </c>
      <c r="D246" s="3">
        <f t="shared" si="9"/>
        <v>1.6119295237962643</v>
      </c>
      <c r="E246" s="3">
        <f t="shared" si="10"/>
        <v>0.86981422865092017</v>
      </c>
      <c r="F246" t="str">
        <f t="shared" si="11"/>
        <v>IRQ</v>
      </c>
      <c r="G246" t="str">
        <f>+_xlfn.XLOOKUP(F246,Sheet1!C:C,Sheet1!B:B,"N/A",0)</f>
        <v>IQ</v>
      </c>
      <c r="H246" t="str">
        <f>+_xlfn.XLOOKUP(F246,Sheet1!C:C,Sheet1!D:D,"N/A",0)</f>
        <v>368</v>
      </c>
    </row>
    <row r="247" spans="1:8" x14ac:dyDescent="0.25">
      <c r="A247" t="s">
        <v>343</v>
      </c>
      <c r="B247" t="s">
        <v>345</v>
      </c>
      <c r="C247" s="5">
        <v>1.6969000072593592E-3</v>
      </c>
      <c r="D247" s="3">
        <f t="shared" si="9"/>
        <v>1.7376256074335839</v>
      </c>
      <c r="E247" s="3">
        <f t="shared" si="10"/>
        <v>0.86981422865092017</v>
      </c>
      <c r="F247" t="str">
        <f t="shared" si="11"/>
        <v>IRQ</v>
      </c>
      <c r="G247" t="str">
        <f>+_xlfn.XLOOKUP(F247,Sheet1!C:C,Sheet1!B:B,"N/A",0)</f>
        <v>IQ</v>
      </c>
      <c r="H247" t="str">
        <f>+_xlfn.XLOOKUP(F247,Sheet1!C:C,Sheet1!D:D,"N/A",0)</f>
        <v>368</v>
      </c>
    </row>
    <row r="248" spans="1:8" x14ac:dyDescent="0.25">
      <c r="A248" t="s">
        <v>343</v>
      </c>
      <c r="B248" t="s">
        <v>346</v>
      </c>
      <c r="C248" s="5">
        <v>8.4942795766691423E-4</v>
      </c>
      <c r="D248" s="3">
        <f t="shared" si="9"/>
        <v>0.86981422865092017</v>
      </c>
      <c r="E248" s="3">
        <f t="shared" si="10"/>
        <v>0.86981422865092017</v>
      </c>
      <c r="F248" t="str">
        <f t="shared" si="11"/>
        <v>IRQ</v>
      </c>
      <c r="G248" t="str">
        <f>+_xlfn.XLOOKUP(F248,Sheet1!C:C,Sheet1!B:B,"N/A",0)</f>
        <v>IQ</v>
      </c>
      <c r="H248" t="str">
        <f>+_xlfn.XLOOKUP(F248,Sheet1!C:C,Sheet1!D:D,"N/A",0)</f>
        <v>368</v>
      </c>
    </row>
    <row r="249" spans="1:8" x14ac:dyDescent="0.25">
      <c r="A249" t="s">
        <v>347</v>
      </c>
      <c r="B249" t="s">
        <v>348</v>
      </c>
      <c r="C249" s="5">
        <v>5.7499999999999988E-4</v>
      </c>
      <c r="D249" s="3">
        <f t="shared" si="9"/>
        <v>0.58879999999999988</v>
      </c>
      <c r="E249" s="3">
        <f t="shared" si="10"/>
        <v>0.58879999999999988</v>
      </c>
      <c r="F249" t="str">
        <f t="shared" si="11"/>
        <v>IRL</v>
      </c>
      <c r="G249" t="str">
        <f>+_xlfn.XLOOKUP(F249,Sheet1!C:C,Sheet1!B:B,"N/A",0)</f>
        <v>IE</v>
      </c>
      <c r="H249" t="str">
        <f>+_xlfn.XLOOKUP(F249,Sheet1!C:C,Sheet1!D:D,"N/A",0)</f>
        <v>372</v>
      </c>
    </row>
    <row r="250" spans="1:8" x14ac:dyDescent="0.25">
      <c r="A250" t="s">
        <v>347</v>
      </c>
      <c r="B250" t="s">
        <v>349</v>
      </c>
      <c r="C250" s="5">
        <v>6.2290000000000012E-4</v>
      </c>
      <c r="D250" s="3">
        <f t="shared" si="9"/>
        <v>0.63784960000000013</v>
      </c>
      <c r="E250" s="3">
        <f t="shared" si="10"/>
        <v>0.58879999999999988</v>
      </c>
      <c r="F250" t="str">
        <f t="shared" si="11"/>
        <v>IRL</v>
      </c>
      <c r="G250" t="str">
        <f>+_xlfn.XLOOKUP(F250,Sheet1!C:C,Sheet1!B:B,"N/A",0)</f>
        <v>IE</v>
      </c>
      <c r="H250" t="str">
        <f>+_xlfn.XLOOKUP(F250,Sheet1!C:C,Sheet1!D:D,"N/A",0)</f>
        <v>372</v>
      </c>
    </row>
    <row r="251" spans="1:8" x14ac:dyDescent="0.25">
      <c r="A251" t="s">
        <v>347</v>
      </c>
      <c r="B251" t="s">
        <v>350</v>
      </c>
      <c r="C251" s="5">
        <v>8.9740000000000024E-4</v>
      </c>
      <c r="D251" s="3">
        <f t="shared" si="9"/>
        <v>0.91893760000000024</v>
      </c>
      <c r="E251" s="3">
        <f t="shared" si="10"/>
        <v>0.58879999999999988</v>
      </c>
      <c r="F251" t="str">
        <f t="shared" si="11"/>
        <v>IRL</v>
      </c>
      <c r="G251" t="str">
        <f>+_xlfn.XLOOKUP(F251,Sheet1!C:C,Sheet1!B:B,"N/A",0)</f>
        <v>IE</v>
      </c>
      <c r="H251" t="str">
        <f>+_xlfn.XLOOKUP(F251,Sheet1!C:C,Sheet1!D:D,"N/A",0)</f>
        <v>372</v>
      </c>
    </row>
    <row r="252" spans="1:8" x14ac:dyDescent="0.25">
      <c r="A252" t="s">
        <v>351</v>
      </c>
      <c r="B252" t="s">
        <v>352</v>
      </c>
      <c r="C252" s="5">
        <v>4.8698343832331213E-4</v>
      </c>
      <c r="D252" s="3">
        <f t="shared" si="9"/>
        <v>0.49867104084307162</v>
      </c>
      <c r="E252" s="3">
        <f t="shared" si="10"/>
        <v>0.49867104084307162</v>
      </c>
      <c r="F252" t="str">
        <f t="shared" si="11"/>
        <v>ISR</v>
      </c>
      <c r="G252" t="str">
        <f>+_xlfn.XLOOKUP(F252,Sheet1!C:C,Sheet1!B:B,"N/A",0)</f>
        <v>IL</v>
      </c>
      <c r="H252" t="str">
        <f>+_xlfn.XLOOKUP(F252,Sheet1!C:C,Sheet1!D:D,"N/A",0)</f>
        <v>376</v>
      </c>
    </row>
    <row r="253" spans="1:8" x14ac:dyDescent="0.25">
      <c r="A253" t="s">
        <v>351</v>
      </c>
      <c r="B253" t="s">
        <v>353</v>
      </c>
      <c r="C253" s="5">
        <v>1.3480000000000005E-3</v>
      </c>
      <c r="D253" s="3">
        <f t="shared" si="9"/>
        <v>1.3803520000000005</v>
      </c>
      <c r="E253" s="3">
        <f t="shared" si="10"/>
        <v>0.49867104084307162</v>
      </c>
      <c r="F253" t="str">
        <f t="shared" si="11"/>
        <v>ISR</v>
      </c>
      <c r="G253" t="str">
        <f>+_xlfn.XLOOKUP(F253,Sheet1!C:C,Sheet1!B:B,"N/A",0)</f>
        <v>IL</v>
      </c>
      <c r="H253" t="str">
        <f>+_xlfn.XLOOKUP(F253,Sheet1!C:C,Sheet1!D:D,"N/A",0)</f>
        <v>376</v>
      </c>
    </row>
    <row r="254" spans="1:8" x14ac:dyDescent="0.25">
      <c r="A254" t="s">
        <v>351</v>
      </c>
      <c r="B254" t="s">
        <v>354</v>
      </c>
      <c r="C254" s="5">
        <v>5.2000000000000017E-4</v>
      </c>
      <c r="D254" s="3">
        <f t="shared" si="9"/>
        <v>0.53248000000000018</v>
      </c>
      <c r="E254" s="3">
        <f t="shared" si="10"/>
        <v>0.49867104084307162</v>
      </c>
      <c r="F254" t="str">
        <f t="shared" si="11"/>
        <v>ISR</v>
      </c>
      <c r="G254" t="str">
        <f>+_xlfn.XLOOKUP(F254,Sheet1!C:C,Sheet1!B:B,"N/A",0)</f>
        <v>IL</v>
      </c>
      <c r="H254" t="str">
        <f>+_xlfn.XLOOKUP(F254,Sheet1!C:C,Sheet1!D:D,"N/A",0)</f>
        <v>376</v>
      </c>
    </row>
    <row r="255" spans="1:8" x14ac:dyDescent="0.25">
      <c r="A255" t="s">
        <v>351</v>
      </c>
      <c r="B255" t="s">
        <v>355</v>
      </c>
      <c r="C255" s="5">
        <v>1.7437081087370633E-3</v>
      </c>
      <c r="D255" s="3">
        <f t="shared" si="9"/>
        <v>1.7855571033467528</v>
      </c>
      <c r="E255" s="3">
        <f t="shared" si="10"/>
        <v>0.49867104084307162</v>
      </c>
      <c r="F255" t="str">
        <f t="shared" si="11"/>
        <v>ISR</v>
      </c>
      <c r="G255" t="str">
        <f>+_xlfn.XLOOKUP(F255,Sheet1!C:C,Sheet1!B:B,"N/A",0)</f>
        <v>IL</v>
      </c>
      <c r="H255" t="str">
        <f>+_xlfn.XLOOKUP(F255,Sheet1!C:C,Sheet1!D:D,"N/A",0)</f>
        <v>376</v>
      </c>
    </row>
    <row r="256" spans="1:8" x14ac:dyDescent="0.25">
      <c r="A256" t="s">
        <v>356</v>
      </c>
      <c r="B256" t="s">
        <v>357</v>
      </c>
      <c r="C256" s="5"/>
      <c r="D256" s="3">
        <f t="shared" si="9"/>
        <v>0</v>
      </c>
      <c r="E256" s="3">
        <f t="shared" si="10"/>
        <v>0.44550925434819183</v>
      </c>
      <c r="F256" t="str">
        <f t="shared" si="11"/>
        <v>ITA</v>
      </c>
      <c r="G256" t="str">
        <f>+_xlfn.XLOOKUP(F256,Sheet1!C:C,Sheet1!B:B,"N/A",0)</f>
        <v>IT</v>
      </c>
      <c r="H256" t="str">
        <f>+_xlfn.XLOOKUP(F256,Sheet1!C:C,Sheet1!D:D,"N/A",0)</f>
        <v>380</v>
      </c>
    </row>
    <row r="257" spans="1:8" x14ac:dyDescent="0.25">
      <c r="A257" t="s">
        <v>356</v>
      </c>
      <c r="B257" t="s">
        <v>358</v>
      </c>
      <c r="C257" s="5">
        <v>5.8129999999999998E-4</v>
      </c>
      <c r="D257" s="3">
        <f t="shared" si="9"/>
        <v>0.59525119999999998</v>
      </c>
      <c r="E257" s="3">
        <f t="shared" si="10"/>
        <v>0.44550925434819183</v>
      </c>
      <c r="F257" t="str">
        <f t="shared" si="11"/>
        <v>ITA</v>
      </c>
      <c r="G257" t="str">
        <f>+_xlfn.XLOOKUP(F257,Sheet1!C:C,Sheet1!B:B,"N/A",0)</f>
        <v>IT</v>
      </c>
      <c r="H257" t="str">
        <f>+_xlfn.XLOOKUP(F257,Sheet1!C:C,Sheet1!D:D,"N/A",0)</f>
        <v>380</v>
      </c>
    </row>
    <row r="258" spans="1:8" x14ac:dyDescent="0.25">
      <c r="A258" t="s">
        <v>356</v>
      </c>
      <c r="B258" t="s">
        <v>359</v>
      </c>
      <c r="C258" s="5">
        <v>4.3506763119940608E-4</v>
      </c>
      <c r="D258" s="3">
        <f t="shared" si="9"/>
        <v>0.44550925434819183</v>
      </c>
      <c r="E258" s="3">
        <f t="shared" si="10"/>
        <v>0.44550925434819183</v>
      </c>
      <c r="F258" t="str">
        <f t="shared" si="11"/>
        <v>ITA</v>
      </c>
      <c r="G258" t="str">
        <f>+_xlfn.XLOOKUP(F258,Sheet1!C:C,Sheet1!B:B,"N/A",0)</f>
        <v>IT</v>
      </c>
      <c r="H258" t="str">
        <f>+_xlfn.XLOOKUP(F258,Sheet1!C:C,Sheet1!D:D,"N/A",0)</f>
        <v>380</v>
      </c>
    </row>
    <row r="259" spans="1:8" x14ac:dyDescent="0.25">
      <c r="A259" t="s">
        <v>356</v>
      </c>
      <c r="B259" t="s">
        <v>360</v>
      </c>
      <c r="C259" s="5">
        <v>8.9740000000000002E-4</v>
      </c>
      <c r="D259" s="3">
        <f t="shared" ref="D259:D322" si="12">C259*1024</f>
        <v>0.91893760000000002</v>
      </c>
      <c r="E259" s="3">
        <f t="shared" ref="E259:E322" si="13">_xlfn.MINIFS(D:D,A:A,A259,D:D,"&lt;&gt;0")</f>
        <v>0.44550925434819183</v>
      </c>
      <c r="F259" t="str">
        <f t="shared" ref="F259:F322" si="14">_xlfn.TEXTBEFORE(_xlfn.TEXTAFTER(B259,"("),")")</f>
        <v>ITA</v>
      </c>
      <c r="G259" t="str">
        <f>+_xlfn.XLOOKUP(F259,Sheet1!C:C,Sheet1!B:B,"N/A",0)</f>
        <v>IT</v>
      </c>
      <c r="H259" t="str">
        <f>+_xlfn.XLOOKUP(F259,Sheet1!C:C,Sheet1!D:D,"N/A",0)</f>
        <v>380</v>
      </c>
    </row>
    <row r="260" spans="1:8" x14ac:dyDescent="0.25">
      <c r="A260" t="s">
        <v>356</v>
      </c>
      <c r="B260" t="s">
        <v>361</v>
      </c>
      <c r="C260" s="5">
        <v>6.2290000000000012E-4</v>
      </c>
      <c r="D260" s="3">
        <f t="shared" si="12"/>
        <v>0.63784960000000013</v>
      </c>
      <c r="E260" s="3">
        <f t="shared" si="13"/>
        <v>0.44550925434819183</v>
      </c>
      <c r="F260" t="str">
        <f t="shared" si="14"/>
        <v>ITA</v>
      </c>
      <c r="G260" t="str">
        <f>+_xlfn.XLOOKUP(F260,Sheet1!C:C,Sheet1!B:B,"N/A",0)</f>
        <v>IT</v>
      </c>
      <c r="H260" t="str">
        <f>+_xlfn.XLOOKUP(F260,Sheet1!C:C,Sheet1!D:D,"N/A",0)</f>
        <v>380</v>
      </c>
    </row>
    <row r="261" spans="1:8" x14ac:dyDescent="0.25">
      <c r="A261" t="s">
        <v>362</v>
      </c>
      <c r="B261" t="s">
        <v>363</v>
      </c>
      <c r="C261" s="5">
        <v>8.0000000015670366E-3</v>
      </c>
      <c r="D261" s="3">
        <f t="shared" si="12"/>
        <v>8.1920000016046455</v>
      </c>
      <c r="E261" s="3">
        <f t="shared" si="13"/>
        <v>1.9686400000869388</v>
      </c>
      <c r="F261" t="str">
        <f t="shared" si="14"/>
        <v>CIV</v>
      </c>
      <c r="G261" t="str">
        <f>+_xlfn.XLOOKUP(F261,Sheet1!C:C,Sheet1!B:B,"N/A",0)</f>
        <v>CI</v>
      </c>
      <c r="H261" t="str">
        <f>+_xlfn.XLOOKUP(F261,Sheet1!C:C,Sheet1!D:D,"N/A",0)</f>
        <v>384</v>
      </c>
    </row>
    <row r="262" spans="1:8" x14ac:dyDescent="0.25">
      <c r="A262" t="s">
        <v>362</v>
      </c>
      <c r="B262" t="s">
        <v>364</v>
      </c>
      <c r="C262" s="5">
        <v>1.9460066132623024E-3</v>
      </c>
      <c r="D262" s="3">
        <f t="shared" si="12"/>
        <v>1.9927107719805977</v>
      </c>
      <c r="E262" s="3">
        <f t="shared" si="13"/>
        <v>1.9686400000869388</v>
      </c>
      <c r="F262" t="str">
        <f t="shared" si="14"/>
        <v>CIV</v>
      </c>
      <c r="G262" t="str">
        <f>+_xlfn.XLOOKUP(F262,Sheet1!C:C,Sheet1!B:B,"N/A",0)</f>
        <v>CI</v>
      </c>
      <c r="H262" t="str">
        <f>+_xlfn.XLOOKUP(F262,Sheet1!C:C,Sheet1!D:D,"N/A",0)</f>
        <v>384</v>
      </c>
    </row>
    <row r="263" spans="1:8" x14ac:dyDescent="0.25">
      <c r="A263" t="s">
        <v>362</v>
      </c>
      <c r="B263" t="s">
        <v>365</v>
      </c>
      <c r="C263" s="5">
        <v>1.9225000000849012E-3</v>
      </c>
      <c r="D263" s="3">
        <f t="shared" si="12"/>
        <v>1.9686400000869388</v>
      </c>
      <c r="E263" s="3">
        <f t="shared" si="13"/>
        <v>1.9686400000869388</v>
      </c>
      <c r="F263" t="str">
        <f t="shared" si="14"/>
        <v>CIV</v>
      </c>
      <c r="G263" t="str">
        <f>+_xlfn.XLOOKUP(F263,Sheet1!C:C,Sheet1!B:B,"N/A",0)</f>
        <v>CI</v>
      </c>
      <c r="H263" t="str">
        <f>+_xlfn.XLOOKUP(F263,Sheet1!C:C,Sheet1!D:D,"N/A",0)</f>
        <v>384</v>
      </c>
    </row>
    <row r="264" spans="1:8" x14ac:dyDescent="0.25">
      <c r="A264" t="s">
        <v>366</v>
      </c>
      <c r="B264" t="s">
        <v>367</v>
      </c>
      <c r="C264" s="5">
        <v>8.5232749268607233E-4</v>
      </c>
      <c r="D264" s="3">
        <f t="shared" si="12"/>
        <v>0.87278335251053807</v>
      </c>
      <c r="E264" s="3">
        <f t="shared" si="13"/>
        <v>0.87278335251053807</v>
      </c>
      <c r="F264" t="str">
        <f t="shared" si="14"/>
        <v>JAM</v>
      </c>
      <c r="G264" t="str">
        <f>+_xlfn.XLOOKUP(F264,Sheet1!C:C,Sheet1!B:B,"N/A",0)</f>
        <v>JM</v>
      </c>
      <c r="H264" t="str">
        <f>+_xlfn.XLOOKUP(F264,Sheet1!C:C,Sheet1!D:D,"N/A",0)</f>
        <v>388</v>
      </c>
    </row>
    <row r="265" spans="1:8" x14ac:dyDescent="0.25">
      <c r="A265" t="s">
        <v>366</v>
      </c>
      <c r="B265" t="s">
        <v>368</v>
      </c>
      <c r="C265" s="5">
        <v>2.5453999996271942E-3</v>
      </c>
      <c r="D265" s="3">
        <f t="shared" si="12"/>
        <v>2.6064895996182469</v>
      </c>
      <c r="E265" s="3">
        <f t="shared" si="13"/>
        <v>0.87278335251053807</v>
      </c>
      <c r="F265" t="str">
        <f t="shared" si="14"/>
        <v>JAM</v>
      </c>
      <c r="G265" t="str">
        <f>+_xlfn.XLOOKUP(F265,Sheet1!C:C,Sheet1!B:B,"N/A",0)</f>
        <v>JM</v>
      </c>
      <c r="H265" t="str">
        <f>+_xlfn.XLOOKUP(F265,Sheet1!C:C,Sheet1!D:D,"N/A",0)</f>
        <v>388</v>
      </c>
    </row>
    <row r="266" spans="1:8" x14ac:dyDescent="0.25">
      <c r="A266" t="s">
        <v>369</v>
      </c>
      <c r="B266" t="s">
        <v>370</v>
      </c>
      <c r="C266" s="5">
        <v>1.1719E-3</v>
      </c>
      <c r="D266" s="3">
        <f t="shared" si="12"/>
        <v>1.2000256</v>
      </c>
      <c r="E266" s="3">
        <f t="shared" si="13"/>
        <v>1.0239999999999996</v>
      </c>
      <c r="F266" t="str">
        <f t="shared" si="14"/>
        <v>JPN</v>
      </c>
      <c r="G266" t="str">
        <f>+_xlfn.XLOOKUP(F266,Sheet1!C:C,Sheet1!B:B,"N/A",0)</f>
        <v>JP</v>
      </c>
      <c r="H266" t="str">
        <f>+_xlfn.XLOOKUP(F266,Sheet1!C:C,Sheet1!D:D,"N/A",0)</f>
        <v>392</v>
      </c>
    </row>
    <row r="267" spans="1:8" x14ac:dyDescent="0.25">
      <c r="A267" t="s">
        <v>369</v>
      </c>
      <c r="B267" t="s">
        <v>371</v>
      </c>
      <c r="C267" s="5">
        <v>2.4999999999999992E-3</v>
      </c>
      <c r="D267" s="3">
        <f t="shared" si="12"/>
        <v>2.5599999999999992</v>
      </c>
      <c r="E267" s="3">
        <f t="shared" si="13"/>
        <v>1.0239999999999996</v>
      </c>
      <c r="F267" t="str">
        <f t="shared" si="14"/>
        <v>JPN</v>
      </c>
      <c r="G267" t="str">
        <f>+_xlfn.XLOOKUP(F267,Sheet1!C:C,Sheet1!B:B,"N/A",0)</f>
        <v>JP</v>
      </c>
      <c r="H267" t="str">
        <f>+_xlfn.XLOOKUP(F267,Sheet1!C:C,Sheet1!D:D,"N/A",0)</f>
        <v>392</v>
      </c>
    </row>
    <row r="268" spans="1:8" x14ac:dyDescent="0.25">
      <c r="A268" t="s">
        <v>369</v>
      </c>
      <c r="B268" t="s">
        <v>372</v>
      </c>
      <c r="C268" s="5">
        <v>9.9999999999999959E-4</v>
      </c>
      <c r="D268" s="3">
        <f t="shared" si="12"/>
        <v>1.0239999999999996</v>
      </c>
      <c r="E268" s="3">
        <f t="shared" si="13"/>
        <v>1.0239999999999996</v>
      </c>
      <c r="F268" t="str">
        <f t="shared" si="14"/>
        <v>JPN</v>
      </c>
      <c r="G268" t="str">
        <f>+_xlfn.XLOOKUP(F268,Sheet1!C:C,Sheet1!B:B,"N/A",0)</f>
        <v>JP</v>
      </c>
      <c r="H268" t="str">
        <f>+_xlfn.XLOOKUP(F268,Sheet1!C:C,Sheet1!D:D,"N/A",0)</f>
        <v>392</v>
      </c>
    </row>
    <row r="269" spans="1:8" x14ac:dyDescent="0.25">
      <c r="A269" t="s">
        <v>369</v>
      </c>
      <c r="B269" t="s">
        <v>373</v>
      </c>
      <c r="C269" s="5">
        <v>1.0000000000000002E-3</v>
      </c>
      <c r="D269" s="3">
        <f t="shared" si="12"/>
        <v>1.0240000000000002</v>
      </c>
      <c r="E269" s="3">
        <f t="shared" si="13"/>
        <v>1.0239999999999996</v>
      </c>
      <c r="F269" t="str">
        <f t="shared" si="14"/>
        <v>JPN</v>
      </c>
      <c r="G269" t="str">
        <f>+_xlfn.XLOOKUP(F269,Sheet1!C:C,Sheet1!B:B,"N/A",0)</f>
        <v>JP</v>
      </c>
      <c r="H269" t="str">
        <f>+_xlfn.XLOOKUP(F269,Sheet1!C:C,Sheet1!D:D,"N/A",0)</f>
        <v>392</v>
      </c>
    </row>
    <row r="270" spans="1:8" x14ac:dyDescent="0.25">
      <c r="A270" t="s">
        <v>374</v>
      </c>
      <c r="B270" t="s">
        <v>375</v>
      </c>
      <c r="C270" s="5">
        <v>1.7500675798516171E-3</v>
      </c>
      <c r="D270" s="3">
        <f t="shared" si="12"/>
        <v>1.792069201768056</v>
      </c>
      <c r="E270" s="3">
        <f t="shared" si="13"/>
        <v>0.86902586255455316</v>
      </c>
      <c r="F270" t="str">
        <f t="shared" si="14"/>
        <v>JOR</v>
      </c>
      <c r="G270" t="str">
        <f>+_xlfn.XLOOKUP(F270,Sheet1!C:C,Sheet1!B:B,"N/A",0)</f>
        <v>JO</v>
      </c>
      <c r="H270" t="str">
        <f>+_xlfn.XLOOKUP(F270,Sheet1!C:C,Sheet1!D:D,"N/A",0)</f>
        <v>400</v>
      </c>
    </row>
    <row r="271" spans="1:8" x14ac:dyDescent="0.25">
      <c r="A271" t="s">
        <v>374</v>
      </c>
      <c r="B271" t="s">
        <v>376</v>
      </c>
      <c r="C271" s="5">
        <v>1.6263878628775771E-3</v>
      </c>
      <c r="D271" s="3">
        <f t="shared" si="12"/>
        <v>1.6654211715866389</v>
      </c>
      <c r="E271" s="3">
        <f t="shared" si="13"/>
        <v>0.86902586255455316</v>
      </c>
      <c r="F271" t="str">
        <f t="shared" si="14"/>
        <v>JOR</v>
      </c>
      <c r="G271" t="str">
        <f>+_xlfn.XLOOKUP(F271,Sheet1!C:C,Sheet1!B:B,"N/A",0)</f>
        <v>JO</v>
      </c>
      <c r="H271" t="str">
        <f>+_xlfn.XLOOKUP(F271,Sheet1!C:C,Sheet1!D:D,"N/A",0)</f>
        <v>400</v>
      </c>
    </row>
    <row r="272" spans="1:8" x14ac:dyDescent="0.25">
      <c r="A272" t="s">
        <v>374</v>
      </c>
      <c r="B272" t="s">
        <v>377</v>
      </c>
      <c r="C272" s="5">
        <v>8.4865806890093082E-4</v>
      </c>
      <c r="D272" s="3">
        <f t="shared" si="12"/>
        <v>0.86902586255455316</v>
      </c>
      <c r="E272" s="3">
        <f t="shared" si="13"/>
        <v>0.86902586255455316</v>
      </c>
      <c r="F272" t="str">
        <f t="shared" si="14"/>
        <v>JOR</v>
      </c>
      <c r="G272" t="str">
        <f>+_xlfn.XLOOKUP(F272,Sheet1!C:C,Sheet1!B:B,"N/A",0)</f>
        <v>JO</v>
      </c>
      <c r="H272" t="str">
        <f>+_xlfn.XLOOKUP(F272,Sheet1!C:C,Sheet1!D:D,"N/A",0)</f>
        <v>400</v>
      </c>
    </row>
    <row r="273" spans="1:8" x14ac:dyDescent="0.25">
      <c r="A273" t="s">
        <v>378</v>
      </c>
      <c r="B273" t="s">
        <v>379</v>
      </c>
      <c r="C273" s="5">
        <v>3.3915000002068935E-3</v>
      </c>
      <c r="D273" s="3">
        <f t="shared" si="12"/>
        <v>3.472896000211859</v>
      </c>
      <c r="E273" s="3">
        <f t="shared" si="13"/>
        <v>3.472896000211859</v>
      </c>
      <c r="F273" t="str">
        <f t="shared" si="14"/>
        <v>KAZ</v>
      </c>
      <c r="G273" t="str">
        <f>+_xlfn.XLOOKUP(F273,Sheet1!C:C,Sheet1!B:B,"N/A",0)</f>
        <v>KZ</v>
      </c>
      <c r="H273" t="str">
        <f>+_xlfn.XLOOKUP(F273,Sheet1!C:C,Sheet1!D:D,"N/A",0)</f>
        <v>398</v>
      </c>
    </row>
    <row r="274" spans="1:8" x14ac:dyDescent="0.25">
      <c r="A274" t="s">
        <v>378</v>
      </c>
      <c r="B274" t="s">
        <v>380</v>
      </c>
      <c r="C274" s="5">
        <v>5.0000000019569555E-3</v>
      </c>
      <c r="D274" s="3">
        <f t="shared" si="12"/>
        <v>5.1200000020039225</v>
      </c>
      <c r="E274" s="3">
        <f t="shared" si="13"/>
        <v>3.472896000211859</v>
      </c>
      <c r="F274" t="str">
        <f t="shared" si="14"/>
        <v>KAZ</v>
      </c>
      <c r="G274" t="str">
        <f>+_xlfn.XLOOKUP(F274,Sheet1!C:C,Sheet1!B:B,"N/A",0)</f>
        <v>KZ</v>
      </c>
      <c r="H274" t="str">
        <f>+_xlfn.XLOOKUP(F274,Sheet1!C:C,Sheet1!D:D,"N/A",0)</f>
        <v>398</v>
      </c>
    </row>
    <row r="275" spans="1:8" x14ac:dyDescent="0.25">
      <c r="A275" t="s">
        <v>378</v>
      </c>
      <c r="B275" t="s">
        <v>381</v>
      </c>
      <c r="C275" s="5">
        <v>7.9948283042633288E-3</v>
      </c>
      <c r="D275" s="3">
        <f t="shared" si="12"/>
        <v>8.1867041835656487</v>
      </c>
      <c r="E275" s="3">
        <f t="shared" si="13"/>
        <v>3.472896000211859</v>
      </c>
      <c r="F275" t="str">
        <f t="shared" si="14"/>
        <v>KAZ</v>
      </c>
      <c r="G275" t="str">
        <f>+_xlfn.XLOOKUP(F275,Sheet1!C:C,Sheet1!B:B,"N/A",0)</f>
        <v>KZ</v>
      </c>
      <c r="H275" t="str">
        <f>+_xlfn.XLOOKUP(F275,Sheet1!C:C,Sheet1!D:D,"N/A",0)</f>
        <v>398</v>
      </c>
    </row>
    <row r="276" spans="1:8" x14ac:dyDescent="0.25">
      <c r="A276" t="s">
        <v>382</v>
      </c>
      <c r="B276" t="s">
        <v>383</v>
      </c>
      <c r="C276" s="5">
        <v>1.9514999999999999E-3</v>
      </c>
      <c r="D276" s="3">
        <f t="shared" si="12"/>
        <v>1.9983359999999999</v>
      </c>
      <c r="E276" s="3">
        <f t="shared" si="13"/>
        <v>1.9983359999999999</v>
      </c>
      <c r="F276" t="str">
        <f t="shared" si="14"/>
        <v>KEN</v>
      </c>
      <c r="G276" t="str">
        <f>+_xlfn.XLOOKUP(F276,Sheet1!C:C,Sheet1!B:B,"N/A",0)</f>
        <v>KE</v>
      </c>
      <c r="H276" t="str">
        <f>+_xlfn.XLOOKUP(F276,Sheet1!C:C,Sheet1!D:D,"N/A",0)</f>
        <v>404</v>
      </c>
    </row>
    <row r="277" spans="1:8" x14ac:dyDescent="0.25">
      <c r="A277" t="s">
        <v>382</v>
      </c>
      <c r="B277" t="s">
        <v>384</v>
      </c>
      <c r="C277" s="5">
        <v>21.945262262484867</v>
      </c>
      <c r="D277" s="3">
        <f t="shared" si="12"/>
        <v>22471.948556784504</v>
      </c>
      <c r="E277" s="3">
        <f t="shared" si="13"/>
        <v>1.9983359999999999</v>
      </c>
      <c r="F277" t="str">
        <f t="shared" si="14"/>
        <v>KEN</v>
      </c>
      <c r="G277" t="str">
        <f>+_xlfn.XLOOKUP(F277,Sheet1!C:C,Sheet1!B:B,"N/A",0)</f>
        <v>KE</v>
      </c>
      <c r="H277" t="str">
        <f>+_xlfn.XLOOKUP(F277,Sheet1!C:C,Sheet1!D:D,"N/A",0)</f>
        <v>404</v>
      </c>
    </row>
    <row r="278" spans="1:8" x14ac:dyDescent="0.25">
      <c r="A278" t="s">
        <v>382</v>
      </c>
      <c r="B278" t="s">
        <v>385</v>
      </c>
      <c r="C278" s="5">
        <v>4.3617455374676817E-3</v>
      </c>
      <c r="D278" s="3">
        <f t="shared" si="12"/>
        <v>4.466427430366906</v>
      </c>
      <c r="E278" s="3">
        <f t="shared" si="13"/>
        <v>1.9983359999999999</v>
      </c>
      <c r="F278" t="str">
        <f t="shared" si="14"/>
        <v>KEN</v>
      </c>
      <c r="G278" t="str">
        <f>+_xlfn.XLOOKUP(F278,Sheet1!C:C,Sheet1!B:B,"N/A",0)</f>
        <v>KE</v>
      </c>
      <c r="H278" t="str">
        <f>+_xlfn.XLOOKUP(F278,Sheet1!C:C,Sheet1!D:D,"N/A",0)</f>
        <v>404</v>
      </c>
    </row>
    <row r="279" spans="1:8" x14ac:dyDescent="0.25">
      <c r="A279" t="s">
        <v>386</v>
      </c>
      <c r="B279" t="s">
        <v>387</v>
      </c>
      <c r="C279" s="5">
        <v>2.7858690864112114E-2</v>
      </c>
      <c r="D279" s="3">
        <f t="shared" si="12"/>
        <v>28.527299444850804</v>
      </c>
      <c r="E279" s="3">
        <f t="shared" si="13"/>
        <v>28.527299444850804</v>
      </c>
      <c r="F279" t="str">
        <f t="shared" si="14"/>
        <v>KIR</v>
      </c>
      <c r="G279" t="str">
        <f>+_xlfn.XLOOKUP(F279,Sheet1!C:C,Sheet1!B:B,"N/A",0)</f>
        <v>KI</v>
      </c>
      <c r="H279" t="str">
        <f>+_xlfn.XLOOKUP(F279,Sheet1!C:C,Sheet1!D:D,"N/A",0)</f>
        <v>296</v>
      </c>
    </row>
    <row r="280" spans="1:8" x14ac:dyDescent="0.25">
      <c r="A280" t="s">
        <v>388</v>
      </c>
      <c r="B280" t="s">
        <v>389</v>
      </c>
      <c r="C280" s="5">
        <v>8.7007626622946925E-4</v>
      </c>
      <c r="D280" s="3">
        <f t="shared" si="12"/>
        <v>0.89095809661897651</v>
      </c>
      <c r="E280" s="3">
        <f t="shared" si="13"/>
        <v>0.89095809661897651</v>
      </c>
      <c r="F280" t="str">
        <f t="shared" si="14"/>
        <v>XKX</v>
      </c>
      <c r="G280" t="str">
        <f>+_xlfn.XLOOKUP(F280,Sheet1!C:C,Sheet1!B:B,"N/A",0)</f>
        <v>XK</v>
      </c>
      <c r="H280">
        <f>+_xlfn.XLOOKUP(F280,Sheet1!C:C,Sheet1!D:D,"N/A",0)</f>
        <v>0</v>
      </c>
    </row>
    <row r="281" spans="1:8" x14ac:dyDescent="0.25">
      <c r="A281" t="s">
        <v>388</v>
      </c>
      <c r="B281" t="s">
        <v>390</v>
      </c>
      <c r="C281" s="5">
        <v>8.7049999999999985E-4</v>
      </c>
      <c r="D281" s="3">
        <f t="shared" si="12"/>
        <v>0.89139199999999985</v>
      </c>
      <c r="E281" s="3">
        <f t="shared" si="13"/>
        <v>0.89095809661897651</v>
      </c>
      <c r="F281" t="str">
        <f t="shared" si="14"/>
        <v>XKX</v>
      </c>
      <c r="G281" t="str">
        <f>+_xlfn.XLOOKUP(F281,Sheet1!C:C,Sheet1!B:B,"N/A",0)</f>
        <v>XK</v>
      </c>
      <c r="H281">
        <f>+_xlfn.XLOOKUP(F281,Sheet1!C:C,Sheet1!D:D,"N/A",0)</f>
        <v>0</v>
      </c>
    </row>
    <row r="282" spans="1:8" x14ac:dyDescent="0.25">
      <c r="A282" t="s">
        <v>391</v>
      </c>
      <c r="B282" t="s">
        <v>392</v>
      </c>
      <c r="C282" s="5">
        <v>1.4854000000197188E-3</v>
      </c>
      <c r="D282" s="3">
        <f t="shared" si="12"/>
        <v>1.5210496000201921</v>
      </c>
      <c r="E282" s="3">
        <f t="shared" si="13"/>
        <v>0.86920728207384079</v>
      </c>
      <c r="F282" t="str">
        <f t="shared" si="14"/>
        <v>KWT</v>
      </c>
      <c r="G282" t="str">
        <f>+_xlfn.XLOOKUP(F282,Sheet1!C:C,Sheet1!B:B,"N/A",0)</f>
        <v>KW</v>
      </c>
      <c r="H282" t="str">
        <f>+_xlfn.XLOOKUP(F282,Sheet1!C:C,Sheet1!D:D,"N/A",0)</f>
        <v>414</v>
      </c>
    </row>
    <row r="283" spans="1:8" x14ac:dyDescent="0.25">
      <c r="A283" t="s">
        <v>391</v>
      </c>
      <c r="B283" t="s">
        <v>393</v>
      </c>
      <c r="C283" s="5">
        <v>1.0000000015738583E-3</v>
      </c>
      <c r="D283" s="3">
        <f t="shared" si="12"/>
        <v>1.0240000016116309</v>
      </c>
      <c r="E283" s="3">
        <f t="shared" si="13"/>
        <v>0.86920728207384079</v>
      </c>
      <c r="F283" t="str">
        <f t="shared" si="14"/>
        <v>KWT</v>
      </c>
      <c r="G283" t="str">
        <f>+_xlfn.XLOOKUP(F283,Sheet1!C:C,Sheet1!B:B,"N/A",0)</f>
        <v>KW</v>
      </c>
      <c r="H283" t="str">
        <f>+_xlfn.XLOOKUP(F283,Sheet1!C:C,Sheet1!D:D,"N/A",0)</f>
        <v>414</v>
      </c>
    </row>
    <row r="284" spans="1:8" x14ac:dyDescent="0.25">
      <c r="A284" t="s">
        <v>391</v>
      </c>
      <c r="B284" t="s">
        <v>394</v>
      </c>
      <c r="C284" s="5">
        <v>8.4883523640023515E-4</v>
      </c>
      <c r="D284" s="3">
        <f t="shared" si="12"/>
        <v>0.86920728207384079</v>
      </c>
      <c r="E284" s="3">
        <f t="shared" si="13"/>
        <v>0.86920728207384079</v>
      </c>
      <c r="F284" t="str">
        <f t="shared" si="14"/>
        <v>KWT</v>
      </c>
      <c r="G284" t="str">
        <f>+_xlfn.XLOOKUP(F284,Sheet1!C:C,Sheet1!B:B,"N/A",0)</f>
        <v>KW</v>
      </c>
      <c r="H284" t="str">
        <f>+_xlfn.XLOOKUP(F284,Sheet1!C:C,Sheet1!D:D,"N/A",0)</f>
        <v>414</v>
      </c>
    </row>
    <row r="285" spans="1:8" x14ac:dyDescent="0.25">
      <c r="A285" t="s">
        <v>395</v>
      </c>
      <c r="B285" t="s">
        <v>396</v>
      </c>
      <c r="C285" s="5">
        <v>2.9696000002019242E-3</v>
      </c>
      <c r="D285" s="3">
        <f t="shared" si="12"/>
        <v>3.0408704002067704</v>
      </c>
      <c r="E285" s="3">
        <f t="shared" si="13"/>
        <v>1.0236236761051292</v>
      </c>
      <c r="F285" t="str">
        <f t="shared" si="14"/>
        <v>KGZ</v>
      </c>
      <c r="G285" t="str">
        <f>+_xlfn.XLOOKUP(F285,Sheet1!C:C,Sheet1!B:B,"N/A",0)</f>
        <v>KG</v>
      </c>
      <c r="H285" t="str">
        <f>+_xlfn.XLOOKUP(F285,Sheet1!C:C,Sheet1!D:D,"N/A",0)</f>
        <v>417</v>
      </c>
    </row>
    <row r="286" spans="1:8" x14ac:dyDescent="0.25">
      <c r="A286" t="s">
        <v>395</v>
      </c>
      <c r="B286" t="s">
        <v>397</v>
      </c>
      <c r="C286" s="5">
        <v>15.698663743718177</v>
      </c>
      <c r="D286" s="3">
        <f t="shared" si="12"/>
        <v>16075.431673567413</v>
      </c>
      <c r="E286" s="3">
        <f t="shared" si="13"/>
        <v>1.0236236761051292</v>
      </c>
      <c r="F286" t="str">
        <f t="shared" si="14"/>
        <v>KGZ</v>
      </c>
      <c r="G286" t="str">
        <f>+_xlfn.XLOOKUP(F286,Sheet1!C:C,Sheet1!B:B,"N/A",0)</f>
        <v>KG</v>
      </c>
      <c r="H286" t="str">
        <f>+_xlfn.XLOOKUP(F286,Sheet1!C:C,Sheet1!D:D,"N/A",0)</f>
        <v>417</v>
      </c>
    </row>
    <row r="287" spans="1:8" x14ac:dyDescent="0.25">
      <c r="A287" t="s">
        <v>395</v>
      </c>
      <c r="B287" t="s">
        <v>398</v>
      </c>
      <c r="C287" s="5">
        <v>9.996324961964152E-4</v>
      </c>
      <c r="D287" s="3">
        <f t="shared" si="12"/>
        <v>1.0236236761051292</v>
      </c>
      <c r="E287" s="3">
        <f t="shared" si="13"/>
        <v>1.0236236761051292</v>
      </c>
      <c r="F287" t="str">
        <f t="shared" si="14"/>
        <v>KGZ</v>
      </c>
      <c r="G287" t="str">
        <f>+_xlfn.XLOOKUP(F287,Sheet1!C:C,Sheet1!B:B,"N/A",0)</f>
        <v>KG</v>
      </c>
      <c r="H287" t="str">
        <f>+_xlfn.XLOOKUP(F287,Sheet1!C:C,Sheet1!D:D,"N/A",0)</f>
        <v>417</v>
      </c>
    </row>
    <row r="288" spans="1:8" x14ac:dyDescent="0.25">
      <c r="A288" t="s">
        <v>399</v>
      </c>
      <c r="B288" t="s">
        <v>400</v>
      </c>
      <c r="C288" s="5">
        <v>13.947097400000004</v>
      </c>
      <c r="D288" s="3">
        <f t="shared" si="12"/>
        <v>14281.827737600004</v>
      </c>
      <c r="E288" s="3">
        <f t="shared" si="13"/>
        <v>10.240000000000002</v>
      </c>
      <c r="F288" t="str">
        <f t="shared" si="14"/>
        <v>LAO</v>
      </c>
      <c r="G288" t="str">
        <f>+_xlfn.XLOOKUP(F288,Sheet1!C:C,Sheet1!B:B,"N/A",0)</f>
        <v>LA</v>
      </c>
      <c r="H288" t="str">
        <f>+_xlfn.XLOOKUP(F288,Sheet1!C:C,Sheet1!D:D,"N/A",0)</f>
        <v>418</v>
      </c>
    </row>
    <row r="289" spans="1:8" x14ac:dyDescent="0.25">
      <c r="A289" t="s">
        <v>399</v>
      </c>
      <c r="B289" t="s">
        <v>401</v>
      </c>
      <c r="C289" s="5"/>
      <c r="D289" s="3">
        <f t="shared" si="12"/>
        <v>0</v>
      </c>
      <c r="E289" s="3">
        <f t="shared" si="13"/>
        <v>10.240000000000002</v>
      </c>
      <c r="F289" t="str">
        <f t="shared" si="14"/>
        <v>LAO</v>
      </c>
      <c r="G289" t="str">
        <f>+_xlfn.XLOOKUP(F289,Sheet1!C:C,Sheet1!B:B,"N/A",0)</f>
        <v>LA</v>
      </c>
      <c r="H289" t="str">
        <f>+_xlfn.XLOOKUP(F289,Sheet1!C:C,Sheet1!D:D,"N/A",0)</f>
        <v>418</v>
      </c>
    </row>
    <row r="290" spans="1:8" x14ac:dyDescent="0.25">
      <c r="A290" t="s">
        <v>399</v>
      </c>
      <c r="B290" t="s">
        <v>402</v>
      </c>
      <c r="C290" s="5">
        <v>1.0000000000000002E-2</v>
      </c>
      <c r="D290" s="3">
        <f t="shared" si="12"/>
        <v>10.240000000000002</v>
      </c>
      <c r="E290" s="3">
        <f t="shared" si="13"/>
        <v>10.240000000000002</v>
      </c>
      <c r="F290" t="str">
        <f t="shared" si="14"/>
        <v>LAO</v>
      </c>
      <c r="G290" t="str">
        <f>+_xlfn.XLOOKUP(F290,Sheet1!C:C,Sheet1!B:B,"N/A",0)</f>
        <v>LA</v>
      </c>
      <c r="H290" t="str">
        <f>+_xlfn.XLOOKUP(F290,Sheet1!C:C,Sheet1!D:D,"N/A",0)</f>
        <v>418</v>
      </c>
    </row>
    <row r="291" spans="1:8" x14ac:dyDescent="0.25">
      <c r="A291" t="s">
        <v>399</v>
      </c>
      <c r="B291" t="s">
        <v>403</v>
      </c>
      <c r="C291" s="5">
        <v>2.2305248172937761E-2</v>
      </c>
      <c r="D291" s="3">
        <f t="shared" si="12"/>
        <v>22.840574129088267</v>
      </c>
      <c r="E291" s="3">
        <f t="shared" si="13"/>
        <v>10.240000000000002</v>
      </c>
      <c r="F291" t="str">
        <f t="shared" si="14"/>
        <v>LAO</v>
      </c>
      <c r="G291" t="str">
        <f>+_xlfn.XLOOKUP(F291,Sheet1!C:C,Sheet1!B:B,"N/A",0)</f>
        <v>LA</v>
      </c>
      <c r="H291" t="str">
        <f>+_xlfn.XLOOKUP(F291,Sheet1!C:C,Sheet1!D:D,"N/A",0)</f>
        <v>418</v>
      </c>
    </row>
    <row r="292" spans="1:8" x14ac:dyDescent="0.25">
      <c r="A292" t="s">
        <v>404</v>
      </c>
      <c r="B292" t="s">
        <v>405</v>
      </c>
      <c r="C292" s="5">
        <v>2.0000000000000001E-4</v>
      </c>
      <c r="D292" s="3">
        <f t="shared" si="12"/>
        <v>0.20480000000000001</v>
      </c>
      <c r="E292" s="3">
        <f t="shared" si="13"/>
        <v>0.20480000000000001</v>
      </c>
      <c r="F292" t="str">
        <f t="shared" si="14"/>
        <v>LVA</v>
      </c>
      <c r="G292" t="str">
        <f>+_xlfn.XLOOKUP(F292,Sheet1!C:C,Sheet1!B:B,"N/A",0)</f>
        <v>LV</v>
      </c>
      <c r="H292" t="str">
        <f>+_xlfn.XLOOKUP(F292,Sheet1!C:C,Sheet1!D:D,"N/A",0)</f>
        <v>428</v>
      </c>
    </row>
    <row r="293" spans="1:8" x14ac:dyDescent="0.25">
      <c r="A293" t="s">
        <v>404</v>
      </c>
      <c r="B293" t="s">
        <v>406</v>
      </c>
      <c r="C293" s="5">
        <v>6.4570000000000003E-4</v>
      </c>
      <c r="D293" s="3">
        <f t="shared" si="12"/>
        <v>0.66119680000000003</v>
      </c>
      <c r="E293" s="3">
        <f t="shared" si="13"/>
        <v>0.20480000000000001</v>
      </c>
      <c r="F293" t="str">
        <f t="shared" si="14"/>
        <v>LVA</v>
      </c>
      <c r="G293" t="str">
        <f>+_xlfn.XLOOKUP(F293,Sheet1!C:C,Sheet1!B:B,"N/A",0)</f>
        <v>LV</v>
      </c>
      <c r="H293" t="str">
        <f>+_xlfn.XLOOKUP(F293,Sheet1!C:C,Sheet1!D:D,"N/A",0)</f>
        <v>428</v>
      </c>
    </row>
    <row r="294" spans="1:8" x14ac:dyDescent="0.25">
      <c r="A294" t="s">
        <v>404</v>
      </c>
      <c r="B294" t="s">
        <v>407</v>
      </c>
      <c r="C294" s="5">
        <v>3.5539999999375957E-4</v>
      </c>
      <c r="D294" s="3">
        <f t="shared" si="12"/>
        <v>0.3639295999936098</v>
      </c>
      <c r="E294" s="3">
        <f t="shared" si="13"/>
        <v>0.20480000000000001</v>
      </c>
      <c r="F294" t="str">
        <f t="shared" si="14"/>
        <v>LVA</v>
      </c>
      <c r="G294" t="str">
        <f>+_xlfn.XLOOKUP(F294,Sheet1!C:C,Sheet1!B:B,"N/A",0)</f>
        <v>LV</v>
      </c>
      <c r="H294" t="str">
        <f>+_xlfn.XLOOKUP(F294,Sheet1!C:C,Sheet1!D:D,"N/A",0)</f>
        <v>428</v>
      </c>
    </row>
    <row r="295" spans="1:8" x14ac:dyDescent="0.25">
      <c r="A295" t="s">
        <v>408</v>
      </c>
      <c r="B295" t="s">
        <v>409</v>
      </c>
      <c r="C295" s="5">
        <v>0.31752920000607948</v>
      </c>
      <c r="D295" s="3">
        <f t="shared" si="12"/>
        <v>325.14990080622539</v>
      </c>
      <c r="E295" s="3">
        <f t="shared" si="13"/>
        <v>171.62680323060141</v>
      </c>
      <c r="F295" t="str">
        <f t="shared" si="14"/>
        <v>LBN</v>
      </c>
      <c r="G295" t="str">
        <f>+_xlfn.XLOOKUP(F295,Sheet1!C:C,Sheet1!B:B,"N/A",0)</f>
        <v>LB</v>
      </c>
      <c r="H295" t="str">
        <f>+_xlfn.XLOOKUP(F295,Sheet1!C:C,Sheet1!D:D,"N/A",0)</f>
        <v>422</v>
      </c>
    </row>
    <row r="296" spans="1:8" x14ac:dyDescent="0.25">
      <c r="A296" t="s">
        <v>408</v>
      </c>
      <c r="B296" t="s">
        <v>410</v>
      </c>
      <c r="C296" s="5">
        <v>0.16760430002988419</v>
      </c>
      <c r="D296" s="3">
        <f t="shared" si="12"/>
        <v>171.62680323060141</v>
      </c>
      <c r="E296" s="3">
        <f t="shared" si="13"/>
        <v>171.62680323060141</v>
      </c>
      <c r="F296" t="str">
        <f t="shared" si="14"/>
        <v>LBN</v>
      </c>
      <c r="G296" t="str">
        <f>+_xlfn.XLOOKUP(F296,Sheet1!C:C,Sheet1!B:B,"N/A",0)</f>
        <v>LB</v>
      </c>
      <c r="H296" t="str">
        <f>+_xlfn.XLOOKUP(F296,Sheet1!C:C,Sheet1!D:D,"N/A",0)</f>
        <v>422</v>
      </c>
    </row>
    <row r="297" spans="1:8" x14ac:dyDescent="0.25">
      <c r="A297" t="s">
        <v>411</v>
      </c>
      <c r="B297" t="s">
        <v>412</v>
      </c>
      <c r="C297" s="5">
        <v>2.5884261885851374E-2</v>
      </c>
      <c r="D297" s="3">
        <f t="shared" si="12"/>
        <v>26.505484171111807</v>
      </c>
      <c r="E297" s="3">
        <f t="shared" si="13"/>
        <v>26.505484171111807</v>
      </c>
      <c r="F297" t="str">
        <f t="shared" si="14"/>
        <v>LSO</v>
      </c>
      <c r="G297" t="str">
        <f>+_xlfn.XLOOKUP(F297,Sheet1!C:C,Sheet1!B:B,"N/A",0)</f>
        <v>LS</v>
      </c>
      <c r="H297" t="str">
        <f>+_xlfn.XLOOKUP(F297,Sheet1!C:C,Sheet1!D:D,"N/A",0)</f>
        <v>426</v>
      </c>
    </row>
    <row r="298" spans="1:8" x14ac:dyDescent="0.25">
      <c r="A298" t="s">
        <v>411</v>
      </c>
      <c r="B298" t="s">
        <v>413</v>
      </c>
      <c r="C298" s="5">
        <v>2.5901427000000004</v>
      </c>
      <c r="D298" s="3">
        <f t="shared" si="12"/>
        <v>2652.3061248000004</v>
      </c>
      <c r="E298" s="3">
        <f t="shared" si="13"/>
        <v>26.505484171111807</v>
      </c>
      <c r="F298" t="str">
        <f t="shared" si="14"/>
        <v>LSO</v>
      </c>
      <c r="G298" t="str">
        <f>+_xlfn.XLOOKUP(F298,Sheet1!C:C,Sheet1!B:B,"N/A",0)</f>
        <v>LS</v>
      </c>
      <c r="H298" t="str">
        <f>+_xlfn.XLOOKUP(F298,Sheet1!C:C,Sheet1!D:D,"N/A",0)</f>
        <v>426</v>
      </c>
    </row>
    <row r="299" spans="1:8" x14ac:dyDescent="0.25">
      <c r="A299" t="s">
        <v>414</v>
      </c>
      <c r="B299" t="s">
        <v>415</v>
      </c>
      <c r="C299" s="5">
        <v>1.7959239736382564E-3</v>
      </c>
      <c r="D299" s="3">
        <f t="shared" si="12"/>
        <v>1.8390261490055746</v>
      </c>
      <c r="E299" s="3">
        <f t="shared" si="13"/>
        <v>1.8390261490055746</v>
      </c>
      <c r="F299" t="str">
        <f t="shared" si="14"/>
        <v>LBR</v>
      </c>
      <c r="G299" t="str">
        <f>+_xlfn.XLOOKUP(F299,Sheet1!C:C,Sheet1!B:B,"N/A",0)</f>
        <v>LR</v>
      </c>
      <c r="H299" t="str">
        <f>+_xlfn.XLOOKUP(F299,Sheet1!C:C,Sheet1!D:D,"N/A",0)</f>
        <v>430</v>
      </c>
    </row>
    <row r="300" spans="1:8" x14ac:dyDescent="0.25">
      <c r="A300" t="s">
        <v>414</v>
      </c>
      <c r="B300" t="s">
        <v>416</v>
      </c>
      <c r="C300" s="5">
        <v>1.9225000739893825E-3</v>
      </c>
      <c r="D300" s="3">
        <f t="shared" si="12"/>
        <v>1.9686400757651277</v>
      </c>
      <c r="E300" s="3">
        <f t="shared" si="13"/>
        <v>1.8390261490055746</v>
      </c>
      <c r="F300" t="str">
        <f t="shared" si="14"/>
        <v>LBR</v>
      </c>
      <c r="G300" t="str">
        <f>+_xlfn.XLOOKUP(F300,Sheet1!C:C,Sheet1!B:B,"N/A",0)</f>
        <v>LR</v>
      </c>
      <c r="H300" t="str">
        <f>+_xlfn.XLOOKUP(F300,Sheet1!C:C,Sheet1!D:D,"N/A",0)</f>
        <v>430</v>
      </c>
    </row>
    <row r="301" spans="1:8" x14ac:dyDescent="0.25">
      <c r="A301" t="s">
        <v>417</v>
      </c>
      <c r="B301" t="s">
        <v>418</v>
      </c>
      <c r="C301" s="5">
        <v>2.2434201061600326E-2</v>
      </c>
      <c r="D301" s="3">
        <f t="shared" si="12"/>
        <v>22.972621887078734</v>
      </c>
      <c r="E301" s="3">
        <f t="shared" si="13"/>
        <v>22.972621887078734</v>
      </c>
      <c r="F301" t="str">
        <f t="shared" si="14"/>
        <v>LBY</v>
      </c>
      <c r="G301" t="str">
        <f>+_xlfn.XLOOKUP(F301,Sheet1!C:C,Sheet1!B:B,"N/A",0)</f>
        <v>LY</v>
      </c>
      <c r="H301" t="str">
        <f>+_xlfn.XLOOKUP(F301,Sheet1!C:C,Sheet1!D:D,"N/A",0)</f>
        <v>434</v>
      </c>
    </row>
    <row r="302" spans="1:8" x14ac:dyDescent="0.25">
      <c r="A302" t="s">
        <v>417</v>
      </c>
      <c r="B302" t="s">
        <v>419</v>
      </c>
      <c r="C302" s="5">
        <v>11.174219799999999</v>
      </c>
      <c r="D302" s="3">
        <f t="shared" si="12"/>
        <v>11442.401075199999</v>
      </c>
      <c r="E302" s="3">
        <f t="shared" si="13"/>
        <v>22.972621887078734</v>
      </c>
      <c r="F302" t="str">
        <f t="shared" si="14"/>
        <v>LBY</v>
      </c>
      <c r="G302" t="str">
        <f>+_xlfn.XLOOKUP(F302,Sheet1!C:C,Sheet1!B:B,"N/A",0)</f>
        <v>LY</v>
      </c>
      <c r="H302" t="str">
        <f>+_xlfn.XLOOKUP(F302,Sheet1!C:C,Sheet1!D:D,"N/A",0)</f>
        <v>434</v>
      </c>
    </row>
    <row r="303" spans="1:8" x14ac:dyDescent="0.25">
      <c r="A303" t="s">
        <v>420</v>
      </c>
      <c r="B303" t="s">
        <v>421</v>
      </c>
      <c r="C303" s="5">
        <v>1.4999999999999998E-3</v>
      </c>
      <c r="D303" s="3">
        <f t="shared" si="12"/>
        <v>1.5359999999999998</v>
      </c>
      <c r="E303" s="3">
        <f t="shared" si="13"/>
        <v>0.57518080000000005</v>
      </c>
      <c r="F303" t="str">
        <f t="shared" si="14"/>
        <v>LIE</v>
      </c>
      <c r="G303" t="str">
        <f>+_xlfn.XLOOKUP(F303,Sheet1!C:C,Sheet1!B:B,"N/A",0)</f>
        <v>LI</v>
      </c>
      <c r="H303" t="str">
        <f>+_xlfn.XLOOKUP(F303,Sheet1!C:C,Sheet1!D:D,"N/A",0)</f>
        <v>438</v>
      </c>
    </row>
    <row r="304" spans="1:8" x14ac:dyDescent="0.25">
      <c r="A304" t="s">
        <v>420</v>
      </c>
      <c r="B304" t="s">
        <v>422</v>
      </c>
      <c r="C304" s="5">
        <v>5.6170000000000005E-4</v>
      </c>
      <c r="D304" s="3">
        <f t="shared" si="12"/>
        <v>0.57518080000000005</v>
      </c>
      <c r="E304" s="3">
        <f t="shared" si="13"/>
        <v>0.57518080000000005</v>
      </c>
      <c r="F304" t="str">
        <f t="shared" si="14"/>
        <v>LIE</v>
      </c>
      <c r="G304" t="str">
        <f>+_xlfn.XLOOKUP(F304,Sheet1!C:C,Sheet1!B:B,"N/A",0)</f>
        <v>LI</v>
      </c>
      <c r="H304" t="str">
        <f>+_xlfn.XLOOKUP(F304,Sheet1!C:C,Sheet1!D:D,"N/A",0)</f>
        <v>438</v>
      </c>
    </row>
    <row r="305" spans="1:8" x14ac:dyDescent="0.25">
      <c r="A305" t="s">
        <v>423</v>
      </c>
      <c r="B305" t="s">
        <v>424</v>
      </c>
      <c r="C305" s="5">
        <v>2.0000000000000004E-4</v>
      </c>
      <c r="D305" s="3">
        <f t="shared" si="12"/>
        <v>0.20480000000000004</v>
      </c>
      <c r="E305" s="3">
        <f t="shared" si="13"/>
        <v>0.20480000000000004</v>
      </c>
      <c r="F305" t="str">
        <f t="shared" si="14"/>
        <v>LTU</v>
      </c>
      <c r="G305" t="str">
        <f>+_xlfn.XLOOKUP(F305,Sheet1!C:C,Sheet1!B:B,"N/A",0)</f>
        <v>LT</v>
      </c>
      <c r="H305" t="str">
        <f>+_xlfn.XLOOKUP(F305,Sheet1!C:C,Sheet1!D:D,"N/A",0)</f>
        <v>440</v>
      </c>
    </row>
    <row r="306" spans="1:8" x14ac:dyDescent="0.25">
      <c r="A306" t="s">
        <v>423</v>
      </c>
      <c r="B306" t="s">
        <v>425</v>
      </c>
      <c r="C306" s="5">
        <v>6.4570000000283023E-4</v>
      </c>
      <c r="D306" s="3">
        <f t="shared" si="12"/>
        <v>0.66119680000289816</v>
      </c>
      <c r="E306" s="3">
        <f t="shared" si="13"/>
        <v>0.20480000000000004</v>
      </c>
      <c r="F306" t="str">
        <f t="shared" si="14"/>
        <v>LTU</v>
      </c>
      <c r="G306" t="str">
        <f>+_xlfn.XLOOKUP(F306,Sheet1!C:C,Sheet1!B:B,"N/A",0)</f>
        <v>LT</v>
      </c>
      <c r="H306" t="str">
        <f>+_xlfn.XLOOKUP(F306,Sheet1!C:C,Sheet1!D:D,"N/A",0)</f>
        <v>440</v>
      </c>
    </row>
    <row r="307" spans="1:8" x14ac:dyDescent="0.25">
      <c r="A307" t="s">
        <v>423</v>
      </c>
      <c r="B307" t="s">
        <v>426</v>
      </c>
      <c r="C307" s="5">
        <v>3.5540000000000013E-4</v>
      </c>
      <c r="D307" s="3">
        <f t="shared" si="12"/>
        <v>0.36392960000000013</v>
      </c>
      <c r="E307" s="3">
        <f t="shared" si="13"/>
        <v>0.20480000000000004</v>
      </c>
      <c r="F307" t="str">
        <f t="shared" si="14"/>
        <v>LTU</v>
      </c>
      <c r="G307" t="str">
        <f>+_xlfn.XLOOKUP(F307,Sheet1!C:C,Sheet1!B:B,"N/A",0)</f>
        <v>LT</v>
      </c>
      <c r="H307" t="str">
        <f>+_xlfn.XLOOKUP(F307,Sheet1!C:C,Sheet1!D:D,"N/A",0)</f>
        <v>440</v>
      </c>
    </row>
    <row r="308" spans="1:8" x14ac:dyDescent="0.25">
      <c r="A308" t="s">
        <v>427</v>
      </c>
      <c r="B308" t="s">
        <v>428</v>
      </c>
      <c r="C308" s="5">
        <v>8.6870000000000003E-4</v>
      </c>
      <c r="D308" s="3">
        <f t="shared" si="12"/>
        <v>0.88954880000000003</v>
      </c>
      <c r="E308" s="3">
        <f t="shared" si="13"/>
        <v>0.35491839999999997</v>
      </c>
      <c r="F308" t="str">
        <f t="shared" si="14"/>
        <v>LUX</v>
      </c>
      <c r="G308" t="str">
        <f>+_xlfn.XLOOKUP(F308,Sheet1!C:C,Sheet1!B:B,"N/A",0)</f>
        <v>LU</v>
      </c>
      <c r="H308" t="str">
        <f>+_xlfn.XLOOKUP(F308,Sheet1!C:C,Sheet1!D:D,"N/A",0)</f>
        <v>442</v>
      </c>
    </row>
    <row r="309" spans="1:8" x14ac:dyDescent="0.25">
      <c r="A309" t="s">
        <v>427</v>
      </c>
      <c r="B309" t="s">
        <v>429</v>
      </c>
      <c r="C309" s="5">
        <v>6.4520000000000007E-4</v>
      </c>
      <c r="D309" s="3">
        <f t="shared" si="12"/>
        <v>0.66068480000000007</v>
      </c>
      <c r="E309" s="3">
        <f t="shared" si="13"/>
        <v>0.35491839999999997</v>
      </c>
      <c r="F309" t="str">
        <f t="shared" si="14"/>
        <v>LUX</v>
      </c>
      <c r="G309" t="str">
        <f>+_xlfn.XLOOKUP(F309,Sheet1!C:C,Sheet1!B:B,"N/A",0)</f>
        <v>LU</v>
      </c>
      <c r="H309" t="str">
        <f>+_xlfn.XLOOKUP(F309,Sheet1!C:C,Sheet1!D:D,"N/A",0)</f>
        <v>442</v>
      </c>
    </row>
    <row r="310" spans="1:8" x14ac:dyDescent="0.25">
      <c r="A310" t="s">
        <v>427</v>
      </c>
      <c r="B310" t="s">
        <v>430</v>
      </c>
      <c r="C310" s="5">
        <v>3.4659999999999997E-4</v>
      </c>
      <c r="D310" s="3">
        <f t="shared" si="12"/>
        <v>0.35491839999999997</v>
      </c>
      <c r="E310" s="3">
        <f t="shared" si="13"/>
        <v>0.35491839999999997</v>
      </c>
      <c r="F310" t="str">
        <f t="shared" si="14"/>
        <v>LUX</v>
      </c>
      <c r="G310" t="str">
        <f>+_xlfn.XLOOKUP(F310,Sheet1!C:C,Sheet1!B:B,"N/A",0)</f>
        <v>LU</v>
      </c>
      <c r="H310" t="str">
        <f>+_xlfn.XLOOKUP(F310,Sheet1!C:C,Sheet1!D:D,"N/A",0)</f>
        <v>442</v>
      </c>
    </row>
    <row r="311" spans="1:8" x14ac:dyDescent="0.25">
      <c r="A311" t="s">
        <v>431</v>
      </c>
      <c r="B311" t="s">
        <v>432</v>
      </c>
      <c r="C311" s="5">
        <v>2.5453999989065255E-3</v>
      </c>
      <c r="D311" s="3">
        <f t="shared" si="12"/>
        <v>2.6064895988802821</v>
      </c>
      <c r="E311" s="3">
        <f t="shared" si="13"/>
        <v>2.048</v>
      </c>
      <c r="F311" t="str">
        <f t="shared" si="14"/>
        <v>MAC</v>
      </c>
      <c r="G311" t="str">
        <f>+_xlfn.XLOOKUP(F311,Sheet1!C:C,Sheet1!B:B,"N/A",0)</f>
        <v>MO</v>
      </c>
      <c r="H311" t="str">
        <f>+_xlfn.XLOOKUP(F311,Sheet1!C:C,Sheet1!D:D,"N/A",0)</f>
        <v>446</v>
      </c>
    </row>
    <row r="312" spans="1:8" x14ac:dyDescent="0.25">
      <c r="A312" t="s">
        <v>431</v>
      </c>
      <c r="B312" t="s">
        <v>433</v>
      </c>
      <c r="C312" s="5">
        <v>2E-3</v>
      </c>
      <c r="D312" s="3">
        <f t="shared" si="12"/>
        <v>2.048</v>
      </c>
      <c r="E312" s="3">
        <f t="shared" si="13"/>
        <v>2.048</v>
      </c>
      <c r="F312" t="str">
        <f t="shared" si="14"/>
        <v>MAC</v>
      </c>
      <c r="G312" t="str">
        <f>+_xlfn.XLOOKUP(F312,Sheet1!C:C,Sheet1!B:B,"N/A",0)</f>
        <v>MO</v>
      </c>
      <c r="H312" t="str">
        <f>+_xlfn.XLOOKUP(F312,Sheet1!C:C,Sheet1!D:D,"N/A",0)</f>
        <v>446</v>
      </c>
    </row>
    <row r="313" spans="1:8" x14ac:dyDescent="0.25">
      <c r="A313" t="s">
        <v>431</v>
      </c>
      <c r="B313" t="s">
        <v>434</v>
      </c>
      <c r="C313" s="5">
        <v>2.9908203025233665E-3</v>
      </c>
      <c r="D313" s="3">
        <f t="shared" si="12"/>
        <v>3.0625999897839273</v>
      </c>
      <c r="E313" s="3">
        <f t="shared" si="13"/>
        <v>2.048</v>
      </c>
      <c r="F313" t="str">
        <f t="shared" si="14"/>
        <v>MAC</v>
      </c>
      <c r="G313" t="str">
        <f>+_xlfn.XLOOKUP(F313,Sheet1!C:C,Sheet1!B:B,"N/A",0)</f>
        <v>MO</v>
      </c>
      <c r="H313" t="str">
        <f>+_xlfn.XLOOKUP(F313,Sheet1!C:C,Sheet1!D:D,"N/A",0)</f>
        <v>446</v>
      </c>
    </row>
    <row r="314" spans="1:8" x14ac:dyDescent="0.25">
      <c r="A314" t="s">
        <v>435</v>
      </c>
      <c r="B314" t="s">
        <v>436</v>
      </c>
      <c r="C314" s="5"/>
      <c r="D314" s="3">
        <f t="shared" si="12"/>
        <v>0</v>
      </c>
      <c r="E314" s="3">
        <f t="shared" si="13"/>
        <v>0</v>
      </c>
      <c r="F314" t="str">
        <f t="shared" si="14"/>
        <v>AAZ</v>
      </c>
      <c r="G314" t="str">
        <f>+_xlfn.XLOOKUP(F314,Sheet1!C:C,Sheet1!B:B,"N/A",0)</f>
        <v>N/A</v>
      </c>
      <c r="H314" t="str">
        <f>+_xlfn.XLOOKUP(F314,Sheet1!C:C,Sheet1!D:D,"N/A",0)</f>
        <v>N/A</v>
      </c>
    </row>
    <row r="315" spans="1:8" x14ac:dyDescent="0.25">
      <c r="A315" t="s">
        <v>435</v>
      </c>
      <c r="B315" t="s">
        <v>437</v>
      </c>
      <c r="C315" s="5"/>
      <c r="D315" s="3">
        <f t="shared" si="12"/>
        <v>0</v>
      </c>
      <c r="E315" s="3">
        <f t="shared" si="13"/>
        <v>0</v>
      </c>
      <c r="F315" t="str">
        <f t="shared" si="14"/>
        <v>AAZ</v>
      </c>
      <c r="G315" t="str">
        <f>+_xlfn.XLOOKUP(F315,Sheet1!C:C,Sheet1!B:B,"N/A",0)</f>
        <v>N/A</v>
      </c>
      <c r="H315" t="str">
        <f>+_xlfn.XLOOKUP(F315,Sheet1!C:C,Sheet1!D:D,"N/A",0)</f>
        <v>N/A</v>
      </c>
    </row>
    <row r="316" spans="1:8" x14ac:dyDescent="0.25">
      <c r="A316" t="s">
        <v>435</v>
      </c>
      <c r="B316" t="s">
        <v>438</v>
      </c>
      <c r="C316" s="5"/>
      <c r="D316" s="3">
        <f t="shared" si="12"/>
        <v>0</v>
      </c>
      <c r="E316" s="3">
        <f t="shared" si="13"/>
        <v>0</v>
      </c>
      <c r="F316" t="str">
        <f t="shared" si="14"/>
        <v>AAZ</v>
      </c>
      <c r="G316" t="str">
        <f>+_xlfn.XLOOKUP(F316,Sheet1!C:C,Sheet1!B:B,"N/A",0)</f>
        <v>N/A</v>
      </c>
      <c r="H316" t="str">
        <f>+_xlfn.XLOOKUP(F316,Sheet1!C:C,Sheet1!D:D,"N/A",0)</f>
        <v>N/A</v>
      </c>
    </row>
    <row r="317" spans="1:8" x14ac:dyDescent="0.25">
      <c r="A317" t="s">
        <v>435</v>
      </c>
      <c r="B317" t="s">
        <v>439</v>
      </c>
      <c r="C317" s="5"/>
      <c r="D317" s="3">
        <f t="shared" si="12"/>
        <v>0</v>
      </c>
      <c r="E317" s="3">
        <f t="shared" si="13"/>
        <v>0</v>
      </c>
      <c r="F317" t="str">
        <f t="shared" si="14"/>
        <v>AAZ</v>
      </c>
      <c r="G317" t="str">
        <f>+_xlfn.XLOOKUP(F317,Sheet1!C:C,Sheet1!B:B,"N/A",0)</f>
        <v>N/A</v>
      </c>
      <c r="H317" t="str">
        <f>+_xlfn.XLOOKUP(F317,Sheet1!C:C,Sheet1!D:D,"N/A",0)</f>
        <v>N/A</v>
      </c>
    </row>
    <row r="318" spans="1:8" x14ac:dyDescent="0.25">
      <c r="A318" t="s">
        <v>435</v>
      </c>
      <c r="B318" t="s">
        <v>440</v>
      </c>
      <c r="C318" s="5"/>
      <c r="D318" s="3">
        <f t="shared" si="12"/>
        <v>0</v>
      </c>
      <c r="E318" s="3">
        <f t="shared" si="13"/>
        <v>0</v>
      </c>
      <c r="F318" t="str">
        <f t="shared" si="14"/>
        <v>AAZ</v>
      </c>
      <c r="G318" t="str">
        <f>+_xlfn.XLOOKUP(F318,Sheet1!C:C,Sheet1!B:B,"N/A",0)</f>
        <v>N/A</v>
      </c>
      <c r="H318" t="str">
        <f>+_xlfn.XLOOKUP(F318,Sheet1!C:C,Sheet1!D:D,"N/A",0)</f>
        <v>N/A</v>
      </c>
    </row>
    <row r="319" spans="1:8" x14ac:dyDescent="0.25">
      <c r="A319" t="s">
        <v>435</v>
      </c>
      <c r="B319" t="s">
        <v>441</v>
      </c>
      <c r="C319" s="5"/>
      <c r="D319" s="3">
        <f t="shared" si="12"/>
        <v>0</v>
      </c>
      <c r="E319" s="3">
        <f t="shared" si="13"/>
        <v>0</v>
      </c>
      <c r="F319" t="str">
        <f t="shared" si="14"/>
        <v>AAZ</v>
      </c>
      <c r="G319" t="str">
        <f>+_xlfn.XLOOKUP(F319,Sheet1!C:C,Sheet1!B:B,"N/A",0)</f>
        <v>N/A</v>
      </c>
      <c r="H319" t="str">
        <f>+_xlfn.XLOOKUP(F319,Sheet1!C:C,Sheet1!D:D,"N/A",0)</f>
        <v>N/A</v>
      </c>
    </row>
    <row r="320" spans="1:8" x14ac:dyDescent="0.25">
      <c r="A320" t="s">
        <v>435</v>
      </c>
      <c r="B320" t="s">
        <v>442</v>
      </c>
      <c r="C320" s="5"/>
      <c r="D320" s="3">
        <f t="shared" si="12"/>
        <v>0</v>
      </c>
      <c r="E320" s="3">
        <f t="shared" si="13"/>
        <v>0</v>
      </c>
      <c r="F320" t="str">
        <f t="shared" si="14"/>
        <v>AAZ</v>
      </c>
      <c r="G320" t="str">
        <f>+_xlfn.XLOOKUP(F320,Sheet1!C:C,Sheet1!B:B,"N/A",0)</f>
        <v>N/A</v>
      </c>
      <c r="H320" t="str">
        <f>+_xlfn.XLOOKUP(F320,Sheet1!C:C,Sheet1!D:D,"N/A",0)</f>
        <v>N/A</v>
      </c>
    </row>
    <row r="321" spans="1:8" x14ac:dyDescent="0.25">
      <c r="A321" t="s">
        <v>435</v>
      </c>
      <c r="B321" t="s">
        <v>443</v>
      </c>
      <c r="C321" s="5"/>
      <c r="D321" s="3">
        <f t="shared" si="12"/>
        <v>0</v>
      </c>
      <c r="E321" s="3">
        <f t="shared" si="13"/>
        <v>0</v>
      </c>
      <c r="F321" t="str">
        <f t="shared" si="14"/>
        <v>AAZ</v>
      </c>
      <c r="G321" t="str">
        <f>+_xlfn.XLOOKUP(F321,Sheet1!C:C,Sheet1!B:B,"N/A",0)</f>
        <v>N/A</v>
      </c>
      <c r="H321" t="str">
        <f>+_xlfn.XLOOKUP(F321,Sheet1!C:C,Sheet1!D:D,"N/A",0)</f>
        <v>N/A</v>
      </c>
    </row>
    <row r="322" spans="1:8" x14ac:dyDescent="0.25">
      <c r="A322" t="s">
        <v>444</v>
      </c>
      <c r="B322" t="s">
        <v>445</v>
      </c>
      <c r="C322" s="5">
        <v>1.9514999999999999E-3</v>
      </c>
      <c r="D322" s="3">
        <f t="shared" si="12"/>
        <v>1.9983359999999999</v>
      </c>
      <c r="E322" s="3">
        <f t="shared" si="13"/>
        <v>1.9686399999765261</v>
      </c>
      <c r="F322" t="str">
        <f t="shared" si="14"/>
        <v>MDG</v>
      </c>
      <c r="G322" t="str">
        <f>+_xlfn.XLOOKUP(F322,Sheet1!C:C,Sheet1!B:B,"N/A",0)</f>
        <v>MG</v>
      </c>
      <c r="H322" t="str">
        <f>+_xlfn.XLOOKUP(F322,Sheet1!C:C,Sheet1!D:D,"N/A",0)</f>
        <v>450</v>
      </c>
    </row>
    <row r="323" spans="1:8" x14ac:dyDescent="0.25">
      <c r="A323" t="s">
        <v>444</v>
      </c>
      <c r="B323" t="s">
        <v>446</v>
      </c>
      <c r="C323" s="5">
        <v>1.9224999999770762E-3</v>
      </c>
      <c r="D323" s="3">
        <f t="shared" ref="D323:D386" si="15">C323*1024</f>
        <v>1.9686399999765261</v>
      </c>
      <c r="E323" s="3">
        <f t="shared" ref="E323:E386" si="16">_xlfn.MINIFS(D:D,A:A,A323,D:D,"&lt;&gt;0")</f>
        <v>1.9686399999765261</v>
      </c>
      <c r="F323" t="str">
        <f t="shared" ref="F323:F386" si="17">_xlfn.TEXTBEFORE(_xlfn.TEXTAFTER(B323,"("),")")</f>
        <v>MDG</v>
      </c>
      <c r="G323" t="str">
        <f>+_xlfn.XLOOKUP(F323,Sheet1!C:C,Sheet1!B:B,"N/A",0)</f>
        <v>MG</v>
      </c>
      <c r="H323" t="str">
        <f>+_xlfn.XLOOKUP(F323,Sheet1!C:C,Sheet1!D:D,"N/A",0)</f>
        <v>450</v>
      </c>
    </row>
    <row r="324" spans="1:8" x14ac:dyDescent="0.25">
      <c r="A324" t="s">
        <v>444</v>
      </c>
      <c r="B324" t="s">
        <v>447</v>
      </c>
      <c r="C324" s="5">
        <v>1.9999993308102231E-3</v>
      </c>
      <c r="D324" s="3">
        <f t="shared" si="15"/>
        <v>2.0479993147496685</v>
      </c>
      <c r="E324" s="3">
        <f t="shared" si="16"/>
        <v>1.9686399999765261</v>
      </c>
      <c r="F324" t="str">
        <f t="shared" si="17"/>
        <v>MDG</v>
      </c>
      <c r="G324" t="str">
        <f>+_xlfn.XLOOKUP(F324,Sheet1!C:C,Sheet1!B:B,"N/A",0)</f>
        <v>MG</v>
      </c>
      <c r="H324" t="str">
        <f>+_xlfn.XLOOKUP(F324,Sheet1!C:C,Sheet1!D:D,"N/A",0)</f>
        <v>450</v>
      </c>
    </row>
    <row r="325" spans="1:8" x14ac:dyDescent="0.25">
      <c r="A325" t="s">
        <v>448</v>
      </c>
      <c r="B325" t="s">
        <v>449</v>
      </c>
      <c r="C325" s="5">
        <v>1.9514999948282352E-3</v>
      </c>
      <c r="D325" s="3">
        <f t="shared" si="15"/>
        <v>1.9983359947041128</v>
      </c>
      <c r="E325" s="3">
        <f t="shared" si="16"/>
        <v>1.9983359947041128</v>
      </c>
      <c r="F325" t="str">
        <f t="shared" si="17"/>
        <v>MWI</v>
      </c>
      <c r="G325" t="str">
        <f>+_xlfn.XLOOKUP(F325,Sheet1!C:C,Sheet1!B:B,"N/A",0)</f>
        <v>MW</v>
      </c>
      <c r="H325" t="str">
        <f>+_xlfn.XLOOKUP(F325,Sheet1!C:C,Sheet1!D:D,"N/A",0)</f>
        <v>454</v>
      </c>
    </row>
    <row r="326" spans="1:8" x14ac:dyDescent="0.25">
      <c r="A326" t="s">
        <v>448</v>
      </c>
      <c r="B326" t="s">
        <v>450</v>
      </c>
      <c r="C326" s="5">
        <v>2.7681492802945233</v>
      </c>
      <c r="D326" s="3">
        <f t="shared" si="15"/>
        <v>2834.5848630215919</v>
      </c>
      <c r="E326" s="3">
        <f t="shared" si="16"/>
        <v>1.9983359947041128</v>
      </c>
      <c r="F326" t="str">
        <f t="shared" si="17"/>
        <v>MWI</v>
      </c>
      <c r="G326" t="str">
        <f>+_xlfn.XLOOKUP(F326,Sheet1!C:C,Sheet1!B:B,"N/A",0)</f>
        <v>MW</v>
      </c>
      <c r="H326" t="str">
        <f>+_xlfn.XLOOKUP(F326,Sheet1!C:C,Sheet1!D:D,"N/A",0)</f>
        <v>454</v>
      </c>
    </row>
    <row r="327" spans="1:8" x14ac:dyDescent="0.25">
      <c r="A327" t="s">
        <v>451</v>
      </c>
      <c r="B327" t="s">
        <v>452</v>
      </c>
      <c r="C327" s="5">
        <v>7.0989831632805255E-4</v>
      </c>
      <c r="D327" s="3">
        <f t="shared" si="15"/>
        <v>0.72693587591992581</v>
      </c>
      <c r="E327" s="3">
        <f t="shared" si="16"/>
        <v>0.72693587591992581</v>
      </c>
      <c r="F327" t="str">
        <f t="shared" si="17"/>
        <v>MYS</v>
      </c>
      <c r="G327" t="str">
        <f>+_xlfn.XLOOKUP(F327,Sheet1!C:C,Sheet1!B:B,"N/A",0)</f>
        <v>MY</v>
      </c>
      <c r="H327" t="str">
        <f>+_xlfn.XLOOKUP(F327,Sheet1!C:C,Sheet1!D:D,"N/A",0)</f>
        <v>458</v>
      </c>
    </row>
    <row r="328" spans="1:8" x14ac:dyDescent="0.25">
      <c r="A328" t="s">
        <v>451</v>
      </c>
      <c r="B328" t="s">
        <v>453</v>
      </c>
      <c r="C328" s="5">
        <v>1.2287999999355263E-3</v>
      </c>
      <c r="D328" s="3">
        <f t="shared" si="15"/>
        <v>1.258291199933979</v>
      </c>
      <c r="E328" s="3">
        <f t="shared" si="16"/>
        <v>0.72693587591992581</v>
      </c>
      <c r="F328" t="str">
        <f t="shared" si="17"/>
        <v>MYS</v>
      </c>
      <c r="G328" t="str">
        <f>+_xlfn.XLOOKUP(F328,Sheet1!C:C,Sheet1!B:B,"N/A",0)</f>
        <v>MY</v>
      </c>
      <c r="H328" t="str">
        <f>+_xlfn.XLOOKUP(F328,Sheet1!C:C,Sheet1!D:D,"N/A",0)</f>
        <v>458</v>
      </c>
    </row>
    <row r="329" spans="1:8" x14ac:dyDescent="0.25">
      <c r="A329" t="s">
        <v>451</v>
      </c>
      <c r="B329" t="s">
        <v>454</v>
      </c>
      <c r="C329" s="5">
        <v>4.8901353592320555E-2</v>
      </c>
      <c r="D329" s="3">
        <f t="shared" si="15"/>
        <v>50.074986078536249</v>
      </c>
      <c r="E329" s="3">
        <f t="shared" si="16"/>
        <v>0.72693587591992581</v>
      </c>
      <c r="F329" t="str">
        <f t="shared" si="17"/>
        <v>MYS</v>
      </c>
      <c r="G329" t="str">
        <f>+_xlfn.XLOOKUP(F329,Sheet1!C:C,Sheet1!B:B,"N/A",0)</f>
        <v>MY</v>
      </c>
      <c r="H329" t="str">
        <f>+_xlfn.XLOOKUP(F329,Sheet1!C:C,Sheet1!D:D,"N/A",0)</f>
        <v>458</v>
      </c>
    </row>
    <row r="330" spans="1:8" x14ac:dyDescent="0.25">
      <c r="A330" t="s">
        <v>451</v>
      </c>
      <c r="B330" t="s">
        <v>455</v>
      </c>
      <c r="C330" s="5">
        <v>7.0990000001576708E-4</v>
      </c>
      <c r="D330" s="3">
        <f t="shared" si="15"/>
        <v>0.72693760001614549</v>
      </c>
      <c r="E330" s="3">
        <f t="shared" si="16"/>
        <v>0.72693587591992581</v>
      </c>
      <c r="F330" t="str">
        <f t="shared" si="17"/>
        <v>MYS</v>
      </c>
      <c r="G330" t="str">
        <f>+_xlfn.XLOOKUP(F330,Sheet1!C:C,Sheet1!B:B,"N/A",0)</f>
        <v>MY</v>
      </c>
      <c r="H330" t="str">
        <f>+_xlfn.XLOOKUP(F330,Sheet1!C:C,Sheet1!D:D,"N/A",0)</f>
        <v>458</v>
      </c>
    </row>
    <row r="331" spans="1:8" x14ac:dyDescent="0.25">
      <c r="A331" t="s">
        <v>456</v>
      </c>
      <c r="B331" t="s">
        <v>457</v>
      </c>
      <c r="C331" s="5">
        <v>4.0790748194031575E-3</v>
      </c>
      <c r="D331" s="3">
        <f t="shared" si="15"/>
        <v>4.1769726150688333</v>
      </c>
      <c r="E331" s="3">
        <f t="shared" si="16"/>
        <v>4.1769726150688333</v>
      </c>
      <c r="F331" t="str">
        <f t="shared" si="17"/>
        <v>MDV</v>
      </c>
      <c r="G331" t="str">
        <f>+_xlfn.XLOOKUP(F331,Sheet1!C:C,Sheet1!B:B,"N/A",0)</f>
        <v>MV</v>
      </c>
      <c r="H331" t="str">
        <f>+_xlfn.XLOOKUP(F331,Sheet1!C:C,Sheet1!D:D,"N/A",0)</f>
        <v>462</v>
      </c>
    </row>
    <row r="332" spans="1:8" x14ac:dyDescent="0.25">
      <c r="A332" t="s">
        <v>456</v>
      </c>
      <c r="B332" t="s">
        <v>458</v>
      </c>
      <c r="C332" s="5">
        <v>5.5785476240198195E-2</v>
      </c>
      <c r="D332" s="3">
        <f t="shared" si="15"/>
        <v>57.124327669962952</v>
      </c>
      <c r="E332" s="3">
        <f t="shared" si="16"/>
        <v>4.1769726150688333</v>
      </c>
      <c r="F332" t="str">
        <f t="shared" si="17"/>
        <v>MDV</v>
      </c>
      <c r="G332" t="str">
        <f>+_xlfn.XLOOKUP(F332,Sheet1!C:C,Sheet1!B:B,"N/A",0)</f>
        <v>MV</v>
      </c>
      <c r="H332" t="str">
        <f>+_xlfn.XLOOKUP(F332,Sheet1!C:C,Sheet1!D:D,"N/A",0)</f>
        <v>462</v>
      </c>
    </row>
    <row r="333" spans="1:8" x14ac:dyDescent="0.25">
      <c r="A333" t="s">
        <v>459</v>
      </c>
      <c r="B333" t="s">
        <v>460</v>
      </c>
      <c r="C333" s="5">
        <v>8.0000000000000019E-3</v>
      </c>
      <c r="D333" s="3">
        <f t="shared" si="15"/>
        <v>8.1920000000000019</v>
      </c>
      <c r="E333" s="3">
        <f t="shared" si="16"/>
        <v>2.0603903997154971</v>
      </c>
      <c r="F333" t="str">
        <f t="shared" si="17"/>
        <v>MLI</v>
      </c>
      <c r="G333" t="str">
        <f>+_xlfn.XLOOKUP(F333,Sheet1!C:C,Sheet1!B:B,"N/A",0)</f>
        <v>ML</v>
      </c>
      <c r="H333" t="str">
        <f>+_xlfn.XLOOKUP(F333,Sheet1!C:C,Sheet1!D:D,"N/A",0)</f>
        <v>466</v>
      </c>
    </row>
    <row r="334" spans="1:8" x14ac:dyDescent="0.25">
      <c r="A334" t="s">
        <v>459</v>
      </c>
      <c r="B334" t="s">
        <v>461</v>
      </c>
      <c r="C334" s="5">
        <v>2.0120999997221651E-3</v>
      </c>
      <c r="D334" s="3">
        <f t="shared" si="15"/>
        <v>2.0603903997154971</v>
      </c>
      <c r="E334" s="3">
        <f t="shared" si="16"/>
        <v>2.0603903997154971</v>
      </c>
      <c r="F334" t="str">
        <f t="shared" si="17"/>
        <v>MLI</v>
      </c>
      <c r="G334" t="str">
        <f>+_xlfn.XLOOKUP(F334,Sheet1!C:C,Sheet1!B:B,"N/A",0)</f>
        <v>ML</v>
      </c>
      <c r="H334" t="str">
        <f>+_xlfn.XLOOKUP(F334,Sheet1!C:C,Sheet1!D:D,"N/A",0)</f>
        <v>466</v>
      </c>
    </row>
    <row r="335" spans="1:8" x14ac:dyDescent="0.25">
      <c r="A335" t="s">
        <v>462</v>
      </c>
      <c r="B335" t="s">
        <v>463</v>
      </c>
      <c r="C335" s="5">
        <v>1.8999999999999996E-4</v>
      </c>
      <c r="D335" s="3">
        <f t="shared" si="15"/>
        <v>0.19455999999999996</v>
      </c>
      <c r="E335" s="3">
        <f t="shared" si="16"/>
        <v>0.19455999999999996</v>
      </c>
      <c r="F335" t="str">
        <f t="shared" si="17"/>
        <v>MLT</v>
      </c>
      <c r="G335" t="str">
        <f>+_xlfn.XLOOKUP(F335,Sheet1!C:C,Sheet1!B:B,"N/A",0)</f>
        <v>MT</v>
      </c>
      <c r="H335" t="str">
        <f>+_xlfn.XLOOKUP(F335,Sheet1!C:C,Sheet1!D:D,"N/A",0)</f>
        <v>470</v>
      </c>
    </row>
    <row r="336" spans="1:8" x14ac:dyDescent="0.25">
      <c r="A336" t="s">
        <v>462</v>
      </c>
      <c r="B336" t="s">
        <v>464</v>
      </c>
      <c r="C336" s="5">
        <v>2.4939999999999994E-4</v>
      </c>
      <c r="D336" s="3">
        <f t="shared" si="15"/>
        <v>0.25538559999999993</v>
      </c>
      <c r="E336" s="3">
        <f t="shared" si="16"/>
        <v>0.19455999999999996</v>
      </c>
      <c r="F336" t="str">
        <f t="shared" si="17"/>
        <v>MLT</v>
      </c>
      <c r="G336" t="str">
        <f>+_xlfn.XLOOKUP(F336,Sheet1!C:C,Sheet1!B:B,"N/A",0)</f>
        <v>MT</v>
      </c>
      <c r="H336" t="str">
        <f>+_xlfn.XLOOKUP(F336,Sheet1!C:C,Sheet1!D:D,"N/A",0)</f>
        <v>470</v>
      </c>
    </row>
    <row r="337" spans="1:8" x14ac:dyDescent="0.25">
      <c r="A337" t="s">
        <v>462</v>
      </c>
      <c r="B337" t="s">
        <v>465</v>
      </c>
      <c r="C337" s="5">
        <v>6.7999999999999994E-4</v>
      </c>
      <c r="D337" s="3">
        <f t="shared" si="15"/>
        <v>0.69631999999999994</v>
      </c>
      <c r="E337" s="3">
        <f t="shared" si="16"/>
        <v>0.19455999999999996</v>
      </c>
      <c r="F337" t="str">
        <f t="shared" si="17"/>
        <v>MLT</v>
      </c>
      <c r="G337" t="str">
        <f>+_xlfn.XLOOKUP(F337,Sheet1!C:C,Sheet1!B:B,"N/A",0)</f>
        <v>MT</v>
      </c>
      <c r="H337" t="str">
        <f>+_xlfn.XLOOKUP(F337,Sheet1!C:C,Sheet1!D:D,"N/A",0)</f>
        <v>470</v>
      </c>
    </row>
    <row r="338" spans="1:8" x14ac:dyDescent="0.25">
      <c r="A338" t="s">
        <v>466</v>
      </c>
      <c r="B338" t="s">
        <v>467</v>
      </c>
      <c r="C338" s="5">
        <v>0.52966842807553927</v>
      </c>
      <c r="D338" s="3">
        <f t="shared" si="15"/>
        <v>542.38047034935221</v>
      </c>
      <c r="E338" s="3">
        <f t="shared" si="16"/>
        <v>20.48</v>
      </c>
      <c r="F338" t="str">
        <f t="shared" si="17"/>
        <v>AAM</v>
      </c>
      <c r="G338" t="str">
        <f>+_xlfn.XLOOKUP(F338,Sheet1!C:C,Sheet1!B:B,"N/A",0)</f>
        <v>N/A</v>
      </c>
      <c r="H338" t="str">
        <f>+_xlfn.XLOOKUP(F338,Sheet1!C:C,Sheet1!D:D,"N/A",0)</f>
        <v>N/A</v>
      </c>
    </row>
    <row r="339" spans="1:8" x14ac:dyDescent="0.25">
      <c r="A339" t="s">
        <v>466</v>
      </c>
      <c r="B339" t="s">
        <v>468</v>
      </c>
      <c r="C339" s="5">
        <v>0.99999999964306308</v>
      </c>
      <c r="D339" s="3">
        <f t="shared" si="15"/>
        <v>1023.9999996344966</v>
      </c>
      <c r="E339" s="3">
        <f t="shared" si="16"/>
        <v>20.48</v>
      </c>
      <c r="F339" t="str">
        <f t="shared" si="17"/>
        <v>AAM</v>
      </c>
      <c r="G339" t="str">
        <f>+_xlfn.XLOOKUP(F339,Sheet1!C:C,Sheet1!B:B,"N/A",0)</f>
        <v>N/A</v>
      </c>
      <c r="H339" t="str">
        <f>+_xlfn.XLOOKUP(F339,Sheet1!C:C,Sheet1!D:D,"N/A",0)</f>
        <v>N/A</v>
      </c>
    </row>
    <row r="340" spans="1:8" x14ac:dyDescent="0.25">
      <c r="A340" t="s">
        <v>466</v>
      </c>
      <c r="B340" t="s">
        <v>469</v>
      </c>
      <c r="C340" s="5">
        <v>2.7085076025950738</v>
      </c>
      <c r="D340" s="3">
        <f t="shared" si="15"/>
        <v>2773.5117850573556</v>
      </c>
      <c r="E340" s="3">
        <f t="shared" si="16"/>
        <v>20.48</v>
      </c>
      <c r="F340" t="str">
        <f t="shared" si="17"/>
        <v>AAM</v>
      </c>
      <c r="G340" t="str">
        <f>+_xlfn.XLOOKUP(F340,Sheet1!C:C,Sheet1!B:B,"N/A",0)</f>
        <v>N/A</v>
      </c>
      <c r="H340" t="str">
        <f>+_xlfn.XLOOKUP(F340,Sheet1!C:C,Sheet1!D:D,"N/A",0)</f>
        <v>N/A</v>
      </c>
    </row>
    <row r="341" spans="1:8" x14ac:dyDescent="0.25">
      <c r="A341" t="s">
        <v>466</v>
      </c>
      <c r="B341" t="s">
        <v>470</v>
      </c>
      <c r="C341" s="5">
        <v>0.02</v>
      </c>
      <c r="D341" s="3">
        <f t="shared" si="15"/>
        <v>20.48</v>
      </c>
      <c r="E341" s="3">
        <f t="shared" si="16"/>
        <v>20.48</v>
      </c>
      <c r="F341" t="str">
        <f t="shared" si="17"/>
        <v>AAM</v>
      </c>
      <c r="G341" t="str">
        <f>+_xlfn.XLOOKUP(F341,Sheet1!C:C,Sheet1!B:B,"N/A",0)</f>
        <v>N/A</v>
      </c>
      <c r="H341" t="str">
        <f>+_xlfn.XLOOKUP(F341,Sheet1!C:C,Sheet1!D:D,"N/A",0)</f>
        <v>N/A</v>
      </c>
    </row>
    <row r="342" spans="1:8" x14ac:dyDescent="0.25">
      <c r="A342" t="s">
        <v>466</v>
      </c>
      <c r="B342" t="s">
        <v>471</v>
      </c>
      <c r="C342" s="5">
        <v>5.1665587262136034E-2</v>
      </c>
      <c r="D342" s="3">
        <f t="shared" si="15"/>
        <v>52.905561356427299</v>
      </c>
      <c r="E342" s="3">
        <f t="shared" si="16"/>
        <v>20.48</v>
      </c>
      <c r="F342" t="str">
        <f t="shared" si="17"/>
        <v>AAM</v>
      </c>
      <c r="G342" t="str">
        <f>+_xlfn.XLOOKUP(F342,Sheet1!C:C,Sheet1!B:B,"N/A",0)</f>
        <v>N/A</v>
      </c>
      <c r="H342" t="str">
        <f>+_xlfn.XLOOKUP(F342,Sheet1!C:C,Sheet1!D:D,"N/A",0)</f>
        <v>N/A</v>
      </c>
    </row>
    <row r="343" spans="1:8" x14ac:dyDescent="0.25">
      <c r="A343" t="s">
        <v>466</v>
      </c>
      <c r="B343" t="s">
        <v>472</v>
      </c>
      <c r="C343" s="5">
        <v>0.14459577314248778</v>
      </c>
      <c r="D343" s="3">
        <f t="shared" si="15"/>
        <v>148.06607169790749</v>
      </c>
      <c r="E343" s="3">
        <f t="shared" si="16"/>
        <v>20.48</v>
      </c>
      <c r="F343" t="str">
        <f t="shared" si="17"/>
        <v>AAM</v>
      </c>
      <c r="G343" t="str">
        <f>+_xlfn.XLOOKUP(F343,Sheet1!C:C,Sheet1!B:B,"N/A",0)</f>
        <v>N/A</v>
      </c>
      <c r="H343" t="str">
        <f>+_xlfn.XLOOKUP(F343,Sheet1!C:C,Sheet1!D:D,"N/A",0)</f>
        <v>N/A</v>
      </c>
    </row>
    <row r="344" spans="1:8" x14ac:dyDescent="0.25">
      <c r="A344" t="s">
        <v>473</v>
      </c>
      <c r="B344" t="s">
        <v>474</v>
      </c>
      <c r="C344" s="5">
        <v>0.29999999999599697</v>
      </c>
      <c r="D344" s="3">
        <f t="shared" si="15"/>
        <v>307.1999999959009</v>
      </c>
      <c r="E344" s="3">
        <f t="shared" si="16"/>
        <v>4.095999998335186</v>
      </c>
      <c r="F344" t="str">
        <f t="shared" si="17"/>
        <v>MRT</v>
      </c>
      <c r="G344" t="str">
        <f>+_xlfn.XLOOKUP(F344,Sheet1!C:C,Sheet1!B:B,"N/A",0)</f>
        <v>MR</v>
      </c>
      <c r="H344" t="str">
        <f>+_xlfn.XLOOKUP(F344,Sheet1!C:C,Sheet1!D:D,"N/A",0)</f>
        <v>478</v>
      </c>
    </row>
    <row r="345" spans="1:8" x14ac:dyDescent="0.25">
      <c r="A345" t="s">
        <v>473</v>
      </c>
      <c r="B345" t="s">
        <v>475</v>
      </c>
      <c r="C345" s="5">
        <v>7.9999999999999967E-3</v>
      </c>
      <c r="D345" s="3">
        <f t="shared" si="15"/>
        <v>8.1919999999999966</v>
      </c>
      <c r="E345" s="3">
        <f t="shared" si="16"/>
        <v>4.095999998335186</v>
      </c>
      <c r="F345" t="str">
        <f t="shared" si="17"/>
        <v>MRT</v>
      </c>
      <c r="G345" t="str">
        <f>+_xlfn.XLOOKUP(F345,Sheet1!C:C,Sheet1!B:B,"N/A",0)</f>
        <v>MR</v>
      </c>
      <c r="H345" t="str">
        <f>+_xlfn.XLOOKUP(F345,Sheet1!C:C,Sheet1!D:D,"N/A",0)</f>
        <v>478</v>
      </c>
    </row>
    <row r="346" spans="1:8" x14ac:dyDescent="0.25">
      <c r="A346" t="s">
        <v>473</v>
      </c>
      <c r="B346" t="s">
        <v>476</v>
      </c>
      <c r="C346" s="5">
        <v>3.9999999983742051E-3</v>
      </c>
      <c r="D346" s="3">
        <f t="shared" si="15"/>
        <v>4.095999998335186</v>
      </c>
      <c r="E346" s="3">
        <f t="shared" si="16"/>
        <v>4.095999998335186</v>
      </c>
      <c r="F346" t="str">
        <f t="shared" si="17"/>
        <v>MRT</v>
      </c>
      <c r="G346" t="str">
        <f>+_xlfn.XLOOKUP(F346,Sheet1!C:C,Sheet1!B:B,"N/A",0)</f>
        <v>MR</v>
      </c>
      <c r="H346" t="str">
        <f>+_xlfn.XLOOKUP(F346,Sheet1!C:C,Sheet1!D:D,"N/A",0)</f>
        <v>478</v>
      </c>
    </row>
    <row r="347" spans="1:8" x14ac:dyDescent="0.25">
      <c r="A347" t="s">
        <v>477</v>
      </c>
      <c r="B347" t="s">
        <v>478</v>
      </c>
      <c r="C347" s="5">
        <v>2.0971856524491634E-3</v>
      </c>
      <c r="D347" s="3">
        <f t="shared" si="15"/>
        <v>2.1475181081079433</v>
      </c>
      <c r="E347" s="3">
        <f t="shared" si="16"/>
        <v>2.0487036723232142</v>
      </c>
      <c r="F347" t="str">
        <f t="shared" si="17"/>
        <v>MUS</v>
      </c>
      <c r="G347" t="str">
        <f>+_xlfn.XLOOKUP(F347,Sheet1!C:C,Sheet1!B:B,"N/A",0)</f>
        <v>MU</v>
      </c>
      <c r="H347" t="str">
        <f>+_xlfn.XLOOKUP(F347,Sheet1!C:C,Sheet1!D:D,"N/A",0)</f>
        <v>480</v>
      </c>
    </row>
    <row r="348" spans="1:8" x14ac:dyDescent="0.25">
      <c r="A348" t="s">
        <v>477</v>
      </c>
      <c r="B348" t="s">
        <v>479</v>
      </c>
      <c r="C348" s="5">
        <v>2.0006871800031388E-3</v>
      </c>
      <c r="D348" s="3">
        <f t="shared" si="15"/>
        <v>2.0487036723232142</v>
      </c>
      <c r="E348" s="3">
        <f t="shared" si="16"/>
        <v>2.0487036723232142</v>
      </c>
      <c r="F348" t="str">
        <f t="shared" si="17"/>
        <v>MUS</v>
      </c>
      <c r="G348" t="str">
        <f>+_xlfn.XLOOKUP(F348,Sheet1!C:C,Sheet1!B:B,"N/A",0)</f>
        <v>MU</v>
      </c>
      <c r="H348" t="str">
        <f>+_xlfn.XLOOKUP(F348,Sheet1!C:C,Sheet1!D:D,"N/A",0)</f>
        <v>480</v>
      </c>
    </row>
    <row r="349" spans="1:8" x14ac:dyDescent="0.25">
      <c r="A349" t="s">
        <v>477</v>
      </c>
      <c r="B349" t="s">
        <v>480</v>
      </c>
      <c r="C349" s="5">
        <v>1.0001674151527327E-2</v>
      </c>
      <c r="D349" s="3">
        <f t="shared" si="15"/>
        <v>10.241714331163983</v>
      </c>
      <c r="E349" s="3">
        <f t="shared" si="16"/>
        <v>2.0487036723232142</v>
      </c>
      <c r="F349" t="str">
        <f t="shared" si="17"/>
        <v>MUS</v>
      </c>
      <c r="G349" t="str">
        <f>+_xlfn.XLOOKUP(F349,Sheet1!C:C,Sheet1!B:B,"N/A",0)</f>
        <v>MU</v>
      </c>
      <c r="H349" t="str">
        <f>+_xlfn.XLOOKUP(F349,Sheet1!C:C,Sheet1!D:D,"N/A",0)</f>
        <v>480</v>
      </c>
    </row>
    <row r="350" spans="1:8" x14ac:dyDescent="0.25">
      <c r="A350" t="s">
        <v>481</v>
      </c>
      <c r="B350" t="s">
        <v>482</v>
      </c>
      <c r="C350" s="5">
        <v>1.5265642555952876E-3</v>
      </c>
      <c r="D350" s="3">
        <f t="shared" si="15"/>
        <v>1.5632017977295745</v>
      </c>
      <c r="E350" s="3">
        <f t="shared" si="16"/>
        <v>1.0546817998319493</v>
      </c>
      <c r="F350" t="str">
        <f t="shared" si="17"/>
        <v>MEX</v>
      </c>
      <c r="G350" t="str">
        <f>+_xlfn.XLOOKUP(F350,Sheet1!C:C,Sheet1!B:B,"N/A",0)</f>
        <v>MX</v>
      </c>
      <c r="H350" t="str">
        <f>+_xlfn.XLOOKUP(F350,Sheet1!C:C,Sheet1!D:D,"N/A",0)</f>
        <v>484</v>
      </c>
    </row>
    <row r="351" spans="1:8" x14ac:dyDescent="0.25">
      <c r="A351" t="s">
        <v>481</v>
      </c>
      <c r="B351" t="s">
        <v>483</v>
      </c>
      <c r="C351" s="5">
        <v>1.2727000000000001E-3</v>
      </c>
      <c r="D351" s="3">
        <f t="shared" si="15"/>
        <v>1.3032448000000001</v>
      </c>
      <c r="E351" s="3">
        <f t="shared" si="16"/>
        <v>1.0546817998319493</v>
      </c>
      <c r="F351" t="str">
        <f t="shared" si="17"/>
        <v>MEX</v>
      </c>
      <c r="G351" t="str">
        <f>+_xlfn.XLOOKUP(F351,Sheet1!C:C,Sheet1!B:B,"N/A",0)</f>
        <v>MX</v>
      </c>
      <c r="H351" t="str">
        <f>+_xlfn.XLOOKUP(F351,Sheet1!C:C,Sheet1!D:D,"N/A",0)</f>
        <v>484</v>
      </c>
    </row>
    <row r="352" spans="1:8" x14ac:dyDescent="0.25">
      <c r="A352" t="s">
        <v>481</v>
      </c>
      <c r="B352" t="s">
        <v>484</v>
      </c>
      <c r="C352" s="5">
        <v>2.5454000132503363E-3</v>
      </c>
      <c r="D352" s="3">
        <f t="shared" si="15"/>
        <v>2.6064896135683444</v>
      </c>
      <c r="E352" s="3">
        <f t="shared" si="16"/>
        <v>1.0546817998319493</v>
      </c>
      <c r="F352" t="str">
        <f t="shared" si="17"/>
        <v>MEX</v>
      </c>
      <c r="G352" t="str">
        <f>+_xlfn.XLOOKUP(F352,Sheet1!C:C,Sheet1!B:B,"N/A",0)</f>
        <v>MX</v>
      </c>
      <c r="H352" t="str">
        <f>+_xlfn.XLOOKUP(F352,Sheet1!C:C,Sheet1!D:D,"N/A",0)</f>
        <v>484</v>
      </c>
    </row>
    <row r="353" spans="1:8" x14ac:dyDescent="0.25">
      <c r="A353" t="s">
        <v>481</v>
      </c>
      <c r="B353" t="s">
        <v>485</v>
      </c>
      <c r="C353" s="5">
        <v>1.029962695148388E-3</v>
      </c>
      <c r="D353" s="3">
        <f t="shared" si="15"/>
        <v>1.0546817998319493</v>
      </c>
      <c r="E353" s="3">
        <f t="shared" si="16"/>
        <v>1.0546817998319493</v>
      </c>
      <c r="F353" t="str">
        <f t="shared" si="17"/>
        <v>MEX</v>
      </c>
      <c r="G353" t="str">
        <f>+_xlfn.XLOOKUP(F353,Sheet1!C:C,Sheet1!B:B,"N/A",0)</f>
        <v>MX</v>
      </c>
      <c r="H353" t="str">
        <f>+_xlfn.XLOOKUP(F353,Sheet1!C:C,Sheet1!D:D,"N/A",0)</f>
        <v>484</v>
      </c>
    </row>
    <row r="354" spans="1:8" x14ac:dyDescent="0.25">
      <c r="A354" t="s">
        <v>486</v>
      </c>
      <c r="B354" t="s">
        <v>487</v>
      </c>
      <c r="C354" s="5">
        <v>0.42423211620005324</v>
      </c>
      <c r="D354" s="3">
        <f t="shared" si="15"/>
        <v>434.41368698885452</v>
      </c>
      <c r="E354" s="3">
        <f t="shared" si="16"/>
        <v>434.41368698885452</v>
      </c>
      <c r="F354" t="str">
        <f t="shared" si="17"/>
        <v>FSM</v>
      </c>
      <c r="G354" t="str">
        <f>+_xlfn.XLOOKUP(F354,Sheet1!C:C,Sheet1!B:B,"N/A",0)</f>
        <v>FM</v>
      </c>
      <c r="H354" t="str">
        <f>+_xlfn.XLOOKUP(F354,Sheet1!C:C,Sheet1!D:D,"N/A",0)</f>
        <v>583</v>
      </c>
    </row>
    <row r="355" spans="1:8" x14ac:dyDescent="0.25">
      <c r="A355" t="s">
        <v>488</v>
      </c>
      <c r="B355" t="s">
        <v>489</v>
      </c>
      <c r="C355" s="5">
        <v>6.9999999998905378E-4</v>
      </c>
      <c r="D355" s="3">
        <f t="shared" si="15"/>
        <v>0.71679999998879107</v>
      </c>
      <c r="E355" s="3">
        <f t="shared" si="16"/>
        <v>0.71679999998879107</v>
      </c>
      <c r="F355" t="str">
        <f t="shared" si="17"/>
        <v>MDA</v>
      </c>
      <c r="G355" t="str">
        <f>+_xlfn.XLOOKUP(F355,Sheet1!C:C,Sheet1!B:B,"N/A",0)</f>
        <v>MD</v>
      </c>
      <c r="H355" t="str">
        <f>+_xlfn.XLOOKUP(F355,Sheet1!C:C,Sheet1!D:D,"N/A",0)</f>
        <v>498</v>
      </c>
    </row>
    <row r="356" spans="1:8" x14ac:dyDescent="0.25">
      <c r="A356" t="s">
        <v>488</v>
      </c>
      <c r="B356" t="s">
        <v>490</v>
      </c>
      <c r="C356" s="5">
        <v>8.0000000000000026E-4</v>
      </c>
      <c r="D356" s="3">
        <f t="shared" si="15"/>
        <v>0.81920000000000026</v>
      </c>
      <c r="E356" s="3">
        <f t="shared" si="16"/>
        <v>0.71679999998879107</v>
      </c>
      <c r="F356" t="str">
        <f t="shared" si="17"/>
        <v>MDA</v>
      </c>
      <c r="G356" t="str">
        <f>+_xlfn.XLOOKUP(F356,Sheet1!C:C,Sheet1!B:B,"N/A",0)</f>
        <v>MD</v>
      </c>
      <c r="H356" t="str">
        <f>+_xlfn.XLOOKUP(F356,Sheet1!C:C,Sheet1!D:D,"N/A",0)</f>
        <v>498</v>
      </c>
    </row>
    <row r="357" spans="1:8" x14ac:dyDescent="0.25">
      <c r="A357" t="s">
        <v>488</v>
      </c>
      <c r="B357" t="s">
        <v>491</v>
      </c>
      <c r="C357" s="5">
        <v>8.6869429218906758E-4</v>
      </c>
      <c r="D357" s="3">
        <f t="shared" si="15"/>
        <v>0.8895429552016052</v>
      </c>
      <c r="E357" s="3">
        <f t="shared" si="16"/>
        <v>0.71679999998879107</v>
      </c>
      <c r="F357" t="str">
        <f t="shared" si="17"/>
        <v>MDA</v>
      </c>
      <c r="G357" t="str">
        <f>+_xlfn.XLOOKUP(F357,Sheet1!C:C,Sheet1!B:B,"N/A",0)</f>
        <v>MD</v>
      </c>
      <c r="H357" t="str">
        <f>+_xlfn.XLOOKUP(F357,Sheet1!C:C,Sheet1!D:D,"N/A",0)</f>
        <v>498</v>
      </c>
    </row>
    <row r="358" spans="1:8" x14ac:dyDescent="0.25">
      <c r="A358" t="s">
        <v>492</v>
      </c>
      <c r="B358" t="s">
        <v>493</v>
      </c>
      <c r="C358" s="5">
        <v>3.299683836884644E-2</v>
      </c>
      <c r="D358" s="3">
        <f t="shared" si="15"/>
        <v>33.788762489698755</v>
      </c>
      <c r="E358" s="3">
        <f t="shared" si="16"/>
        <v>33.788762489698755</v>
      </c>
      <c r="F358" t="str">
        <f t="shared" si="17"/>
        <v>MCO</v>
      </c>
      <c r="G358" t="str">
        <f>+_xlfn.XLOOKUP(F358,Sheet1!C:C,Sheet1!B:B,"N/A",0)</f>
        <v>MC</v>
      </c>
      <c r="H358" t="str">
        <f>+_xlfn.XLOOKUP(F358,Sheet1!C:C,Sheet1!D:D,"N/A",0)</f>
        <v>492</v>
      </c>
    </row>
    <row r="359" spans="1:8" x14ac:dyDescent="0.25">
      <c r="A359" t="s">
        <v>494</v>
      </c>
      <c r="B359" t="s">
        <v>495</v>
      </c>
      <c r="C359" s="5">
        <v>1.6986860571248286E-3</v>
      </c>
      <c r="D359" s="3">
        <f t="shared" si="15"/>
        <v>1.7394545224958244</v>
      </c>
      <c r="E359" s="3">
        <f t="shared" si="16"/>
        <v>1.7394545224958244</v>
      </c>
      <c r="F359" t="str">
        <f t="shared" si="17"/>
        <v>MNG</v>
      </c>
      <c r="G359" t="str">
        <f>+_xlfn.XLOOKUP(F359,Sheet1!C:C,Sheet1!B:B,"N/A",0)</f>
        <v>MN</v>
      </c>
      <c r="H359" t="str">
        <f>+_xlfn.XLOOKUP(F359,Sheet1!C:C,Sheet1!D:D,"N/A",0)</f>
        <v>496</v>
      </c>
    </row>
    <row r="360" spans="1:8" x14ac:dyDescent="0.25">
      <c r="A360" t="s">
        <v>494</v>
      </c>
      <c r="B360" t="s">
        <v>496</v>
      </c>
      <c r="C360" s="5">
        <v>1.6969300000000003E-2</v>
      </c>
      <c r="D360" s="3">
        <f t="shared" si="15"/>
        <v>17.376563200000003</v>
      </c>
      <c r="E360" s="3">
        <f t="shared" si="16"/>
        <v>1.7394545224958244</v>
      </c>
      <c r="F360" t="str">
        <f t="shared" si="17"/>
        <v>MNG</v>
      </c>
      <c r="G360" t="str">
        <f>+_xlfn.XLOOKUP(F360,Sheet1!C:C,Sheet1!B:B,"N/A",0)</f>
        <v>MN</v>
      </c>
      <c r="H360" t="str">
        <f>+_xlfn.XLOOKUP(F360,Sheet1!C:C,Sheet1!D:D,"N/A",0)</f>
        <v>496</v>
      </c>
    </row>
    <row r="361" spans="1:8" x14ac:dyDescent="0.25">
      <c r="A361" t="s">
        <v>494</v>
      </c>
      <c r="B361" t="s">
        <v>497</v>
      </c>
      <c r="C361" s="5">
        <v>2.5504500975429582E-3</v>
      </c>
      <c r="D361" s="3">
        <f t="shared" si="15"/>
        <v>2.6116608998839892</v>
      </c>
      <c r="E361" s="3">
        <f t="shared" si="16"/>
        <v>1.7394545224958244</v>
      </c>
      <c r="F361" t="str">
        <f t="shared" si="17"/>
        <v>MNG</v>
      </c>
      <c r="G361" t="str">
        <f>+_xlfn.XLOOKUP(F361,Sheet1!C:C,Sheet1!B:B,"N/A",0)</f>
        <v>MN</v>
      </c>
      <c r="H361" t="str">
        <f>+_xlfn.XLOOKUP(F361,Sheet1!C:C,Sheet1!D:D,"N/A",0)</f>
        <v>496</v>
      </c>
    </row>
    <row r="362" spans="1:8" x14ac:dyDescent="0.25">
      <c r="A362" t="s">
        <v>498</v>
      </c>
      <c r="B362" t="s">
        <v>499</v>
      </c>
      <c r="C362" s="5">
        <v>1.0000000000000002E-3</v>
      </c>
      <c r="D362" s="3">
        <f t="shared" si="15"/>
        <v>1.0240000000000002</v>
      </c>
      <c r="E362" s="3">
        <f t="shared" si="16"/>
        <v>0.86114096757309555</v>
      </c>
      <c r="F362" t="str">
        <f t="shared" si="17"/>
        <v>MNE</v>
      </c>
      <c r="G362" t="str">
        <f>+_xlfn.XLOOKUP(F362,Sheet1!C:C,Sheet1!B:B,"N/A",0)</f>
        <v>ME</v>
      </c>
      <c r="H362" t="str">
        <f>+_xlfn.XLOOKUP(F362,Sheet1!C:C,Sheet1!D:D,"N/A",0)</f>
        <v>499</v>
      </c>
    </row>
    <row r="363" spans="1:8" x14ac:dyDescent="0.25">
      <c r="A363" t="s">
        <v>498</v>
      </c>
      <c r="B363" t="s">
        <v>500</v>
      </c>
      <c r="C363" s="5">
        <v>8.4095797614560112E-4</v>
      </c>
      <c r="D363" s="3">
        <f t="shared" si="15"/>
        <v>0.86114096757309555</v>
      </c>
      <c r="E363" s="3">
        <f t="shared" si="16"/>
        <v>0.86114096757309555</v>
      </c>
      <c r="F363" t="str">
        <f t="shared" si="17"/>
        <v>MNE</v>
      </c>
      <c r="G363" t="str">
        <f>+_xlfn.XLOOKUP(F363,Sheet1!C:C,Sheet1!B:B,"N/A",0)</f>
        <v>ME</v>
      </c>
      <c r="H363" t="str">
        <f>+_xlfn.XLOOKUP(F363,Sheet1!C:C,Sheet1!D:D,"N/A",0)</f>
        <v>499</v>
      </c>
    </row>
    <row r="364" spans="1:8" x14ac:dyDescent="0.25">
      <c r="A364" t="s">
        <v>498</v>
      </c>
      <c r="B364" t="s">
        <v>501</v>
      </c>
      <c r="C364" s="5">
        <v>1.2174515431786312E-3</v>
      </c>
      <c r="D364" s="3">
        <f t="shared" si="15"/>
        <v>1.2466703802149184</v>
      </c>
      <c r="E364" s="3">
        <f t="shared" si="16"/>
        <v>0.86114096757309555</v>
      </c>
      <c r="F364" t="str">
        <f t="shared" si="17"/>
        <v>MNE</v>
      </c>
      <c r="G364" t="str">
        <f>+_xlfn.XLOOKUP(F364,Sheet1!C:C,Sheet1!B:B,"N/A",0)</f>
        <v>ME</v>
      </c>
      <c r="H364" t="str">
        <f>+_xlfn.XLOOKUP(F364,Sheet1!C:C,Sheet1!D:D,"N/A",0)</f>
        <v>499</v>
      </c>
    </row>
    <row r="365" spans="1:8" x14ac:dyDescent="0.25">
      <c r="A365" t="s">
        <v>502</v>
      </c>
      <c r="B365" t="s">
        <v>503</v>
      </c>
      <c r="C365" s="5">
        <v>2.545399906885563E-3</v>
      </c>
      <c r="D365" s="3">
        <f t="shared" si="15"/>
        <v>2.6064895046508165</v>
      </c>
      <c r="E365" s="3">
        <f t="shared" si="16"/>
        <v>2.6064895046508165</v>
      </c>
      <c r="F365" t="str">
        <f t="shared" si="17"/>
        <v>MSR</v>
      </c>
      <c r="G365" t="str">
        <f>+_xlfn.XLOOKUP(F365,Sheet1!C:C,Sheet1!B:B,"N/A",0)</f>
        <v>MS</v>
      </c>
      <c r="H365" t="str">
        <f>+_xlfn.XLOOKUP(F365,Sheet1!C:C,Sheet1!D:D,"N/A",0)</f>
        <v>500</v>
      </c>
    </row>
    <row r="366" spans="1:8" x14ac:dyDescent="0.25">
      <c r="A366" t="s">
        <v>504</v>
      </c>
      <c r="B366" t="s">
        <v>505</v>
      </c>
      <c r="C366" s="5">
        <v>1.3753000000290719E-3</v>
      </c>
      <c r="D366" s="3">
        <f t="shared" si="15"/>
        <v>1.4083072000297696</v>
      </c>
      <c r="E366" s="3">
        <f t="shared" si="16"/>
        <v>1.0240000564659184</v>
      </c>
      <c r="F366" t="str">
        <f t="shared" si="17"/>
        <v>MAR</v>
      </c>
      <c r="G366" t="str">
        <f>+_xlfn.XLOOKUP(F366,Sheet1!C:C,Sheet1!B:B,"N/A",0)</f>
        <v>MA</v>
      </c>
      <c r="H366" t="str">
        <f>+_xlfn.XLOOKUP(F366,Sheet1!C:C,Sheet1!D:D,"N/A",0)</f>
        <v>504</v>
      </c>
    </row>
    <row r="367" spans="1:8" x14ac:dyDescent="0.25">
      <c r="A367" t="s">
        <v>504</v>
      </c>
      <c r="B367" t="s">
        <v>506</v>
      </c>
      <c r="C367" s="5">
        <v>1.0000000551424984E-3</v>
      </c>
      <c r="D367" s="3">
        <f t="shared" si="15"/>
        <v>1.0240000564659184</v>
      </c>
      <c r="E367" s="3">
        <f t="shared" si="16"/>
        <v>1.0240000564659184</v>
      </c>
      <c r="F367" t="str">
        <f t="shared" si="17"/>
        <v>MAR</v>
      </c>
      <c r="G367" t="str">
        <f>+_xlfn.XLOOKUP(F367,Sheet1!C:C,Sheet1!B:B,"N/A",0)</f>
        <v>MA</v>
      </c>
      <c r="H367" t="str">
        <f>+_xlfn.XLOOKUP(F367,Sheet1!C:C,Sheet1!D:D,"N/A",0)</f>
        <v>504</v>
      </c>
    </row>
    <row r="368" spans="1:8" x14ac:dyDescent="0.25">
      <c r="A368" t="s">
        <v>504</v>
      </c>
      <c r="B368" t="s">
        <v>507</v>
      </c>
      <c r="C368" s="5">
        <v>1.999999999932201E-3</v>
      </c>
      <c r="D368" s="3">
        <f t="shared" si="15"/>
        <v>2.0479999999305738</v>
      </c>
      <c r="E368" s="3">
        <f t="shared" si="16"/>
        <v>1.0240000564659184</v>
      </c>
      <c r="F368" t="str">
        <f t="shared" si="17"/>
        <v>MAR</v>
      </c>
      <c r="G368" t="str">
        <f>+_xlfn.XLOOKUP(F368,Sheet1!C:C,Sheet1!B:B,"N/A",0)</f>
        <v>MA</v>
      </c>
      <c r="H368" t="str">
        <f>+_xlfn.XLOOKUP(F368,Sheet1!C:C,Sheet1!D:D,"N/A",0)</f>
        <v>504</v>
      </c>
    </row>
    <row r="369" spans="1:8" x14ac:dyDescent="0.25">
      <c r="A369" t="s">
        <v>508</v>
      </c>
      <c r="B369" t="s">
        <v>509</v>
      </c>
      <c r="C369" s="5">
        <v>2.7898401673883161E-2</v>
      </c>
      <c r="D369" s="3">
        <f t="shared" si="15"/>
        <v>28.567963314056357</v>
      </c>
      <c r="E369" s="3">
        <f t="shared" si="16"/>
        <v>28.567963314056357</v>
      </c>
      <c r="F369" t="str">
        <f t="shared" si="17"/>
        <v>MOZ</v>
      </c>
      <c r="G369" t="str">
        <f>+_xlfn.XLOOKUP(F369,Sheet1!C:C,Sheet1!B:B,"N/A",0)</f>
        <v>MZ</v>
      </c>
      <c r="H369" t="str">
        <f>+_xlfn.XLOOKUP(F369,Sheet1!C:C,Sheet1!D:D,"N/A",0)</f>
        <v>508</v>
      </c>
    </row>
    <row r="370" spans="1:8" x14ac:dyDescent="0.25">
      <c r="A370" t="s">
        <v>508</v>
      </c>
      <c r="B370" t="s">
        <v>510</v>
      </c>
      <c r="C370" s="5">
        <v>8.327413992935824E-2</v>
      </c>
      <c r="D370" s="3">
        <f t="shared" si="15"/>
        <v>85.272719287662838</v>
      </c>
      <c r="E370" s="3">
        <f t="shared" si="16"/>
        <v>28.567963314056357</v>
      </c>
      <c r="F370" t="str">
        <f t="shared" si="17"/>
        <v>MOZ</v>
      </c>
      <c r="G370" t="str">
        <f>+_xlfn.XLOOKUP(F370,Sheet1!C:C,Sheet1!B:B,"N/A",0)</f>
        <v>MZ</v>
      </c>
      <c r="H370" t="str">
        <f>+_xlfn.XLOOKUP(F370,Sheet1!C:C,Sheet1!D:D,"N/A",0)</f>
        <v>508</v>
      </c>
    </row>
    <row r="371" spans="1:8" x14ac:dyDescent="0.25">
      <c r="A371" t="s">
        <v>508</v>
      </c>
      <c r="B371" t="s">
        <v>511</v>
      </c>
      <c r="C371" s="5"/>
      <c r="D371" s="3">
        <f t="shared" si="15"/>
        <v>0</v>
      </c>
      <c r="E371" s="3">
        <f t="shared" si="16"/>
        <v>28.567963314056357</v>
      </c>
      <c r="F371" t="str">
        <f t="shared" si="17"/>
        <v>MOZ</v>
      </c>
      <c r="G371" t="str">
        <f>+_xlfn.XLOOKUP(F371,Sheet1!C:C,Sheet1!B:B,"N/A",0)</f>
        <v>MZ</v>
      </c>
      <c r="H371" t="str">
        <f>+_xlfn.XLOOKUP(F371,Sheet1!C:C,Sheet1!D:D,"N/A",0)</f>
        <v>508</v>
      </c>
    </row>
    <row r="372" spans="1:8" x14ac:dyDescent="0.25">
      <c r="A372" t="s">
        <v>512</v>
      </c>
      <c r="B372" t="s">
        <v>513</v>
      </c>
      <c r="C372" s="5"/>
      <c r="D372" s="3">
        <f t="shared" si="15"/>
        <v>0</v>
      </c>
      <c r="E372" s="3">
        <f t="shared" si="16"/>
        <v>0</v>
      </c>
      <c r="F372" t="str">
        <f t="shared" si="17"/>
        <v>MMR</v>
      </c>
      <c r="G372" t="str">
        <f>+_xlfn.XLOOKUP(F372,Sheet1!C:C,Sheet1!B:B,"N/A",0)</f>
        <v>MM</v>
      </c>
      <c r="H372" t="str">
        <f>+_xlfn.XLOOKUP(F372,Sheet1!C:C,Sheet1!D:D,"N/A",0)</f>
        <v>104</v>
      </c>
    </row>
    <row r="373" spans="1:8" x14ac:dyDescent="0.25">
      <c r="A373" t="s">
        <v>512</v>
      </c>
      <c r="B373" t="s">
        <v>514</v>
      </c>
      <c r="C373" s="5"/>
      <c r="D373" s="3">
        <f t="shared" si="15"/>
        <v>0</v>
      </c>
      <c r="E373" s="3">
        <f t="shared" si="16"/>
        <v>0</v>
      </c>
      <c r="F373" t="str">
        <f t="shared" si="17"/>
        <v>MMR</v>
      </c>
      <c r="G373" t="str">
        <f>+_xlfn.XLOOKUP(F373,Sheet1!C:C,Sheet1!B:B,"N/A",0)</f>
        <v>MM</v>
      </c>
      <c r="H373" t="str">
        <f>+_xlfn.XLOOKUP(F373,Sheet1!C:C,Sheet1!D:D,"N/A",0)</f>
        <v>104</v>
      </c>
    </row>
    <row r="374" spans="1:8" x14ac:dyDescent="0.25">
      <c r="A374" t="s">
        <v>512</v>
      </c>
      <c r="B374" t="s">
        <v>515</v>
      </c>
      <c r="C374" s="5"/>
      <c r="D374" s="3">
        <f t="shared" si="15"/>
        <v>0</v>
      </c>
      <c r="E374" s="3">
        <f t="shared" si="16"/>
        <v>0</v>
      </c>
      <c r="F374" t="str">
        <f t="shared" si="17"/>
        <v>MMR</v>
      </c>
      <c r="G374" t="str">
        <f>+_xlfn.XLOOKUP(F374,Sheet1!C:C,Sheet1!B:B,"N/A",0)</f>
        <v>MM</v>
      </c>
      <c r="H374" t="str">
        <f>+_xlfn.XLOOKUP(F374,Sheet1!C:C,Sheet1!D:D,"N/A",0)</f>
        <v>104</v>
      </c>
    </row>
    <row r="375" spans="1:8" x14ac:dyDescent="0.25">
      <c r="A375" t="s">
        <v>516</v>
      </c>
      <c r="B375" t="s">
        <v>517</v>
      </c>
      <c r="C375" s="5">
        <v>0.60007441885639468</v>
      </c>
      <c r="D375" s="3">
        <f t="shared" si="15"/>
        <v>614.47620490894815</v>
      </c>
      <c r="E375" s="3">
        <f t="shared" si="16"/>
        <v>20.240498864226627</v>
      </c>
      <c r="F375" t="str">
        <f t="shared" si="17"/>
        <v>NAM</v>
      </c>
      <c r="G375" t="str">
        <f>+_xlfn.XLOOKUP(F375,Sheet1!C:C,Sheet1!B:B,"N/A",0)</f>
        <v>NA</v>
      </c>
      <c r="H375" t="str">
        <f>+_xlfn.XLOOKUP(F375,Sheet1!C:C,Sheet1!D:D,"N/A",0)</f>
        <v>516</v>
      </c>
    </row>
    <row r="376" spans="1:8" x14ac:dyDescent="0.25">
      <c r="A376" t="s">
        <v>516</v>
      </c>
      <c r="B376" t="s">
        <v>518</v>
      </c>
      <c r="C376" s="5">
        <v>1.9766112172096315E-2</v>
      </c>
      <c r="D376" s="3">
        <f t="shared" si="15"/>
        <v>20.240498864226627</v>
      </c>
      <c r="E376" s="3">
        <f t="shared" si="16"/>
        <v>20.240498864226627</v>
      </c>
      <c r="F376" t="str">
        <f t="shared" si="17"/>
        <v>NAM</v>
      </c>
      <c r="G376" t="str">
        <f>+_xlfn.XLOOKUP(F376,Sheet1!C:C,Sheet1!B:B,"N/A",0)</f>
        <v>NA</v>
      </c>
      <c r="H376" t="str">
        <f>+_xlfn.XLOOKUP(F376,Sheet1!C:C,Sheet1!D:D,"N/A",0)</f>
        <v>516</v>
      </c>
    </row>
    <row r="377" spans="1:8" x14ac:dyDescent="0.25">
      <c r="A377" t="s">
        <v>519</v>
      </c>
      <c r="B377" t="s">
        <v>520</v>
      </c>
      <c r="C377" s="5">
        <v>3.000000000010853E-2</v>
      </c>
      <c r="D377" s="3">
        <f t="shared" si="15"/>
        <v>30.720000000111135</v>
      </c>
      <c r="E377" s="3">
        <f t="shared" si="16"/>
        <v>10.23999999990326</v>
      </c>
      <c r="F377" t="str">
        <f t="shared" si="17"/>
        <v>NPL</v>
      </c>
      <c r="G377" t="str">
        <f>+_xlfn.XLOOKUP(F377,Sheet1!C:C,Sheet1!B:B,"N/A",0)</f>
        <v>NP</v>
      </c>
      <c r="H377" t="str">
        <f>+_xlfn.XLOOKUP(F377,Sheet1!C:C,Sheet1!D:D,"N/A",0)</f>
        <v>524</v>
      </c>
    </row>
    <row r="378" spans="1:8" x14ac:dyDescent="0.25">
      <c r="A378" t="s">
        <v>519</v>
      </c>
      <c r="B378" t="s">
        <v>521</v>
      </c>
      <c r="C378" s="5">
        <v>9.9999999999055272E-3</v>
      </c>
      <c r="D378" s="3">
        <f t="shared" si="15"/>
        <v>10.23999999990326</v>
      </c>
      <c r="E378" s="3">
        <f t="shared" si="16"/>
        <v>10.23999999990326</v>
      </c>
      <c r="F378" t="str">
        <f t="shared" si="17"/>
        <v>NPL</v>
      </c>
      <c r="G378" t="str">
        <f>+_xlfn.XLOOKUP(F378,Sheet1!C:C,Sheet1!B:B,"N/A",0)</f>
        <v>NP</v>
      </c>
      <c r="H378" t="str">
        <f>+_xlfn.XLOOKUP(F378,Sheet1!C:C,Sheet1!D:D,"N/A",0)</f>
        <v>524</v>
      </c>
    </row>
    <row r="379" spans="1:8" x14ac:dyDescent="0.25">
      <c r="A379" t="s">
        <v>522</v>
      </c>
      <c r="B379" t="s">
        <v>523</v>
      </c>
      <c r="C379" s="5">
        <v>3.235E-4</v>
      </c>
      <c r="D379" s="3">
        <f t="shared" si="15"/>
        <v>0.331264</v>
      </c>
      <c r="E379" s="3">
        <f t="shared" si="16"/>
        <v>0.331264</v>
      </c>
      <c r="F379" t="str">
        <f t="shared" si="17"/>
        <v>NLD</v>
      </c>
      <c r="G379" t="str">
        <f>+_xlfn.XLOOKUP(F379,Sheet1!C:C,Sheet1!B:B,"N/A",0)</f>
        <v>NL</v>
      </c>
      <c r="H379" t="str">
        <f>+_xlfn.XLOOKUP(F379,Sheet1!C:C,Sheet1!D:D,"N/A",0)</f>
        <v>528</v>
      </c>
    </row>
    <row r="380" spans="1:8" x14ac:dyDescent="0.25">
      <c r="A380" t="s">
        <v>522</v>
      </c>
      <c r="B380" t="s">
        <v>524</v>
      </c>
      <c r="C380" s="5">
        <v>6.5399999999999996E-4</v>
      </c>
      <c r="D380" s="3">
        <f t="shared" si="15"/>
        <v>0.66969599999999996</v>
      </c>
      <c r="E380" s="3">
        <f t="shared" si="16"/>
        <v>0.331264</v>
      </c>
      <c r="F380" t="str">
        <f t="shared" si="17"/>
        <v>NLD</v>
      </c>
      <c r="G380" t="str">
        <f>+_xlfn.XLOOKUP(F380,Sheet1!C:C,Sheet1!B:B,"N/A",0)</f>
        <v>NL</v>
      </c>
      <c r="H380" t="str">
        <f>+_xlfn.XLOOKUP(F380,Sheet1!C:C,Sheet1!D:D,"N/A",0)</f>
        <v>528</v>
      </c>
    </row>
    <row r="381" spans="1:8" x14ac:dyDescent="0.25">
      <c r="A381" t="s">
        <v>522</v>
      </c>
      <c r="B381" t="s">
        <v>525</v>
      </c>
      <c r="C381" s="5">
        <v>8.9740000000000024E-4</v>
      </c>
      <c r="D381" s="3">
        <f t="shared" si="15"/>
        <v>0.91893760000000024</v>
      </c>
      <c r="E381" s="3">
        <f t="shared" si="16"/>
        <v>0.331264</v>
      </c>
      <c r="F381" t="str">
        <f t="shared" si="17"/>
        <v>NLD</v>
      </c>
      <c r="G381" t="str">
        <f>+_xlfn.XLOOKUP(F381,Sheet1!C:C,Sheet1!B:B,"N/A",0)</f>
        <v>NL</v>
      </c>
      <c r="H381" t="str">
        <f>+_xlfn.XLOOKUP(F381,Sheet1!C:C,Sheet1!D:D,"N/A",0)</f>
        <v>528</v>
      </c>
    </row>
    <row r="382" spans="1:8" x14ac:dyDescent="0.25">
      <c r="A382" t="s">
        <v>526</v>
      </c>
      <c r="B382" t="s">
        <v>527</v>
      </c>
      <c r="C382" s="5">
        <v>8.4958408564247349E-4</v>
      </c>
      <c r="D382" s="3">
        <f t="shared" si="15"/>
        <v>0.86997410369789285</v>
      </c>
      <c r="E382" s="3">
        <f t="shared" si="16"/>
        <v>0.86886399803587344</v>
      </c>
      <c r="F382" t="str">
        <f t="shared" si="17"/>
        <v>ANT</v>
      </c>
      <c r="G382" t="str">
        <f>+_xlfn.XLOOKUP(F382,Sheet1!C:C,Sheet1!B:B,"N/A",0)</f>
        <v>N/A</v>
      </c>
      <c r="H382" t="str">
        <f>+_xlfn.XLOOKUP(F382,Sheet1!C:C,Sheet1!D:D,"N/A",0)</f>
        <v>N/A</v>
      </c>
    </row>
    <row r="383" spans="1:8" x14ac:dyDescent="0.25">
      <c r="A383" t="s">
        <v>526</v>
      </c>
      <c r="B383" t="s">
        <v>528</v>
      </c>
      <c r="C383" s="5">
        <v>2.5453999999834336E-3</v>
      </c>
      <c r="D383" s="3">
        <f t="shared" si="15"/>
        <v>2.606489599983036</v>
      </c>
      <c r="E383" s="3">
        <f t="shared" si="16"/>
        <v>0.86886399803587344</v>
      </c>
      <c r="F383" t="str">
        <f t="shared" si="17"/>
        <v>ANT</v>
      </c>
      <c r="G383" t="str">
        <f>+_xlfn.XLOOKUP(F383,Sheet1!C:C,Sheet1!B:B,"N/A",0)</f>
        <v>N/A</v>
      </c>
      <c r="H383" t="str">
        <f>+_xlfn.XLOOKUP(F383,Sheet1!C:C,Sheet1!D:D,"N/A",0)</f>
        <v>N/A</v>
      </c>
    </row>
    <row r="384" spans="1:8" x14ac:dyDescent="0.25">
      <c r="A384" t="s">
        <v>526</v>
      </c>
      <c r="B384" t="s">
        <v>529</v>
      </c>
      <c r="C384" s="5">
        <v>8.4849999808190766E-4</v>
      </c>
      <c r="D384" s="3">
        <f t="shared" si="15"/>
        <v>0.86886399803587344</v>
      </c>
      <c r="E384" s="3">
        <f t="shared" si="16"/>
        <v>0.86886399803587344</v>
      </c>
      <c r="F384" t="str">
        <f t="shared" si="17"/>
        <v>ANT</v>
      </c>
      <c r="G384" t="str">
        <f>+_xlfn.XLOOKUP(F384,Sheet1!C:C,Sheet1!B:B,"N/A",0)</f>
        <v>N/A</v>
      </c>
      <c r="H384" t="str">
        <f>+_xlfn.XLOOKUP(F384,Sheet1!C:C,Sheet1!D:D,"N/A",0)</f>
        <v>N/A</v>
      </c>
    </row>
    <row r="385" spans="1:8" x14ac:dyDescent="0.25">
      <c r="A385" t="s">
        <v>530</v>
      </c>
      <c r="B385" t="s">
        <v>531</v>
      </c>
      <c r="C385" s="5">
        <v>0.23366462426197329</v>
      </c>
      <c r="D385" s="3">
        <f t="shared" si="15"/>
        <v>239.27257524426065</v>
      </c>
      <c r="E385" s="3">
        <f t="shared" si="16"/>
        <v>239.27257524426065</v>
      </c>
      <c r="F385" t="str">
        <f t="shared" si="17"/>
        <v>NCL</v>
      </c>
      <c r="G385" t="str">
        <f>+_xlfn.XLOOKUP(F385,Sheet1!C:C,Sheet1!B:B,"N/A",0)</f>
        <v>NC</v>
      </c>
      <c r="H385" t="str">
        <f>+_xlfn.XLOOKUP(F385,Sheet1!C:C,Sheet1!D:D,"N/A",0)</f>
        <v>540</v>
      </c>
    </row>
    <row r="386" spans="1:8" x14ac:dyDescent="0.25">
      <c r="A386" t="s">
        <v>532</v>
      </c>
      <c r="B386" t="s">
        <v>533</v>
      </c>
      <c r="C386" s="5">
        <v>4.8000000000000007E-4</v>
      </c>
      <c r="D386" s="3">
        <f t="shared" si="15"/>
        <v>0.49152000000000007</v>
      </c>
      <c r="E386" s="3">
        <f t="shared" si="16"/>
        <v>0.49152000000000007</v>
      </c>
      <c r="F386" t="str">
        <f t="shared" si="17"/>
        <v>NZL</v>
      </c>
      <c r="G386" t="str">
        <f>+_xlfn.XLOOKUP(F386,Sheet1!C:C,Sheet1!B:B,"N/A",0)</f>
        <v>NZ</v>
      </c>
      <c r="H386" t="str">
        <f>+_xlfn.XLOOKUP(F386,Sheet1!C:C,Sheet1!D:D,"N/A",0)</f>
        <v>554</v>
      </c>
    </row>
    <row r="387" spans="1:8" x14ac:dyDescent="0.25">
      <c r="A387" t="s">
        <v>532</v>
      </c>
      <c r="B387" t="s">
        <v>534</v>
      </c>
      <c r="C387" s="5">
        <v>3.9999999984011532E-3</v>
      </c>
      <c r="D387" s="3">
        <f t="shared" ref="D387:D450" si="18">C387*1024</f>
        <v>4.0959999983627808</v>
      </c>
      <c r="E387" s="3">
        <f t="shared" ref="E387:E450" si="19">_xlfn.MINIFS(D:D,A:A,A387,D:D,"&lt;&gt;0")</f>
        <v>0.49152000000000007</v>
      </c>
      <c r="F387" t="str">
        <f t="shared" ref="F387:F450" si="20">_xlfn.TEXTBEFORE(_xlfn.TEXTAFTER(B387,"("),")")</f>
        <v>NZL</v>
      </c>
      <c r="G387" t="str">
        <f>+_xlfn.XLOOKUP(F387,Sheet1!C:C,Sheet1!B:B,"N/A",0)</f>
        <v>NZ</v>
      </c>
      <c r="H387" t="str">
        <f>+_xlfn.XLOOKUP(F387,Sheet1!C:C,Sheet1!D:D,"N/A",0)</f>
        <v>554</v>
      </c>
    </row>
    <row r="388" spans="1:8" x14ac:dyDescent="0.25">
      <c r="A388" t="s">
        <v>532</v>
      </c>
      <c r="B388" t="s">
        <v>535</v>
      </c>
      <c r="C388" s="5">
        <v>1.3203993788563375E-3</v>
      </c>
      <c r="D388" s="3">
        <f t="shared" si="18"/>
        <v>1.3520889639488896</v>
      </c>
      <c r="E388" s="3">
        <f t="shared" si="19"/>
        <v>0.49152000000000007</v>
      </c>
      <c r="F388" t="str">
        <f t="shared" si="20"/>
        <v>NZL</v>
      </c>
      <c r="G388" t="str">
        <f>+_xlfn.XLOOKUP(F388,Sheet1!C:C,Sheet1!B:B,"N/A",0)</f>
        <v>NZ</v>
      </c>
      <c r="H388" t="str">
        <f>+_xlfn.XLOOKUP(F388,Sheet1!C:C,Sheet1!D:D,"N/A",0)</f>
        <v>554</v>
      </c>
    </row>
    <row r="389" spans="1:8" x14ac:dyDescent="0.25">
      <c r="A389" t="s">
        <v>536</v>
      </c>
      <c r="B389" t="s">
        <v>537</v>
      </c>
      <c r="C389" s="5">
        <v>8.740352543062062E-4</v>
      </c>
      <c r="D389" s="3">
        <f t="shared" si="18"/>
        <v>0.89501210040955514</v>
      </c>
      <c r="E389" s="3">
        <f t="shared" si="19"/>
        <v>0.89501210040955514</v>
      </c>
      <c r="F389" t="str">
        <f t="shared" si="20"/>
        <v>NIC</v>
      </c>
      <c r="G389" t="str">
        <f>+_xlfn.XLOOKUP(F389,Sheet1!C:C,Sheet1!B:B,"N/A",0)</f>
        <v>NI</v>
      </c>
      <c r="H389" t="str">
        <f>+_xlfn.XLOOKUP(F389,Sheet1!C:C,Sheet1!D:D,"N/A",0)</f>
        <v>558</v>
      </c>
    </row>
    <row r="390" spans="1:8" x14ac:dyDescent="0.25">
      <c r="A390" t="s">
        <v>536</v>
      </c>
      <c r="B390" t="s">
        <v>538</v>
      </c>
      <c r="C390" s="5">
        <v>1.8226999996689031E-3</v>
      </c>
      <c r="D390" s="3">
        <f t="shared" si="18"/>
        <v>1.8664447996609568</v>
      </c>
      <c r="E390" s="3">
        <f t="shared" si="19"/>
        <v>0.89501210040955514</v>
      </c>
      <c r="F390" t="str">
        <f t="shared" si="20"/>
        <v>NIC</v>
      </c>
      <c r="G390" t="str">
        <f>+_xlfn.XLOOKUP(F390,Sheet1!C:C,Sheet1!B:B,"N/A",0)</f>
        <v>NI</v>
      </c>
      <c r="H390" t="str">
        <f>+_xlfn.XLOOKUP(F390,Sheet1!C:C,Sheet1!D:D,"N/A",0)</f>
        <v>558</v>
      </c>
    </row>
    <row r="391" spans="1:8" x14ac:dyDescent="0.25">
      <c r="A391" t="s">
        <v>539</v>
      </c>
      <c r="B391" t="s">
        <v>540</v>
      </c>
      <c r="C391" s="5">
        <v>1.9514999999999997E-3</v>
      </c>
      <c r="D391" s="3">
        <f t="shared" si="18"/>
        <v>1.9983359999999997</v>
      </c>
      <c r="E391" s="3">
        <f t="shared" si="19"/>
        <v>1.9983359999999997</v>
      </c>
      <c r="F391" t="str">
        <f t="shared" si="20"/>
        <v>NER</v>
      </c>
      <c r="G391" t="str">
        <f>+_xlfn.XLOOKUP(F391,Sheet1!C:C,Sheet1!B:B,"N/A",0)</f>
        <v>NE</v>
      </c>
      <c r="H391" t="str">
        <f>+_xlfn.XLOOKUP(F391,Sheet1!C:C,Sheet1!D:D,"N/A",0)</f>
        <v>562</v>
      </c>
    </row>
    <row r="392" spans="1:8" x14ac:dyDescent="0.25">
      <c r="A392" t="s">
        <v>539</v>
      </c>
      <c r="B392" t="s">
        <v>541</v>
      </c>
      <c r="C392" s="5">
        <v>7.9999454755762204E-3</v>
      </c>
      <c r="D392" s="3">
        <f t="shared" si="18"/>
        <v>8.1919441669900497</v>
      </c>
      <c r="E392" s="3">
        <f t="shared" si="19"/>
        <v>1.9983359999999997</v>
      </c>
      <c r="F392" t="str">
        <f t="shared" si="20"/>
        <v>NER</v>
      </c>
      <c r="G392" t="str">
        <f>+_xlfn.XLOOKUP(F392,Sheet1!C:C,Sheet1!B:B,"N/A",0)</f>
        <v>NE</v>
      </c>
      <c r="H392" t="str">
        <f>+_xlfn.XLOOKUP(F392,Sheet1!C:C,Sheet1!D:D,"N/A",0)</f>
        <v>562</v>
      </c>
    </row>
    <row r="393" spans="1:8" x14ac:dyDescent="0.25">
      <c r="A393" t="s">
        <v>539</v>
      </c>
      <c r="B393" t="s">
        <v>542</v>
      </c>
      <c r="C393" s="5">
        <v>5.0000174575327069E-3</v>
      </c>
      <c r="D393" s="3">
        <f t="shared" si="18"/>
        <v>5.1200178765134918</v>
      </c>
      <c r="E393" s="3">
        <f t="shared" si="19"/>
        <v>1.9983359999999997</v>
      </c>
      <c r="F393" t="str">
        <f t="shared" si="20"/>
        <v>NER</v>
      </c>
      <c r="G393" t="str">
        <f>+_xlfn.XLOOKUP(F393,Sheet1!C:C,Sheet1!B:B,"N/A",0)</f>
        <v>NE</v>
      </c>
      <c r="H393" t="str">
        <f>+_xlfn.XLOOKUP(F393,Sheet1!C:C,Sheet1!D:D,"N/A",0)</f>
        <v>562</v>
      </c>
    </row>
    <row r="394" spans="1:8" x14ac:dyDescent="0.25">
      <c r="A394" t="s">
        <v>543</v>
      </c>
      <c r="B394" t="s">
        <v>544</v>
      </c>
      <c r="C394" s="5">
        <v>4.9999998029063514E-3</v>
      </c>
      <c r="D394" s="3">
        <f t="shared" si="18"/>
        <v>5.1199997981761038</v>
      </c>
      <c r="E394" s="3">
        <f t="shared" si="19"/>
        <v>1.8832484444619211</v>
      </c>
      <c r="F394" t="str">
        <f t="shared" si="20"/>
        <v>NGA</v>
      </c>
      <c r="G394" t="str">
        <f>+_xlfn.XLOOKUP(F394,Sheet1!C:C,Sheet1!B:B,"N/A",0)</f>
        <v>NG</v>
      </c>
      <c r="H394" t="str">
        <f>+_xlfn.XLOOKUP(F394,Sheet1!C:C,Sheet1!D:D,"N/A",0)</f>
        <v>566</v>
      </c>
    </row>
    <row r="395" spans="1:8" x14ac:dyDescent="0.25">
      <c r="A395" t="s">
        <v>543</v>
      </c>
      <c r="B395" t="s">
        <v>545</v>
      </c>
      <c r="C395" s="5">
        <v>4.8159895122333032E-3</v>
      </c>
      <c r="D395" s="3">
        <f t="shared" si="18"/>
        <v>4.9315732605269025</v>
      </c>
      <c r="E395" s="3">
        <f t="shared" si="19"/>
        <v>1.8832484444619211</v>
      </c>
      <c r="F395" t="str">
        <f t="shared" si="20"/>
        <v>NGA</v>
      </c>
      <c r="G395" t="str">
        <f>+_xlfn.XLOOKUP(F395,Sheet1!C:C,Sheet1!B:B,"N/A",0)</f>
        <v>NG</v>
      </c>
      <c r="H395" t="str">
        <f>+_xlfn.XLOOKUP(F395,Sheet1!C:C,Sheet1!D:D,"N/A",0)</f>
        <v>566</v>
      </c>
    </row>
    <row r="396" spans="1:8" x14ac:dyDescent="0.25">
      <c r="A396" t="s">
        <v>543</v>
      </c>
      <c r="B396" t="s">
        <v>546</v>
      </c>
      <c r="C396" s="5">
        <v>1.999999676693915E-3</v>
      </c>
      <c r="D396" s="3">
        <f t="shared" si="18"/>
        <v>2.047999668934569</v>
      </c>
      <c r="E396" s="3">
        <f t="shared" si="19"/>
        <v>1.8832484444619211</v>
      </c>
      <c r="F396" t="str">
        <f t="shared" si="20"/>
        <v>NGA</v>
      </c>
      <c r="G396" t="str">
        <f>+_xlfn.XLOOKUP(F396,Sheet1!C:C,Sheet1!B:B,"N/A",0)</f>
        <v>NG</v>
      </c>
      <c r="H396" t="str">
        <f>+_xlfn.XLOOKUP(F396,Sheet1!C:C,Sheet1!D:D,"N/A",0)</f>
        <v>566</v>
      </c>
    </row>
    <row r="397" spans="1:8" x14ac:dyDescent="0.25">
      <c r="A397" t="s">
        <v>543</v>
      </c>
      <c r="B397" t="s">
        <v>547</v>
      </c>
      <c r="C397" s="5">
        <v>1.8391098090448448E-3</v>
      </c>
      <c r="D397" s="3">
        <f t="shared" si="18"/>
        <v>1.8832484444619211</v>
      </c>
      <c r="E397" s="3">
        <f t="shared" si="19"/>
        <v>1.8832484444619211</v>
      </c>
      <c r="F397" t="str">
        <f t="shared" si="20"/>
        <v>NGA</v>
      </c>
      <c r="G397" t="str">
        <f>+_xlfn.XLOOKUP(F397,Sheet1!C:C,Sheet1!B:B,"N/A",0)</f>
        <v>NG</v>
      </c>
      <c r="H397" t="str">
        <f>+_xlfn.XLOOKUP(F397,Sheet1!C:C,Sheet1!D:D,"N/A",0)</f>
        <v>566</v>
      </c>
    </row>
    <row r="398" spans="1:8" x14ac:dyDescent="0.25">
      <c r="A398" t="s">
        <v>548</v>
      </c>
      <c r="B398" t="s">
        <v>549</v>
      </c>
      <c r="C398" s="5">
        <v>1.5000000000318656E-3</v>
      </c>
      <c r="D398" s="3">
        <f t="shared" si="18"/>
        <v>1.5360000000326304</v>
      </c>
      <c r="E398" s="3">
        <f t="shared" si="19"/>
        <v>1.024000000000546</v>
      </c>
      <c r="F398" t="str">
        <f t="shared" si="20"/>
        <v>MKD</v>
      </c>
      <c r="G398" t="str">
        <f>+_xlfn.XLOOKUP(F398,Sheet1!C:C,Sheet1!B:B,"N/A",0)</f>
        <v>MK</v>
      </c>
      <c r="H398" t="str">
        <f>+_xlfn.XLOOKUP(F398,Sheet1!C:C,Sheet1!D:D,"N/A",0)</f>
        <v>807</v>
      </c>
    </row>
    <row r="399" spans="1:8" x14ac:dyDescent="0.25">
      <c r="A399" t="s">
        <v>548</v>
      </c>
      <c r="B399" t="s">
        <v>550</v>
      </c>
      <c r="C399" s="5">
        <v>1.0000000000005332E-3</v>
      </c>
      <c r="D399" s="3">
        <f t="shared" si="18"/>
        <v>1.024000000000546</v>
      </c>
      <c r="E399" s="3">
        <f t="shared" si="19"/>
        <v>1.024000000000546</v>
      </c>
      <c r="F399" t="str">
        <f t="shared" si="20"/>
        <v>MKD</v>
      </c>
      <c r="G399" t="str">
        <f>+_xlfn.XLOOKUP(F399,Sheet1!C:C,Sheet1!B:B,"N/A",0)</f>
        <v>MK</v>
      </c>
      <c r="H399" t="str">
        <f>+_xlfn.XLOOKUP(F399,Sheet1!C:C,Sheet1!D:D,"N/A",0)</f>
        <v>807</v>
      </c>
    </row>
    <row r="400" spans="1:8" x14ac:dyDescent="0.25">
      <c r="A400" t="s">
        <v>551</v>
      </c>
      <c r="B400" t="s">
        <v>552</v>
      </c>
      <c r="C400" s="5">
        <v>6.4570000000000003E-4</v>
      </c>
      <c r="D400" s="3">
        <f t="shared" si="18"/>
        <v>0.66119680000000003</v>
      </c>
      <c r="E400" s="3">
        <f t="shared" si="19"/>
        <v>0.25712639999999998</v>
      </c>
      <c r="F400" t="str">
        <f t="shared" si="20"/>
        <v>NOR</v>
      </c>
      <c r="G400" t="str">
        <f>+_xlfn.XLOOKUP(F400,Sheet1!C:C,Sheet1!B:B,"N/A",0)</f>
        <v>NO</v>
      </c>
      <c r="H400" t="str">
        <f>+_xlfn.XLOOKUP(F400,Sheet1!C:C,Sheet1!D:D,"N/A",0)</f>
        <v>578</v>
      </c>
    </row>
    <row r="401" spans="1:8" x14ac:dyDescent="0.25">
      <c r="A401" t="s">
        <v>551</v>
      </c>
      <c r="B401" t="s">
        <v>553</v>
      </c>
      <c r="C401" s="5">
        <v>2.5109999999999998E-4</v>
      </c>
      <c r="D401" s="3">
        <f t="shared" si="18"/>
        <v>0.25712639999999998</v>
      </c>
      <c r="E401" s="3">
        <f t="shared" si="19"/>
        <v>0.25712639999999998</v>
      </c>
      <c r="F401" t="str">
        <f t="shared" si="20"/>
        <v>NOR</v>
      </c>
      <c r="G401" t="str">
        <f>+_xlfn.XLOOKUP(F401,Sheet1!C:C,Sheet1!B:B,"N/A",0)</f>
        <v>NO</v>
      </c>
      <c r="H401" t="str">
        <f>+_xlfn.XLOOKUP(F401,Sheet1!C:C,Sheet1!D:D,"N/A",0)</f>
        <v>578</v>
      </c>
    </row>
    <row r="402" spans="1:8" x14ac:dyDescent="0.25">
      <c r="A402" t="s">
        <v>551</v>
      </c>
      <c r="B402" t="s">
        <v>554</v>
      </c>
      <c r="C402" s="5">
        <v>3.5540000000000007E-4</v>
      </c>
      <c r="D402" s="3">
        <f t="shared" si="18"/>
        <v>0.36392960000000008</v>
      </c>
      <c r="E402" s="3">
        <f t="shared" si="19"/>
        <v>0.25712639999999998</v>
      </c>
      <c r="F402" t="str">
        <f t="shared" si="20"/>
        <v>NOR</v>
      </c>
      <c r="G402" t="str">
        <f>+_xlfn.XLOOKUP(F402,Sheet1!C:C,Sheet1!B:B,"N/A",0)</f>
        <v>NO</v>
      </c>
      <c r="H402" t="str">
        <f>+_xlfn.XLOOKUP(F402,Sheet1!C:C,Sheet1!D:D,"N/A",0)</f>
        <v>578</v>
      </c>
    </row>
    <row r="403" spans="1:8" x14ac:dyDescent="0.25">
      <c r="A403" t="s">
        <v>555</v>
      </c>
      <c r="B403" t="s">
        <v>556</v>
      </c>
      <c r="C403" s="5">
        <v>3.2188000003214902E-3</v>
      </c>
      <c r="D403" s="3">
        <f t="shared" si="18"/>
        <v>3.296051200329206</v>
      </c>
      <c r="E403" s="3">
        <f t="shared" si="19"/>
        <v>1.5394930896483547</v>
      </c>
      <c r="F403" t="str">
        <f t="shared" si="20"/>
        <v>OMN</v>
      </c>
      <c r="G403" t="str">
        <f>+_xlfn.XLOOKUP(F403,Sheet1!C:C,Sheet1!B:B,"N/A",0)</f>
        <v>OM</v>
      </c>
      <c r="H403" t="str">
        <f>+_xlfn.XLOOKUP(F403,Sheet1!C:C,Sheet1!D:D,"N/A",0)</f>
        <v>512</v>
      </c>
    </row>
    <row r="404" spans="1:8" x14ac:dyDescent="0.25">
      <c r="A404" t="s">
        <v>555</v>
      </c>
      <c r="B404" t="s">
        <v>557</v>
      </c>
      <c r="C404" s="5">
        <v>3.000000001719118E-3</v>
      </c>
      <c r="D404" s="3">
        <f t="shared" si="18"/>
        <v>3.0720000017603768</v>
      </c>
      <c r="E404" s="3">
        <f t="shared" si="19"/>
        <v>1.5394930896483547</v>
      </c>
      <c r="F404" t="str">
        <f t="shared" si="20"/>
        <v>OMN</v>
      </c>
      <c r="G404" t="str">
        <f>+_xlfn.XLOOKUP(F404,Sheet1!C:C,Sheet1!B:B,"N/A",0)</f>
        <v>OM</v>
      </c>
      <c r="H404" t="str">
        <f>+_xlfn.XLOOKUP(F404,Sheet1!C:C,Sheet1!D:D,"N/A",0)</f>
        <v>512</v>
      </c>
    </row>
    <row r="405" spans="1:8" x14ac:dyDescent="0.25">
      <c r="A405" t="s">
        <v>555</v>
      </c>
      <c r="B405" t="s">
        <v>558</v>
      </c>
      <c r="C405" s="5">
        <v>1.5034112203597214E-3</v>
      </c>
      <c r="D405" s="3">
        <f t="shared" si="18"/>
        <v>1.5394930896483547</v>
      </c>
      <c r="E405" s="3">
        <f t="shared" si="19"/>
        <v>1.5394930896483547</v>
      </c>
      <c r="F405" t="str">
        <f t="shared" si="20"/>
        <v>OMN</v>
      </c>
      <c r="G405" t="str">
        <f>+_xlfn.XLOOKUP(F405,Sheet1!C:C,Sheet1!B:B,"N/A",0)</f>
        <v>OM</v>
      </c>
      <c r="H405" t="str">
        <f>+_xlfn.XLOOKUP(F405,Sheet1!C:C,Sheet1!D:D,"N/A",0)</f>
        <v>512</v>
      </c>
    </row>
    <row r="406" spans="1:8" x14ac:dyDescent="0.25">
      <c r="A406" t="s">
        <v>559</v>
      </c>
      <c r="B406" t="s">
        <v>560</v>
      </c>
      <c r="C406" s="5">
        <v>4.1419999996838716E-3</v>
      </c>
      <c r="D406" s="3">
        <f t="shared" si="18"/>
        <v>4.2414079996762846</v>
      </c>
      <c r="E406" s="3">
        <f t="shared" si="19"/>
        <v>1.0884897175059085</v>
      </c>
      <c r="F406" t="str">
        <f t="shared" si="20"/>
        <v>PAK</v>
      </c>
      <c r="G406" t="str">
        <f>+_xlfn.XLOOKUP(F406,Sheet1!C:C,Sheet1!B:B,"N/A",0)</f>
        <v>PK</v>
      </c>
      <c r="H406" t="str">
        <f>+_xlfn.XLOOKUP(F406,Sheet1!C:C,Sheet1!D:D,"N/A",0)</f>
        <v>586</v>
      </c>
    </row>
    <row r="407" spans="1:8" x14ac:dyDescent="0.25">
      <c r="A407" t="s">
        <v>559</v>
      </c>
      <c r="B407" t="s">
        <v>561</v>
      </c>
      <c r="C407" s="5">
        <v>9.3331008647657455E-3</v>
      </c>
      <c r="D407" s="3">
        <f t="shared" si="18"/>
        <v>9.5570952855201234</v>
      </c>
      <c r="E407" s="3">
        <f t="shared" si="19"/>
        <v>1.0884897175059085</v>
      </c>
      <c r="F407" t="str">
        <f t="shared" si="20"/>
        <v>PAK</v>
      </c>
      <c r="G407" t="str">
        <f>+_xlfn.XLOOKUP(F407,Sheet1!C:C,Sheet1!B:B,"N/A",0)</f>
        <v>PK</v>
      </c>
      <c r="H407" t="str">
        <f>+_xlfn.XLOOKUP(F407,Sheet1!C:C,Sheet1!D:D,"N/A",0)</f>
        <v>586</v>
      </c>
    </row>
    <row r="408" spans="1:8" x14ac:dyDescent="0.25">
      <c r="A408" t="s">
        <v>559</v>
      </c>
      <c r="B408" t="s">
        <v>562</v>
      </c>
      <c r="C408" s="5">
        <v>1.0629782397518638E-3</v>
      </c>
      <c r="D408" s="3">
        <f t="shared" si="18"/>
        <v>1.0884897175059085</v>
      </c>
      <c r="E408" s="3">
        <f t="shared" si="19"/>
        <v>1.0884897175059085</v>
      </c>
      <c r="F408" t="str">
        <f t="shared" si="20"/>
        <v>PAK</v>
      </c>
      <c r="G408" t="str">
        <f>+_xlfn.XLOOKUP(F408,Sheet1!C:C,Sheet1!B:B,"N/A",0)</f>
        <v>PK</v>
      </c>
      <c r="H408" t="str">
        <f>+_xlfn.XLOOKUP(F408,Sheet1!C:C,Sheet1!D:D,"N/A",0)</f>
        <v>586</v>
      </c>
    </row>
    <row r="409" spans="1:8" x14ac:dyDescent="0.25">
      <c r="A409" t="s">
        <v>559</v>
      </c>
      <c r="B409" t="s">
        <v>563</v>
      </c>
      <c r="C409" s="5">
        <v>1.4907773230949542E-3</v>
      </c>
      <c r="D409" s="3">
        <f t="shared" si="18"/>
        <v>1.5265559788492331</v>
      </c>
      <c r="E409" s="3">
        <f t="shared" si="19"/>
        <v>1.0884897175059085</v>
      </c>
      <c r="F409" t="str">
        <f t="shared" si="20"/>
        <v>PAK</v>
      </c>
      <c r="G409" t="str">
        <f>+_xlfn.XLOOKUP(F409,Sheet1!C:C,Sheet1!B:B,"N/A",0)</f>
        <v>PK</v>
      </c>
      <c r="H409" t="str">
        <f>+_xlfn.XLOOKUP(F409,Sheet1!C:C,Sheet1!D:D,"N/A",0)</f>
        <v>586</v>
      </c>
    </row>
    <row r="410" spans="1:8" x14ac:dyDescent="0.25">
      <c r="A410" t="s">
        <v>564</v>
      </c>
      <c r="B410" t="s">
        <v>565</v>
      </c>
      <c r="C410" s="5">
        <v>4.2423200026497472E-2</v>
      </c>
      <c r="D410" s="3">
        <f t="shared" si="18"/>
        <v>43.441356827133411</v>
      </c>
      <c r="E410" s="3">
        <f t="shared" si="19"/>
        <v>43.441356827133411</v>
      </c>
      <c r="F410" t="str">
        <f t="shared" si="20"/>
        <v>PLW</v>
      </c>
      <c r="G410" t="str">
        <f>+_xlfn.XLOOKUP(F410,Sheet1!C:C,Sheet1!B:B,"N/A",0)</f>
        <v>PW</v>
      </c>
      <c r="H410" t="str">
        <f>+_xlfn.XLOOKUP(F410,Sheet1!C:C,Sheet1!D:D,"N/A",0)</f>
        <v>585</v>
      </c>
    </row>
    <row r="411" spans="1:8" x14ac:dyDescent="0.25">
      <c r="A411" t="s">
        <v>566</v>
      </c>
      <c r="B411" t="s">
        <v>567</v>
      </c>
      <c r="C411" s="5">
        <v>1.3490999942953608E-3</v>
      </c>
      <c r="D411" s="3">
        <f t="shared" si="18"/>
        <v>1.3814783941584494</v>
      </c>
      <c r="E411" s="3">
        <f t="shared" si="19"/>
        <v>1.3814783941584494</v>
      </c>
      <c r="F411" t="str">
        <f t="shared" si="20"/>
        <v>PSE</v>
      </c>
      <c r="G411" t="str">
        <f>+_xlfn.XLOOKUP(F411,Sheet1!C:C,Sheet1!B:B,"N/A",0)</f>
        <v>PS</v>
      </c>
      <c r="H411" t="str">
        <f>+_xlfn.XLOOKUP(F411,Sheet1!C:C,Sheet1!D:D,"N/A",0)</f>
        <v>275</v>
      </c>
    </row>
    <row r="412" spans="1:8" x14ac:dyDescent="0.25">
      <c r="A412" t="s">
        <v>566</v>
      </c>
      <c r="B412" t="s">
        <v>568</v>
      </c>
      <c r="C412" s="5">
        <v>3.0000000089255492E-3</v>
      </c>
      <c r="D412" s="3">
        <f t="shared" si="18"/>
        <v>3.0720000091397623</v>
      </c>
      <c r="E412" s="3">
        <f t="shared" si="19"/>
        <v>1.3814783941584494</v>
      </c>
      <c r="F412" t="str">
        <f t="shared" si="20"/>
        <v>PSE</v>
      </c>
      <c r="G412" t="str">
        <f>+_xlfn.XLOOKUP(F412,Sheet1!C:C,Sheet1!B:B,"N/A",0)</f>
        <v>PS</v>
      </c>
      <c r="H412" t="str">
        <f>+_xlfn.XLOOKUP(F412,Sheet1!C:C,Sheet1!D:D,"N/A",0)</f>
        <v>275</v>
      </c>
    </row>
    <row r="413" spans="1:8" x14ac:dyDescent="0.25">
      <c r="A413" t="s">
        <v>569</v>
      </c>
      <c r="B413" t="s">
        <v>570</v>
      </c>
      <c r="C413" s="5">
        <v>4.6201000000000011E-3</v>
      </c>
      <c r="D413" s="3">
        <f t="shared" si="18"/>
        <v>4.7309824000000011</v>
      </c>
      <c r="E413" s="3">
        <f t="shared" si="19"/>
        <v>1.8664448001732818</v>
      </c>
      <c r="F413" t="str">
        <f t="shared" si="20"/>
        <v>PAN</v>
      </c>
      <c r="G413" t="str">
        <f>+_xlfn.XLOOKUP(F413,Sheet1!C:C,Sheet1!B:B,"N/A",0)</f>
        <v>PA</v>
      </c>
      <c r="H413" t="str">
        <f>+_xlfn.XLOOKUP(F413,Sheet1!C:C,Sheet1!D:D,"N/A",0)</f>
        <v>591</v>
      </c>
    </row>
    <row r="414" spans="1:8" x14ac:dyDescent="0.25">
      <c r="A414" t="s">
        <v>569</v>
      </c>
      <c r="B414" t="s">
        <v>571</v>
      </c>
      <c r="C414" s="5">
        <v>2.5453999997596278E-3</v>
      </c>
      <c r="D414" s="3">
        <f t="shared" si="18"/>
        <v>2.6064895997538589</v>
      </c>
      <c r="E414" s="3">
        <f t="shared" si="19"/>
        <v>1.8664448001732818</v>
      </c>
      <c r="F414" t="str">
        <f t="shared" si="20"/>
        <v>PAN</v>
      </c>
      <c r="G414" t="str">
        <f>+_xlfn.XLOOKUP(F414,Sheet1!C:C,Sheet1!B:B,"N/A",0)</f>
        <v>PA</v>
      </c>
      <c r="H414" t="str">
        <f>+_xlfn.XLOOKUP(F414,Sheet1!C:C,Sheet1!D:D,"N/A",0)</f>
        <v>591</v>
      </c>
    </row>
    <row r="415" spans="1:8" x14ac:dyDescent="0.25">
      <c r="A415" t="s">
        <v>569</v>
      </c>
      <c r="B415" t="s">
        <v>572</v>
      </c>
      <c r="C415" s="5">
        <v>1.8227000001692206E-3</v>
      </c>
      <c r="D415" s="3">
        <f t="shared" si="18"/>
        <v>1.8664448001732818</v>
      </c>
      <c r="E415" s="3">
        <f t="shared" si="19"/>
        <v>1.8664448001732818</v>
      </c>
      <c r="F415" t="str">
        <f t="shared" si="20"/>
        <v>PAN</v>
      </c>
      <c r="G415" t="str">
        <f>+_xlfn.XLOOKUP(F415,Sheet1!C:C,Sheet1!B:B,"N/A",0)</f>
        <v>PA</v>
      </c>
      <c r="H415" t="str">
        <f>+_xlfn.XLOOKUP(F415,Sheet1!C:C,Sheet1!D:D,"N/A",0)</f>
        <v>591</v>
      </c>
    </row>
    <row r="416" spans="1:8" x14ac:dyDescent="0.25">
      <c r="A416" t="s">
        <v>573</v>
      </c>
      <c r="B416" t="s">
        <v>574</v>
      </c>
      <c r="C416" s="5">
        <v>4.2423000001006808E-3</v>
      </c>
      <c r="D416" s="3">
        <f t="shared" si="18"/>
        <v>4.3441152001030972</v>
      </c>
      <c r="E416" s="3">
        <f t="shared" si="19"/>
        <v>4.3441152001030972</v>
      </c>
      <c r="F416" t="str">
        <f t="shared" si="20"/>
        <v>PNG</v>
      </c>
      <c r="G416" t="str">
        <f>+_xlfn.XLOOKUP(F416,Sheet1!C:C,Sheet1!B:B,"N/A",0)</f>
        <v>PG</v>
      </c>
      <c r="H416" t="str">
        <f>+_xlfn.XLOOKUP(F416,Sheet1!C:C,Sheet1!D:D,"N/A",0)</f>
        <v>598</v>
      </c>
    </row>
    <row r="417" spans="1:8" x14ac:dyDescent="0.25">
      <c r="A417" t="s">
        <v>573</v>
      </c>
      <c r="B417" t="s">
        <v>575</v>
      </c>
      <c r="C417" s="5">
        <v>8.4846402668893317E-3</v>
      </c>
      <c r="D417" s="3">
        <f t="shared" si="18"/>
        <v>8.6882716332946757</v>
      </c>
      <c r="E417" s="3">
        <f t="shared" si="19"/>
        <v>4.3441152001030972</v>
      </c>
      <c r="F417" t="str">
        <f t="shared" si="20"/>
        <v>PNG</v>
      </c>
      <c r="G417" t="str">
        <f>+_xlfn.XLOOKUP(F417,Sheet1!C:C,Sheet1!B:B,"N/A",0)</f>
        <v>PG</v>
      </c>
      <c r="H417" t="str">
        <f>+_xlfn.XLOOKUP(F417,Sheet1!C:C,Sheet1!D:D,"N/A",0)</f>
        <v>598</v>
      </c>
    </row>
    <row r="418" spans="1:8" x14ac:dyDescent="0.25">
      <c r="A418" t="s">
        <v>576</v>
      </c>
      <c r="B418" t="s">
        <v>577</v>
      </c>
      <c r="C418" s="5">
        <v>1.3006068413093073E-3</v>
      </c>
      <c r="D418" s="3">
        <f t="shared" si="18"/>
        <v>1.3318214055007307</v>
      </c>
      <c r="E418" s="3">
        <f t="shared" si="19"/>
        <v>0.86886399848709994</v>
      </c>
      <c r="F418" t="str">
        <f t="shared" si="20"/>
        <v>PRY</v>
      </c>
      <c r="G418" t="str">
        <f>+_xlfn.XLOOKUP(F418,Sheet1!C:C,Sheet1!B:B,"N/A",0)</f>
        <v>PY</v>
      </c>
      <c r="H418" t="str">
        <f>+_xlfn.XLOOKUP(F418,Sheet1!C:C,Sheet1!D:D,"N/A",0)</f>
        <v>600</v>
      </c>
    </row>
    <row r="419" spans="1:8" x14ac:dyDescent="0.25">
      <c r="A419" t="s">
        <v>576</v>
      </c>
      <c r="B419" t="s">
        <v>578</v>
      </c>
      <c r="C419" s="5">
        <v>8.4849999852255854E-4</v>
      </c>
      <c r="D419" s="3">
        <f t="shared" si="18"/>
        <v>0.86886399848709994</v>
      </c>
      <c r="E419" s="3">
        <f t="shared" si="19"/>
        <v>0.86886399848709994</v>
      </c>
      <c r="F419" t="str">
        <f t="shared" si="20"/>
        <v>PRY</v>
      </c>
      <c r="G419" t="str">
        <f>+_xlfn.XLOOKUP(F419,Sheet1!C:C,Sheet1!B:B,"N/A",0)</f>
        <v>PY</v>
      </c>
      <c r="H419" t="str">
        <f>+_xlfn.XLOOKUP(F419,Sheet1!C:C,Sheet1!D:D,"N/A",0)</f>
        <v>600</v>
      </c>
    </row>
    <row r="420" spans="1:8" x14ac:dyDescent="0.25">
      <c r="A420" t="s">
        <v>576</v>
      </c>
      <c r="B420" t="s">
        <v>579</v>
      </c>
      <c r="C420" s="5">
        <v>1.8227000004429914E-3</v>
      </c>
      <c r="D420" s="3">
        <f t="shared" si="18"/>
        <v>1.8664448004536232</v>
      </c>
      <c r="E420" s="3">
        <f t="shared" si="19"/>
        <v>0.86886399848709994</v>
      </c>
      <c r="F420" t="str">
        <f t="shared" si="20"/>
        <v>PRY</v>
      </c>
      <c r="G420" t="str">
        <f>+_xlfn.XLOOKUP(F420,Sheet1!C:C,Sheet1!B:B,"N/A",0)</f>
        <v>PY</v>
      </c>
      <c r="H420" t="str">
        <f>+_xlfn.XLOOKUP(F420,Sheet1!C:C,Sheet1!D:D,"N/A",0)</f>
        <v>600</v>
      </c>
    </row>
    <row r="421" spans="1:8" x14ac:dyDescent="0.25">
      <c r="A421" t="s">
        <v>580</v>
      </c>
      <c r="B421" t="s">
        <v>581</v>
      </c>
      <c r="C421" s="5">
        <v>9.5617733941619817E-4</v>
      </c>
      <c r="D421" s="3">
        <f t="shared" si="18"/>
        <v>0.97912559556218692</v>
      </c>
      <c r="E421" s="3">
        <f t="shared" si="19"/>
        <v>0.97912559556218692</v>
      </c>
      <c r="F421" t="str">
        <f t="shared" si="20"/>
        <v>PER</v>
      </c>
      <c r="G421" t="str">
        <f>+_xlfn.XLOOKUP(F421,Sheet1!C:C,Sheet1!B:B,"N/A",0)</f>
        <v>PE</v>
      </c>
      <c r="H421" t="str">
        <f>+_xlfn.XLOOKUP(F421,Sheet1!C:C,Sheet1!D:D,"N/A",0)</f>
        <v>604</v>
      </c>
    </row>
    <row r="422" spans="1:8" x14ac:dyDescent="0.25">
      <c r="A422" t="s">
        <v>580</v>
      </c>
      <c r="B422" t="s">
        <v>582</v>
      </c>
      <c r="C422" s="5">
        <v>2.6346899999999993E-2</v>
      </c>
      <c r="D422" s="3">
        <f t="shared" si="18"/>
        <v>26.979225599999992</v>
      </c>
      <c r="E422" s="3">
        <f t="shared" si="19"/>
        <v>0.97912559556218692</v>
      </c>
      <c r="F422" t="str">
        <f t="shared" si="20"/>
        <v>PER</v>
      </c>
      <c r="G422" t="str">
        <f>+_xlfn.XLOOKUP(F422,Sheet1!C:C,Sheet1!B:B,"N/A",0)</f>
        <v>PE</v>
      </c>
      <c r="H422" t="str">
        <f>+_xlfn.XLOOKUP(F422,Sheet1!C:C,Sheet1!D:D,"N/A",0)</f>
        <v>604</v>
      </c>
    </row>
    <row r="423" spans="1:8" x14ac:dyDescent="0.25">
      <c r="A423" t="s">
        <v>580</v>
      </c>
      <c r="B423" t="s">
        <v>583</v>
      </c>
      <c r="C423" s="5">
        <v>1.6969000000813758E-3</v>
      </c>
      <c r="D423" s="3">
        <f t="shared" si="18"/>
        <v>1.7376256000833288</v>
      </c>
      <c r="E423" s="3">
        <f t="shared" si="19"/>
        <v>0.97912559556218692</v>
      </c>
      <c r="F423" t="str">
        <f t="shared" si="20"/>
        <v>PER</v>
      </c>
      <c r="G423" t="str">
        <f>+_xlfn.XLOOKUP(F423,Sheet1!C:C,Sheet1!B:B,"N/A",0)</f>
        <v>PE</v>
      </c>
      <c r="H423" t="str">
        <f>+_xlfn.XLOOKUP(F423,Sheet1!C:C,Sheet1!D:D,"N/A",0)</f>
        <v>604</v>
      </c>
    </row>
    <row r="424" spans="1:8" x14ac:dyDescent="0.25">
      <c r="A424" t="s">
        <v>580</v>
      </c>
      <c r="B424" t="s">
        <v>584</v>
      </c>
      <c r="C424" s="5">
        <v>1.0372896233022931E-3</v>
      </c>
      <c r="D424" s="3">
        <f t="shared" si="18"/>
        <v>1.0621845742615481</v>
      </c>
      <c r="E424" s="3">
        <f t="shared" si="19"/>
        <v>0.97912559556218692</v>
      </c>
      <c r="F424" t="str">
        <f t="shared" si="20"/>
        <v>PER</v>
      </c>
      <c r="G424" t="str">
        <f>+_xlfn.XLOOKUP(F424,Sheet1!C:C,Sheet1!B:B,"N/A",0)</f>
        <v>PE</v>
      </c>
      <c r="H424" t="str">
        <f>+_xlfn.XLOOKUP(F424,Sheet1!C:C,Sheet1!D:D,"N/A",0)</f>
        <v>604</v>
      </c>
    </row>
    <row r="425" spans="1:8" x14ac:dyDescent="0.25">
      <c r="A425" t="s">
        <v>585</v>
      </c>
      <c r="B425" t="s">
        <v>586</v>
      </c>
      <c r="C425" s="5">
        <v>5.2855062971714705E-4</v>
      </c>
      <c r="D425" s="3">
        <f t="shared" si="18"/>
        <v>0.54123584483035858</v>
      </c>
      <c r="E425" s="3">
        <f t="shared" si="19"/>
        <v>0.54123584483035858</v>
      </c>
      <c r="F425" t="str">
        <f t="shared" si="20"/>
        <v>PHL</v>
      </c>
      <c r="G425" t="str">
        <f>+_xlfn.XLOOKUP(F425,Sheet1!C:C,Sheet1!B:B,"N/A",0)</f>
        <v>PH</v>
      </c>
      <c r="H425" t="str">
        <f>+_xlfn.XLOOKUP(F425,Sheet1!C:C,Sheet1!D:D,"N/A",0)</f>
        <v>608</v>
      </c>
    </row>
    <row r="426" spans="1:8" x14ac:dyDescent="0.25">
      <c r="A426" t="s">
        <v>585</v>
      </c>
      <c r="B426" t="s">
        <v>587</v>
      </c>
      <c r="C426" s="5">
        <v>2.5477668561002735E-3</v>
      </c>
      <c r="D426" s="3">
        <f t="shared" si="18"/>
        <v>2.6089132606466801</v>
      </c>
      <c r="E426" s="3">
        <f t="shared" si="19"/>
        <v>0.54123584483035858</v>
      </c>
      <c r="F426" t="str">
        <f t="shared" si="20"/>
        <v>PHL</v>
      </c>
      <c r="G426" t="str">
        <f>+_xlfn.XLOOKUP(F426,Sheet1!C:C,Sheet1!B:B,"N/A",0)</f>
        <v>PH</v>
      </c>
      <c r="H426" t="str">
        <f>+_xlfn.XLOOKUP(F426,Sheet1!C:C,Sheet1!D:D,"N/A",0)</f>
        <v>608</v>
      </c>
    </row>
    <row r="427" spans="1:8" x14ac:dyDescent="0.25">
      <c r="A427" t="s">
        <v>588</v>
      </c>
      <c r="B427" t="s">
        <v>589</v>
      </c>
      <c r="C427" s="5">
        <v>5.5766089672178241E-4</v>
      </c>
      <c r="D427" s="3">
        <f t="shared" si="18"/>
        <v>0.57104475824310519</v>
      </c>
      <c r="E427" s="3">
        <f t="shared" si="19"/>
        <v>0.57104475824310519</v>
      </c>
      <c r="F427" t="str">
        <f t="shared" si="20"/>
        <v>POL</v>
      </c>
      <c r="G427" t="str">
        <f>+_xlfn.XLOOKUP(F427,Sheet1!C:C,Sheet1!B:B,"N/A",0)</f>
        <v>PL</v>
      </c>
      <c r="H427" t="str">
        <f>+_xlfn.XLOOKUP(F427,Sheet1!C:C,Sheet1!D:D,"N/A",0)</f>
        <v>616</v>
      </c>
    </row>
    <row r="428" spans="1:8" x14ac:dyDescent="0.25">
      <c r="A428" t="s">
        <v>588</v>
      </c>
      <c r="B428" t="s">
        <v>590</v>
      </c>
      <c r="C428" s="5">
        <v>8.6869999998745017E-4</v>
      </c>
      <c r="D428" s="3">
        <f t="shared" si="18"/>
        <v>0.88954879998714897</v>
      </c>
      <c r="E428" s="3">
        <f t="shared" si="19"/>
        <v>0.57104475824310519</v>
      </c>
      <c r="F428" t="str">
        <f t="shared" si="20"/>
        <v>POL</v>
      </c>
      <c r="G428" t="str">
        <f>+_xlfn.XLOOKUP(F428,Sheet1!C:C,Sheet1!B:B,"N/A",0)</f>
        <v>PL</v>
      </c>
      <c r="H428" t="str">
        <f>+_xlfn.XLOOKUP(F428,Sheet1!C:C,Sheet1!D:D,"N/A",0)</f>
        <v>616</v>
      </c>
    </row>
    <row r="429" spans="1:8" x14ac:dyDescent="0.25">
      <c r="A429" t="s">
        <v>588</v>
      </c>
      <c r="B429" t="s">
        <v>591</v>
      </c>
      <c r="C429" s="5">
        <v>5.8130000010302976E-4</v>
      </c>
      <c r="D429" s="3">
        <f t="shared" si="18"/>
        <v>0.59525120010550248</v>
      </c>
      <c r="E429" s="3">
        <f t="shared" si="19"/>
        <v>0.57104475824310519</v>
      </c>
      <c r="F429" t="str">
        <f t="shared" si="20"/>
        <v>POL</v>
      </c>
      <c r="G429" t="str">
        <f>+_xlfn.XLOOKUP(F429,Sheet1!C:C,Sheet1!B:B,"N/A",0)</f>
        <v>PL</v>
      </c>
      <c r="H429" t="str">
        <f>+_xlfn.XLOOKUP(F429,Sheet1!C:C,Sheet1!D:D,"N/A",0)</f>
        <v>616</v>
      </c>
    </row>
    <row r="430" spans="1:8" x14ac:dyDescent="0.25">
      <c r="A430" t="s">
        <v>588</v>
      </c>
      <c r="B430" t="s">
        <v>592</v>
      </c>
      <c r="C430" s="5">
        <v>1.0023000000000002E-3</v>
      </c>
      <c r="D430" s="3">
        <f t="shared" si="18"/>
        <v>1.0263552000000002</v>
      </c>
      <c r="E430" s="3">
        <f t="shared" si="19"/>
        <v>0.57104475824310519</v>
      </c>
      <c r="F430" t="str">
        <f t="shared" si="20"/>
        <v>POL</v>
      </c>
      <c r="G430" t="str">
        <f>+_xlfn.XLOOKUP(F430,Sheet1!C:C,Sheet1!B:B,"N/A",0)</f>
        <v>PL</v>
      </c>
      <c r="H430" t="str">
        <f>+_xlfn.XLOOKUP(F430,Sheet1!C:C,Sheet1!D:D,"N/A",0)</f>
        <v>616</v>
      </c>
    </row>
    <row r="431" spans="1:8" x14ac:dyDescent="0.25">
      <c r="A431" t="s">
        <v>593</v>
      </c>
      <c r="B431" t="s">
        <v>594</v>
      </c>
      <c r="C431" s="5">
        <v>4.8840000000000005E-4</v>
      </c>
      <c r="D431" s="3">
        <f t="shared" si="18"/>
        <v>0.50012160000000005</v>
      </c>
      <c r="E431" s="3">
        <f t="shared" si="19"/>
        <v>0.50012160000000005</v>
      </c>
      <c r="F431" t="str">
        <f t="shared" si="20"/>
        <v>PRT</v>
      </c>
      <c r="G431" t="str">
        <f>+_xlfn.XLOOKUP(F431,Sheet1!C:C,Sheet1!B:B,"N/A",0)</f>
        <v>PT</v>
      </c>
      <c r="H431" t="str">
        <f>+_xlfn.XLOOKUP(F431,Sheet1!C:C,Sheet1!D:D,"N/A",0)</f>
        <v>620</v>
      </c>
    </row>
    <row r="432" spans="1:8" x14ac:dyDescent="0.25">
      <c r="A432" t="s">
        <v>593</v>
      </c>
      <c r="B432" t="s">
        <v>595</v>
      </c>
      <c r="C432" s="5"/>
      <c r="D432" s="3">
        <f t="shared" si="18"/>
        <v>0</v>
      </c>
      <c r="E432" s="3">
        <f t="shared" si="19"/>
        <v>0.50012160000000005</v>
      </c>
      <c r="F432" t="str">
        <f t="shared" si="20"/>
        <v>PRT</v>
      </c>
      <c r="G432" t="str">
        <f>+_xlfn.XLOOKUP(F432,Sheet1!C:C,Sheet1!B:B,"N/A",0)</f>
        <v>PT</v>
      </c>
      <c r="H432" t="str">
        <f>+_xlfn.XLOOKUP(F432,Sheet1!C:C,Sheet1!D:D,"N/A",0)</f>
        <v>620</v>
      </c>
    </row>
    <row r="433" spans="1:8" x14ac:dyDescent="0.25">
      <c r="A433" t="s">
        <v>593</v>
      </c>
      <c r="B433" t="s">
        <v>596</v>
      </c>
      <c r="C433" s="5">
        <v>5.0880000000000001E-4</v>
      </c>
      <c r="D433" s="3">
        <f t="shared" si="18"/>
        <v>0.52101120000000001</v>
      </c>
      <c r="E433" s="3">
        <f t="shared" si="19"/>
        <v>0.50012160000000005</v>
      </c>
      <c r="F433" t="str">
        <f t="shared" si="20"/>
        <v>PRT</v>
      </c>
      <c r="G433" t="str">
        <f>+_xlfn.XLOOKUP(F433,Sheet1!C:C,Sheet1!B:B,"N/A",0)</f>
        <v>PT</v>
      </c>
      <c r="H433" t="str">
        <f>+_xlfn.XLOOKUP(F433,Sheet1!C:C,Sheet1!D:D,"N/A",0)</f>
        <v>620</v>
      </c>
    </row>
    <row r="434" spans="1:8" x14ac:dyDescent="0.25">
      <c r="A434" t="s">
        <v>593</v>
      </c>
      <c r="B434" t="s">
        <v>597</v>
      </c>
      <c r="C434" s="5">
        <v>8.9740000000000013E-4</v>
      </c>
      <c r="D434" s="3">
        <f t="shared" si="18"/>
        <v>0.91893760000000013</v>
      </c>
      <c r="E434" s="3">
        <f t="shared" si="19"/>
        <v>0.50012160000000005</v>
      </c>
      <c r="F434" t="str">
        <f t="shared" si="20"/>
        <v>PRT</v>
      </c>
      <c r="G434" t="str">
        <f>+_xlfn.XLOOKUP(F434,Sheet1!C:C,Sheet1!B:B,"N/A",0)</f>
        <v>PT</v>
      </c>
      <c r="H434" t="str">
        <f>+_xlfn.XLOOKUP(F434,Sheet1!C:C,Sheet1!D:D,"N/A",0)</f>
        <v>620</v>
      </c>
    </row>
    <row r="435" spans="1:8" x14ac:dyDescent="0.25">
      <c r="A435" t="s">
        <v>598</v>
      </c>
      <c r="B435" t="s">
        <v>599</v>
      </c>
      <c r="C435" s="5">
        <v>8.5371067272327177E-4</v>
      </c>
      <c r="D435" s="3">
        <f t="shared" si="18"/>
        <v>0.87419972886863029</v>
      </c>
      <c r="E435" s="3">
        <f t="shared" si="19"/>
        <v>0.87419972886863029</v>
      </c>
      <c r="F435" t="str">
        <f t="shared" si="20"/>
        <v>PRI</v>
      </c>
      <c r="G435" t="str">
        <f>+_xlfn.XLOOKUP(F435,Sheet1!C:C,Sheet1!B:B,"N/A",0)</f>
        <v>PR</v>
      </c>
      <c r="H435" t="str">
        <f>+_xlfn.XLOOKUP(F435,Sheet1!C:C,Sheet1!D:D,"N/A",0)</f>
        <v>630</v>
      </c>
    </row>
    <row r="436" spans="1:8" x14ac:dyDescent="0.25">
      <c r="A436" t="s">
        <v>598</v>
      </c>
      <c r="B436" t="s">
        <v>600</v>
      </c>
      <c r="C436" s="5">
        <v>2.5454000000000002E-3</v>
      </c>
      <c r="D436" s="3">
        <f t="shared" si="18"/>
        <v>2.6064896000000002</v>
      </c>
      <c r="E436" s="3">
        <f t="shared" si="19"/>
        <v>0.87419972886863029</v>
      </c>
      <c r="F436" t="str">
        <f t="shared" si="20"/>
        <v>PRI</v>
      </c>
      <c r="G436" t="str">
        <f>+_xlfn.XLOOKUP(F436,Sheet1!C:C,Sheet1!B:B,"N/A",0)</f>
        <v>PR</v>
      </c>
      <c r="H436" t="str">
        <f>+_xlfn.XLOOKUP(F436,Sheet1!C:C,Sheet1!D:D,"N/A",0)</f>
        <v>630</v>
      </c>
    </row>
    <row r="437" spans="1:8" x14ac:dyDescent="0.25">
      <c r="A437" t="s">
        <v>601</v>
      </c>
      <c r="B437" t="s">
        <v>602</v>
      </c>
      <c r="C437" s="5">
        <v>1.1054000000000001E-3</v>
      </c>
      <c r="D437" s="3">
        <f t="shared" si="18"/>
        <v>1.1319296000000001</v>
      </c>
      <c r="E437" s="3">
        <f t="shared" si="19"/>
        <v>1.1319296000000001</v>
      </c>
      <c r="F437" t="str">
        <f t="shared" si="20"/>
        <v>QAT</v>
      </c>
      <c r="G437" t="str">
        <f>+_xlfn.XLOOKUP(F437,Sheet1!C:C,Sheet1!B:B,"N/A",0)</f>
        <v>QA</v>
      </c>
      <c r="H437" t="str">
        <f>+_xlfn.XLOOKUP(F437,Sheet1!C:C,Sheet1!D:D,"N/A",0)</f>
        <v>634</v>
      </c>
    </row>
    <row r="438" spans="1:8" x14ac:dyDescent="0.25">
      <c r="A438" t="s">
        <v>601</v>
      </c>
      <c r="B438" t="s">
        <v>603</v>
      </c>
      <c r="C438" s="5">
        <v>1.5000000000000002E-3</v>
      </c>
      <c r="D438" s="3">
        <f t="shared" si="18"/>
        <v>1.5360000000000003</v>
      </c>
      <c r="E438" s="3">
        <f t="shared" si="19"/>
        <v>1.1319296000000001</v>
      </c>
      <c r="F438" t="str">
        <f t="shared" si="20"/>
        <v>QAT</v>
      </c>
      <c r="G438" t="str">
        <f>+_xlfn.XLOOKUP(F438,Sheet1!C:C,Sheet1!B:B,"N/A",0)</f>
        <v>QA</v>
      </c>
      <c r="H438" t="str">
        <f>+_xlfn.XLOOKUP(F438,Sheet1!C:C,Sheet1!D:D,"N/A",0)</f>
        <v>634</v>
      </c>
    </row>
    <row r="439" spans="1:8" x14ac:dyDescent="0.25">
      <c r="A439" t="s">
        <v>604</v>
      </c>
      <c r="B439" t="s">
        <v>605</v>
      </c>
      <c r="C439" s="5">
        <v>4.9350236829328253E-4</v>
      </c>
      <c r="D439" s="3">
        <f t="shared" si="18"/>
        <v>0.50534642513232131</v>
      </c>
      <c r="E439" s="3">
        <f t="shared" si="19"/>
        <v>0.50534642513232131</v>
      </c>
      <c r="F439" t="str">
        <f t="shared" si="20"/>
        <v>REU</v>
      </c>
      <c r="G439" t="str">
        <f>+_xlfn.XLOOKUP(F439,Sheet1!C:C,Sheet1!B:B,"N/A",0)</f>
        <v>RE</v>
      </c>
      <c r="H439" t="str">
        <f>+_xlfn.XLOOKUP(F439,Sheet1!C:C,Sheet1!D:D,"N/A",0)</f>
        <v>638</v>
      </c>
    </row>
    <row r="440" spans="1:8" x14ac:dyDescent="0.25">
      <c r="A440" t="s">
        <v>604</v>
      </c>
      <c r="B440" t="s">
        <v>606</v>
      </c>
      <c r="C440" s="5">
        <v>9.4589251050272076E-4</v>
      </c>
      <c r="D440" s="3">
        <f t="shared" si="18"/>
        <v>0.96859393075478606</v>
      </c>
      <c r="E440" s="3">
        <f t="shared" si="19"/>
        <v>0.50534642513232131</v>
      </c>
      <c r="F440" t="str">
        <f t="shared" si="20"/>
        <v>REU</v>
      </c>
      <c r="G440" t="str">
        <f>+_xlfn.XLOOKUP(F440,Sheet1!C:C,Sheet1!B:B,"N/A",0)</f>
        <v>RE</v>
      </c>
      <c r="H440" t="str">
        <f>+_xlfn.XLOOKUP(F440,Sheet1!C:C,Sheet1!D:D,"N/A",0)</f>
        <v>638</v>
      </c>
    </row>
    <row r="441" spans="1:8" x14ac:dyDescent="0.25">
      <c r="A441" t="s">
        <v>604</v>
      </c>
      <c r="B441" t="s">
        <v>607</v>
      </c>
      <c r="C441" s="5">
        <v>5.9999999999999984E-4</v>
      </c>
      <c r="D441" s="3">
        <f t="shared" si="18"/>
        <v>0.61439999999999984</v>
      </c>
      <c r="E441" s="3">
        <f t="shared" si="19"/>
        <v>0.50534642513232131</v>
      </c>
      <c r="F441" t="str">
        <f t="shared" si="20"/>
        <v>REU</v>
      </c>
      <c r="G441" t="str">
        <f>+_xlfn.XLOOKUP(F441,Sheet1!C:C,Sheet1!B:B,"N/A",0)</f>
        <v>RE</v>
      </c>
      <c r="H441" t="str">
        <f>+_xlfn.XLOOKUP(F441,Sheet1!C:C,Sheet1!D:D,"N/A",0)</f>
        <v>638</v>
      </c>
    </row>
    <row r="442" spans="1:8" x14ac:dyDescent="0.25">
      <c r="A442" t="s">
        <v>608</v>
      </c>
      <c r="B442" t="s">
        <v>609</v>
      </c>
      <c r="C442" s="5">
        <v>8.8424026007295623E-4</v>
      </c>
      <c r="D442" s="3">
        <f t="shared" si="18"/>
        <v>0.90546202631470718</v>
      </c>
      <c r="E442" s="3">
        <f t="shared" si="19"/>
        <v>0.49315839999999994</v>
      </c>
      <c r="F442" t="str">
        <f t="shared" si="20"/>
        <v>ROM</v>
      </c>
      <c r="G442" t="str">
        <f>+_xlfn.XLOOKUP(F442,Sheet1!C:C,Sheet1!B:B,"N/A",0)</f>
        <v>N/A</v>
      </c>
      <c r="H442" t="str">
        <f>+_xlfn.XLOOKUP(F442,Sheet1!C:C,Sheet1!D:D,"N/A",0)</f>
        <v>N/A</v>
      </c>
    </row>
    <row r="443" spans="1:8" x14ac:dyDescent="0.25">
      <c r="A443" t="s">
        <v>608</v>
      </c>
      <c r="B443" t="s">
        <v>610</v>
      </c>
      <c r="C443" s="5">
        <v>4.8159999999999994E-4</v>
      </c>
      <c r="D443" s="3">
        <f t="shared" si="18"/>
        <v>0.49315839999999994</v>
      </c>
      <c r="E443" s="3">
        <f t="shared" si="19"/>
        <v>0.49315839999999994</v>
      </c>
      <c r="F443" t="str">
        <f t="shared" si="20"/>
        <v>ROM</v>
      </c>
      <c r="G443" t="str">
        <f>+_xlfn.XLOOKUP(F443,Sheet1!C:C,Sheet1!B:B,"N/A",0)</f>
        <v>N/A</v>
      </c>
      <c r="H443" t="str">
        <f>+_xlfn.XLOOKUP(F443,Sheet1!C:C,Sheet1!D:D,"N/A",0)</f>
        <v>N/A</v>
      </c>
    </row>
    <row r="444" spans="1:8" x14ac:dyDescent="0.25">
      <c r="A444" t="s">
        <v>608</v>
      </c>
      <c r="B444" t="s">
        <v>611</v>
      </c>
      <c r="C444" s="5">
        <v>8.6869999999999992E-4</v>
      </c>
      <c r="D444" s="3">
        <f t="shared" si="18"/>
        <v>0.88954879999999992</v>
      </c>
      <c r="E444" s="3">
        <f t="shared" si="19"/>
        <v>0.49315839999999994</v>
      </c>
      <c r="F444" t="str">
        <f t="shared" si="20"/>
        <v>ROM</v>
      </c>
      <c r="G444" t="str">
        <f>+_xlfn.XLOOKUP(F444,Sheet1!C:C,Sheet1!B:B,"N/A",0)</f>
        <v>N/A</v>
      </c>
      <c r="H444" t="str">
        <f>+_xlfn.XLOOKUP(F444,Sheet1!C:C,Sheet1!D:D,"N/A",0)</f>
        <v>N/A</v>
      </c>
    </row>
    <row r="445" spans="1:8" x14ac:dyDescent="0.25">
      <c r="A445" t="s">
        <v>608</v>
      </c>
      <c r="B445" t="s">
        <v>612</v>
      </c>
      <c r="C445" s="5">
        <v>8.973999999999998E-4</v>
      </c>
      <c r="D445" s="3">
        <f t="shared" si="18"/>
        <v>0.9189375999999998</v>
      </c>
      <c r="E445" s="3">
        <f t="shared" si="19"/>
        <v>0.49315839999999994</v>
      </c>
      <c r="F445" t="str">
        <f t="shared" si="20"/>
        <v>ROM</v>
      </c>
      <c r="G445" t="str">
        <f>+_xlfn.XLOOKUP(F445,Sheet1!C:C,Sheet1!B:B,"N/A",0)</f>
        <v>N/A</v>
      </c>
      <c r="H445" t="str">
        <f>+_xlfn.XLOOKUP(F445,Sheet1!C:C,Sheet1!D:D,"N/A",0)</f>
        <v>N/A</v>
      </c>
    </row>
    <row r="446" spans="1:8" x14ac:dyDescent="0.25">
      <c r="A446" t="s">
        <v>613</v>
      </c>
      <c r="B446" t="s">
        <v>614</v>
      </c>
      <c r="C446" s="5">
        <v>2.5133072020910941E-3</v>
      </c>
      <c r="D446" s="3">
        <f t="shared" si="18"/>
        <v>2.5736265749412803</v>
      </c>
      <c r="E446" s="3">
        <f t="shared" si="19"/>
        <v>1.2909000581971892</v>
      </c>
      <c r="F446" t="str">
        <f t="shared" si="20"/>
        <v>RUS</v>
      </c>
      <c r="G446" t="str">
        <f>+_xlfn.XLOOKUP(F446,Sheet1!C:C,Sheet1!B:B,"N/A",0)</f>
        <v>RU</v>
      </c>
      <c r="H446" t="str">
        <f>+_xlfn.XLOOKUP(F446,Sheet1!C:C,Sheet1!D:D,"N/A",0)</f>
        <v>643</v>
      </c>
    </row>
    <row r="447" spans="1:8" x14ac:dyDescent="0.25">
      <c r="A447" t="s">
        <v>613</v>
      </c>
      <c r="B447" t="s">
        <v>615</v>
      </c>
      <c r="C447" s="5">
        <v>3.6424708328608676E-3</v>
      </c>
      <c r="D447" s="3">
        <f t="shared" si="18"/>
        <v>3.7298901328495284</v>
      </c>
      <c r="E447" s="3">
        <f t="shared" si="19"/>
        <v>1.2909000581971892</v>
      </c>
      <c r="F447" t="str">
        <f t="shared" si="20"/>
        <v>RUS</v>
      </c>
      <c r="G447" t="str">
        <f>+_xlfn.XLOOKUP(F447,Sheet1!C:C,Sheet1!B:B,"N/A",0)</f>
        <v>RU</v>
      </c>
      <c r="H447" t="str">
        <f>+_xlfn.XLOOKUP(F447,Sheet1!C:C,Sheet1!D:D,"N/A",0)</f>
        <v>643</v>
      </c>
    </row>
    <row r="448" spans="1:8" x14ac:dyDescent="0.25">
      <c r="A448" t="s">
        <v>613</v>
      </c>
      <c r="B448" t="s">
        <v>616</v>
      </c>
      <c r="C448" s="5">
        <v>0.25064498023821274</v>
      </c>
      <c r="D448" s="3">
        <f t="shared" si="18"/>
        <v>256.66045976392985</v>
      </c>
      <c r="E448" s="3">
        <f t="shared" si="19"/>
        <v>1.2909000581971892</v>
      </c>
      <c r="F448" t="str">
        <f t="shared" si="20"/>
        <v>RUS</v>
      </c>
      <c r="G448" t="str">
        <f>+_xlfn.XLOOKUP(F448,Sheet1!C:C,Sheet1!B:B,"N/A",0)</f>
        <v>RU</v>
      </c>
      <c r="H448" t="str">
        <f>+_xlfn.XLOOKUP(F448,Sheet1!C:C,Sheet1!D:D,"N/A",0)</f>
        <v>643</v>
      </c>
    </row>
    <row r="449" spans="1:8" x14ac:dyDescent="0.25">
      <c r="A449" t="s">
        <v>613</v>
      </c>
      <c r="B449" t="s">
        <v>617</v>
      </c>
      <c r="C449" s="5">
        <v>9.9998572340038623E-3</v>
      </c>
      <c r="D449" s="3">
        <f t="shared" si="18"/>
        <v>10.239853807619955</v>
      </c>
      <c r="E449" s="3">
        <f t="shared" si="19"/>
        <v>1.2909000581971892</v>
      </c>
      <c r="F449" t="str">
        <f t="shared" si="20"/>
        <v>RUS</v>
      </c>
      <c r="G449" t="str">
        <f>+_xlfn.XLOOKUP(F449,Sheet1!C:C,Sheet1!B:B,"N/A",0)</f>
        <v>RU</v>
      </c>
      <c r="H449" t="str">
        <f>+_xlfn.XLOOKUP(F449,Sheet1!C:C,Sheet1!D:D,"N/A",0)</f>
        <v>643</v>
      </c>
    </row>
    <row r="450" spans="1:8" x14ac:dyDescent="0.25">
      <c r="A450" t="s">
        <v>613</v>
      </c>
      <c r="B450" t="s">
        <v>618</v>
      </c>
      <c r="C450" s="5">
        <v>3.3390487297892233E-3</v>
      </c>
      <c r="D450" s="3">
        <f t="shared" si="18"/>
        <v>3.4191858993041646</v>
      </c>
      <c r="E450" s="3">
        <f t="shared" si="19"/>
        <v>1.2909000581971892</v>
      </c>
      <c r="F450" t="str">
        <f t="shared" si="20"/>
        <v>RUS</v>
      </c>
      <c r="G450" t="str">
        <f>+_xlfn.XLOOKUP(F450,Sheet1!C:C,Sheet1!B:B,"N/A",0)</f>
        <v>RU</v>
      </c>
      <c r="H450" t="str">
        <f>+_xlfn.XLOOKUP(F450,Sheet1!C:C,Sheet1!D:D,"N/A",0)</f>
        <v>643</v>
      </c>
    </row>
    <row r="451" spans="1:8" x14ac:dyDescent="0.25">
      <c r="A451" t="s">
        <v>613</v>
      </c>
      <c r="B451" t="s">
        <v>619</v>
      </c>
      <c r="C451" s="5">
        <v>1.2606445880831926E-3</v>
      </c>
      <c r="D451" s="3">
        <f t="shared" ref="D451:D514" si="21">C451*1024</f>
        <v>1.2909000581971892</v>
      </c>
      <c r="E451" s="3">
        <f t="shared" ref="E451:E514" si="22">_xlfn.MINIFS(D:D,A:A,A451,D:D,"&lt;&gt;0")</f>
        <v>1.2909000581971892</v>
      </c>
      <c r="F451" t="str">
        <f t="shared" ref="F451:F514" si="23">_xlfn.TEXTBEFORE(_xlfn.TEXTAFTER(B451,"("),")")</f>
        <v>RUS</v>
      </c>
      <c r="G451" t="str">
        <f>+_xlfn.XLOOKUP(F451,Sheet1!C:C,Sheet1!B:B,"N/A",0)</f>
        <v>RU</v>
      </c>
      <c r="H451" t="str">
        <f>+_xlfn.XLOOKUP(F451,Sheet1!C:C,Sheet1!D:D,"N/A",0)</f>
        <v>643</v>
      </c>
    </row>
    <row r="452" spans="1:8" x14ac:dyDescent="0.25">
      <c r="A452" t="s">
        <v>620</v>
      </c>
      <c r="B452" t="s">
        <v>621</v>
      </c>
      <c r="C452" s="5">
        <v>1.9515000002120141E-3</v>
      </c>
      <c r="D452" s="3">
        <f t="shared" si="21"/>
        <v>1.9983360002171024</v>
      </c>
      <c r="E452" s="3">
        <f t="shared" si="22"/>
        <v>1.8684486527243083</v>
      </c>
      <c r="F452" t="str">
        <f t="shared" si="23"/>
        <v>RWA</v>
      </c>
      <c r="G452" t="str">
        <f>+_xlfn.XLOOKUP(F452,Sheet1!C:C,Sheet1!B:B,"N/A",0)</f>
        <v>RW</v>
      </c>
      <c r="H452" t="str">
        <f>+_xlfn.XLOOKUP(F452,Sheet1!C:C,Sheet1!D:D,"N/A",0)</f>
        <v>646</v>
      </c>
    </row>
    <row r="453" spans="1:8" x14ac:dyDescent="0.25">
      <c r="A453" t="s">
        <v>620</v>
      </c>
      <c r="B453" t="s">
        <v>622</v>
      </c>
      <c r="C453" s="5">
        <v>1.8246568874260823E-3</v>
      </c>
      <c r="D453" s="3">
        <f t="shared" si="21"/>
        <v>1.8684486527243083</v>
      </c>
      <c r="E453" s="3">
        <f t="shared" si="22"/>
        <v>1.8684486527243083</v>
      </c>
      <c r="F453" t="str">
        <f t="shared" si="23"/>
        <v>RWA</v>
      </c>
      <c r="G453" t="str">
        <f>+_xlfn.XLOOKUP(F453,Sheet1!C:C,Sheet1!B:B,"N/A",0)</f>
        <v>RW</v>
      </c>
      <c r="H453" t="str">
        <f>+_xlfn.XLOOKUP(F453,Sheet1!C:C,Sheet1!D:D,"N/A",0)</f>
        <v>646</v>
      </c>
    </row>
    <row r="454" spans="1:8" x14ac:dyDescent="0.25">
      <c r="A454" t="s">
        <v>623</v>
      </c>
      <c r="B454" t="s">
        <v>624</v>
      </c>
      <c r="C454" s="5">
        <v>2.5453999976259522E-3</v>
      </c>
      <c r="D454" s="3">
        <f t="shared" si="21"/>
        <v>2.606489597568975</v>
      </c>
      <c r="E454" s="3">
        <f t="shared" si="22"/>
        <v>2.606489597568975</v>
      </c>
      <c r="F454" t="str">
        <f t="shared" si="23"/>
        <v>KNA</v>
      </c>
      <c r="G454" t="str">
        <f>+_xlfn.XLOOKUP(F454,Sheet1!C:C,Sheet1!B:B,"N/A",0)</f>
        <v>KN</v>
      </c>
      <c r="H454" t="str">
        <f>+_xlfn.XLOOKUP(F454,Sheet1!C:C,Sheet1!D:D,"N/A",0)</f>
        <v>659</v>
      </c>
    </row>
    <row r="455" spans="1:8" x14ac:dyDescent="0.25">
      <c r="A455" t="s">
        <v>625</v>
      </c>
      <c r="B455" t="s">
        <v>626</v>
      </c>
      <c r="C455" s="5">
        <v>2.5453999985056426E-3</v>
      </c>
      <c r="D455" s="3">
        <f t="shared" si="21"/>
        <v>2.606489598469778</v>
      </c>
      <c r="E455" s="3">
        <f t="shared" si="22"/>
        <v>2.606489598469778</v>
      </c>
      <c r="F455" t="str">
        <f t="shared" si="23"/>
        <v>LCA</v>
      </c>
      <c r="G455" t="str">
        <f>+_xlfn.XLOOKUP(F455,Sheet1!C:C,Sheet1!B:B,"N/A",0)</f>
        <v>LC</v>
      </c>
      <c r="H455" t="str">
        <f>+_xlfn.XLOOKUP(F455,Sheet1!C:C,Sheet1!D:D,"N/A",0)</f>
        <v>662</v>
      </c>
    </row>
    <row r="456" spans="1:8" x14ac:dyDescent="0.25">
      <c r="A456" t="s">
        <v>627</v>
      </c>
      <c r="B456" t="s">
        <v>628</v>
      </c>
      <c r="C456" s="5">
        <v>2.545399998372745E-3</v>
      </c>
      <c r="D456" s="3">
        <f t="shared" si="21"/>
        <v>2.6064895983336909</v>
      </c>
      <c r="E456" s="3">
        <f t="shared" si="22"/>
        <v>2.6064895983336909</v>
      </c>
      <c r="F456" t="str">
        <f t="shared" si="23"/>
        <v>VCT</v>
      </c>
      <c r="G456" t="str">
        <f>+_xlfn.XLOOKUP(F456,Sheet1!C:C,Sheet1!B:B,"N/A",0)</f>
        <v>VC</v>
      </c>
      <c r="H456" t="str">
        <f>+_xlfn.XLOOKUP(F456,Sheet1!C:C,Sheet1!D:D,"N/A",0)</f>
        <v>670</v>
      </c>
    </row>
    <row r="457" spans="1:8" x14ac:dyDescent="0.25">
      <c r="A457" t="s">
        <v>629</v>
      </c>
      <c r="B457" t="s">
        <v>630</v>
      </c>
      <c r="C457" s="5">
        <v>8.7342560880078857</v>
      </c>
      <c r="D457" s="3">
        <f t="shared" si="21"/>
        <v>8943.8782341200749</v>
      </c>
      <c r="E457" s="3">
        <f t="shared" si="22"/>
        <v>3.4753535967761278</v>
      </c>
      <c r="F457" t="str">
        <f t="shared" si="23"/>
        <v>WSM</v>
      </c>
      <c r="G457" t="str">
        <f>+_xlfn.XLOOKUP(F457,Sheet1!C:C,Sheet1!B:B,"N/A",0)</f>
        <v>WS</v>
      </c>
      <c r="H457" t="str">
        <f>+_xlfn.XLOOKUP(F457,Sheet1!C:C,Sheet1!D:D,"N/A",0)</f>
        <v>882</v>
      </c>
    </row>
    <row r="458" spans="1:8" x14ac:dyDescent="0.25">
      <c r="A458" t="s">
        <v>629</v>
      </c>
      <c r="B458" t="s">
        <v>631</v>
      </c>
      <c r="C458" s="5">
        <v>3.3938999968516873E-3</v>
      </c>
      <c r="D458" s="3">
        <f t="shared" si="21"/>
        <v>3.4753535967761278</v>
      </c>
      <c r="E458" s="3">
        <f t="shared" si="22"/>
        <v>3.4753535967761278</v>
      </c>
      <c r="F458" t="str">
        <f t="shared" si="23"/>
        <v>WSM</v>
      </c>
      <c r="G458" t="str">
        <f>+_xlfn.XLOOKUP(F458,Sheet1!C:C,Sheet1!B:B,"N/A",0)</f>
        <v>WS</v>
      </c>
      <c r="H458" t="str">
        <f>+_xlfn.XLOOKUP(F458,Sheet1!C:C,Sheet1!D:D,"N/A",0)</f>
        <v>882</v>
      </c>
    </row>
    <row r="459" spans="1:8" x14ac:dyDescent="0.25">
      <c r="A459" t="s">
        <v>632</v>
      </c>
      <c r="B459" t="s">
        <v>633</v>
      </c>
      <c r="C459" s="5">
        <v>49.730735267568775</v>
      </c>
      <c r="D459" s="3">
        <f t="shared" si="21"/>
        <v>50924.272913990426</v>
      </c>
      <c r="E459" s="3">
        <f t="shared" si="22"/>
        <v>11.689961900187278</v>
      </c>
      <c r="F459" t="str">
        <f t="shared" si="23"/>
        <v>STP</v>
      </c>
      <c r="G459" t="str">
        <f>+_xlfn.XLOOKUP(F459,Sheet1!C:C,Sheet1!B:B,"N/A",0)</f>
        <v>ST</v>
      </c>
      <c r="H459" t="str">
        <f>+_xlfn.XLOOKUP(F459,Sheet1!C:C,Sheet1!D:D,"N/A",0)</f>
        <v>678</v>
      </c>
    </row>
    <row r="460" spans="1:8" x14ac:dyDescent="0.25">
      <c r="A460" t="s">
        <v>632</v>
      </c>
      <c r="B460" t="s">
        <v>634</v>
      </c>
      <c r="C460" s="5">
        <v>1.1415978418151639E-2</v>
      </c>
      <c r="D460" s="3">
        <f t="shared" si="21"/>
        <v>11.689961900187278</v>
      </c>
      <c r="E460" s="3">
        <f t="shared" si="22"/>
        <v>11.689961900187278</v>
      </c>
      <c r="F460" t="str">
        <f t="shared" si="23"/>
        <v>STP</v>
      </c>
      <c r="G460" t="str">
        <f>+_xlfn.XLOOKUP(F460,Sheet1!C:C,Sheet1!B:B,"N/A",0)</f>
        <v>ST</v>
      </c>
      <c r="H460" t="str">
        <f>+_xlfn.XLOOKUP(F460,Sheet1!C:C,Sheet1!D:D,"N/A",0)</f>
        <v>678</v>
      </c>
    </row>
    <row r="461" spans="1:8" x14ac:dyDescent="0.25">
      <c r="A461" t="s">
        <v>635</v>
      </c>
      <c r="B461" t="s">
        <v>636</v>
      </c>
      <c r="C461" s="5">
        <v>4.7296438294520231E-3</v>
      </c>
      <c r="D461" s="3">
        <f t="shared" si="21"/>
        <v>4.8431552813588716</v>
      </c>
      <c r="E461" s="3">
        <f t="shared" si="22"/>
        <v>1.7421418513927112</v>
      </c>
      <c r="F461" t="str">
        <f t="shared" si="23"/>
        <v>SAU</v>
      </c>
      <c r="G461" t="str">
        <f>+_xlfn.XLOOKUP(F461,Sheet1!C:C,Sheet1!B:B,"N/A",0)</f>
        <v>SA</v>
      </c>
      <c r="H461" t="str">
        <f>+_xlfn.XLOOKUP(F461,Sheet1!C:C,Sheet1!D:D,"N/A",0)</f>
        <v>682</v>
      </c>
    </row>
    <row r="462" spans="1:8" x14ac:dyDescent="0.25">
      <c r="A462" t="s">
        <v>635</v>
      </c>
      <c r="B462" t="s">
        <v>637</v>
      </c>
      <c r="C462" s="5">
        <v>1.442590424063995E-2</v>
      </c>
      <c r="D462" s="3">
        <f t="shared" si="21"/>
        <v>14.772125942415309</v>
      </c>
      <c r="E462" s="3">
        <f t="shared" si="22"/>
        <v>1.7421418513927112</v>
      </c>
      <c r="F462" t="str">
        <f t="shared" si="23"/>
        <v>SAU</v>
      </c>
      <c r="G462" t="str">
        <f>+_xlfn.XLOOKUP(F462,Sheet1!C:C,Sheet1!B:B,"N/A",0)</f>
        <v>SA</v>
      </c>
      <c r="H462" t="str">
        <f>+_xlfn.XLOOKUP(F462,Sheet1!C:C,Sheet1!D:D,"N/A",0)</f>
        <v>682</v>
      </c>
    </row>
    <row r="463" spans="1:8" x14ac:dyDescent="0.25">
      <c r="A463" t="s">
        <v>635</v>
      </c>
      <c r="B463" t="s">
        <v>638</v>
      </c>
      <c r="C463" s="5">
        <v>1.7013104017506945E-3</v>
      </c>
      <c r="D463" s="3">
        <f t="shared" si="21"/>
        <v>1.7421418513927112</v>
      </c>
      <c r="E463" s="3">
        <f t="shared" si="22"/>
        <v>1.7421418513927112</v>
      </c>
      <c r="F463" t="str">
        <f t="shared" si="23"/>
        <v>SAU</v>
      </c>
      <c r="G463" t="str">
        <f>+_xlfn.XLOOKUP(F463,Sheet1!C:C,Sheet1!B:B,"N/A",0)</f>
        <v>SA</v>
      </c>
      <c r="H463" t="str">
        <f>+_xlfn.XLOOKUP(F463,Sheet1!C:C,Sheet1!D:D,"N/A",0)</f>
        <v>682</v>
      </c>
    </row>
    <row r="464" spans="1:8" x14ac:dyDescent="0.25">
      <c r="A464" t="s">
        <v>639</v>
      </c>
      <c r="B464" t="s">
        <v>640</v>
      </c>
      <c r="C464" s="5">
        <v>0.30000000029471935</v>
      </c>
      <c r="D464" s="3">
        <f t="shared" si="21"/>
        <v>307.20000030179261</v>
      </c>
      <c r="E464" s="3">
        <f t="shared" si="22"/>
        <v>1.9686400000964543</v>
      </c>
      <c r="F464" t="str">
        <f t="shared" si="23"/>
        <v>SEN</v>
      </c>
      <c r="G464" t="str">
        <f>+_xlfn.XLOOKUP(F464,Sheet1!C:C,Sheet1!B:B,"N/A",0)</f>
        <v>SN</v>
      </c>
      <c r="H464" t="str">
        <f>+_xlfn.XLOOKUP(F464,Sheet1!C:C,Sheet1!D:D,"N/A",0)</f>
        <v>686</v>
      </c>
    </row>
    <row r="465" spans="1:8" x14ac:dyDescent="0.25">
      <c r="A465" t="s">
        <v>639</v>
      </c>
      <c r="B465" t="s">
        <v>641</v>
      </c>
      <c r="C465" s="5">
        <v>1.9225000000941937E-3</v>
      </c>
      <c r="D465" s="3">
        <f t="shared" si="21"/>
        <v>1.9686400000964543</v>
      </c>
      <c r="E465" s="3">
        <f t="shared" si="22"/>
        <v>1.9686400000964543</v>
      </c>
      <c r="F465" t="str">
        <f t="shared" si="23"/>
        <v>SEN</v>
      </c>
      <c r="G465" t="str">
        <f>+_xlfn.XLOOKUP(F465,Sheet1!C:C,Sheet1!B:B,"N/A",0)</f>
        <v>SN</v>
      </c>
      <c r="H465" t="str">
        <f>+_xlfn.XLOOKUP(F465,Sheet1!C:C,Sheet1!D:D,"N/A",0)</f>
        <v>686</v>
      </c>
    </row>
    <row r="466" spans="1:8" x14ac:dyDescent="0.25">
      <c r="A466" t="s">
        <v>639</v>
      </c>
      <c r="B466" t="s">
        <v>642</v>
      </c>
      <c r="C466" s="5">
        <v>4.9977396286238537E-3</v>
      </c>
      <c r="D466" s="3">
        <f t="shared" si="21"/>
        <v>5.1176853797108262</v>
      </c>
      <c r="E466" s="3">
        <f t="shared" si="22"/>
        <v>1.9686400000964543</v>
      </c>
      <c r="F466" t="str">
        <f t="shared" si="23"/>
        <v>SEN</v>
      </c>
      <c r="G466" t="str">
        <f>+_xlfn.XLOOKUP(F466,Sheet1!C:C,Sheet1!B:B,"N/A",0)</f>
        <v>SN</v>
      </c>
      <c r="H466" t="str">
        <f>+_xlfn.XLOOKUP(F466,Sheet1!C:C,Sheet1!D:D,"N/A",0)</f>
        <v>686</v>
      </c>
    </row>
    <row r="467" spans="1:8" x14ac:dyDescent="0.25">
      <c r="A467" t="s">
        <v>643</v>
      </c>
      <c r="B467" t="s">
        <v>644</v>
      </c>
      <c r="C467" s="5">
        <v>1.5000000001736857E-3</v>
      </c>
      <c r="D467" s="3">
        <f t="shared" si="21"/>
        <v>1.5360000001778542</v>
      </c>
      <c r="E467" s="3">
        <f t="shared" si="22"/>
        <v>0.64286719999999997</v>
      </c>
      <c r="F467" t="str">
        <f t="shared" si="23"/>
        <v>SRB</v>
      </c>
      <c r="G467" t="str">
        <f>+_xlfn.XLOOKUP(F467,Sheet1!C:C,Sheet1!B:B,"N/A",0)</f>
        <v>RS</v>
      </c>
      <c r="H467" t="str">
        <f>+_xlfn.XLOOKUP(F467,Sheet1!C:C,Sheet1!D:D,"N/A",0)</f>
        <v>688</v>
      </c>
    </row>
    <row r="468" spans="1:8" x14ac:dyDescent="0.25">
      <c r="A468" t="s">
        <v>643</v>
      </c>
      <c r="B468" t="s">
        <v>645</v>
      </c>
      <c r="C468" s="5">
        <v>9.278003110040798E-4</v>
      </c>
      <c r="D468" s="3">
        <f t="shared" si="21"/>
        <v>0.95006751846817772</v>
      </c>
      <c r="E468" s="3">
        <f t="shared" si="22"/>
        <v>0.64286719999999997</v>
      </c>
      <c r="F468" t="str">
        <f t="shared" si="23"/>
        <v>SRB</v>
      </c>
      <c r="G468" t="str">
        <f>+_xlfn.XLOOKUP(F468,Sheet1!C:C,Sheet1!B:B,"N/A",0)</f>
        <v>RS</v>
      </c>
      <c r="H468" t="str">
        <f>+_xlfn.XLOOKUP(F468,Sheet1!C:C,Sheet1!D:D,"N/A",0)</f>
        <v>688</v>
      </c>
    </row>
    <row r="469" spans="1:8" x14ac:dyDescent="0.25">
      <c r="A469" t="s">
        <v>643</v>
      </c>
      <c r="B469" t="s">
        <v>646</v>
      </c>
      <c r="C469" s="5">
        <v>6.2779999999999997E-4</v>
      </c>
      <c r="D469" s="3">
        <f t="shared" si="21"/>
        <v>0.64286719999999997</v>
      </c>
      <c r="E469" s="3">
        <f t="shared" si="22"/>
        <v>0.64286719999999997</v>
      </c>
      <c r="F469" t="str">
        <f t="shared" si="23"/>
        <v>SRB</v>
      </c>
      <c r="G469" t="str">
        <f>+_xlfn.XLOOKUP(F469,Sheet1!C:C,Sheet1!B:B,"N/A",0)</f>
        <v>RS</v>
      </c>
      <c r="H469" t="str">
        <f>+_xlfn.XLOOKUP(F469,Sheet1!C:C,Sheet1!D:D,"N/A",0)</f>
        <v>688</v>
      </c>
    </row>
    <row r="470" spans="1:8" x14ac:dyDescent="0.25">
      <c r="A470" t="s">
        <v>647</v>
      </c>
      <c r="B470" t="s">
        <v>648</v>
      </c>
      <c r="C470" s="5">
        <v>5.9392002218858582E-3</v>
      </c>
      <c r="D470" s="3">
        <f t="shared" si="21"/>
        <v>6.0817410272111188</v>
      </c>
      <c r="E470" s="3">
        <f t="shared" si="22"/>
        <v>2.9550592002510427</v>
      </c>
      <c r="F470" t="str">
        <f t="shared" si="23"/>
        <v>SYC</v>
      </c>
      <c r="G470" t="str">
        <f>+_xlfn.XLOOKUP(F470,Sheet1!C:C,Sheet1!B:B,"N/A",0)</f>
        <v>SC</v>
      </c>
      <c r="H470" t="str">
        <f>+_xlfn.XLOOKUP(F470,Sheet1!C:C,Sheet1!D:D,"N/A",0)</f>
        <v>690</v>
      </c>
    </row>
    <row r="471" spans="1:8" x14ac:dyDescent="0.25">
      <c r="A471" t="s">
        <v>647</v>
      </c>
      <c r="B471" t="s">
        <v>649</v>
      </c>
      <c r="C471" s="5">
        <v>2.8858000002451589E-3</v>
      </c>
      <c r="D471" s="3">
        <f t="shared" si="21"/>
        <v>2.9550592002510427</v>
      </c>
      <c r="E471" s="3">
        <f t="shared" si="22"/>
        <v>2.9550592002510427</v>
      </c>
      <c r="F471" t="str">
        <f t="shared" si="23"/>
        <v>SYC</v>
      </c>
      <c r="G471" t="str">
        <f>+_xlfn.XLOOKUP(F471,Sheet1!C:C,Sheet1!B:B,"N/A",0)</f>
        <v>SC</v>
      </c>
      <c r="H471" t="str">
        <f>+_xlfn.XLOOKUP(F471,Sheet1!C:C,Sheet1!D:D,"N/A",0)</f>
        <v>690</v>
      </c>
    </row>
    <row r="472" spans="1:8" x14ac:dyDescent="0.25">
      <c r="A472" t="s">
        <v>650</v>
      </c>
      <c r="B472" t="s">
        <v>651</v>
      </c>
      <c r="C472" s="5">
        <v>1.6968999954167566E-3</v>
      </c>
      <c r="D472" s="3">
        <f t="shared" si="21"/>
        <v>1.7376255953067588</v>
      </c>
      <c r="E472" s="3">
        <f t="shared" si="22"/>
        <v>1.7376255953067588</v>
      </c>
      <c r="F472" t="str">
        <f t="shared" si="23"/>
        <v>SLE</v>
      </c>
      <c r="G472" t="str">
        <f>+_xlfn.XLOOKUP(F472,Sheet1!C:C,Sheet1!B:B,"N/A",0)</f>
        <v>SL</v>
      </c>
      <c r="H472" t="str">
        <f>+_xlfn.XLOOKUP(F472,Sheet1!C:C,Sheet1!D:D,"N/A",0)</f>
        <v>694</v>
      </c>
    </row>
    <row r="473" spans="1:8" x14ac:dyDescent="0.25">
      <c r="A473" t="s">
        <v>650</v>
      </c>
      <c r="B473" t="s">
        <v>652</v>
      </c>
      <c r="C473" s="5">
        <v>1.922500000593623E-3</v>
      </c>
      <c r="D473" s="3">
        <f t="shared" si="21"/>
        <v>1.9686400006078699</v>
      </c>
      <c r="E473" s="3">
        <f t="shared" si="22"/>
        <v>1.7376255953067588</v>
      </c>
      <c r="F473" t="str">
        <f t="shared" si="23"/>
        <v>SLE</v>
      </c>
      <c r="G473" t="str">
        <f>+_xlfn.XLOOKUP(F473,Sheet1!C:C,Sheet1!B:B,"N/A",0)</f>
        <v>SL</v>
      </c>
      <c r="H473" t="str">
        <f>+_xlfn.XLOOKUP(F473,Sheet1!C:C,Sheet1!D:D,"N/A",0)</f>
        <v>694</v>
      </c>
    </row>
    <row r="474" spans="1:8" x14ac:dyDescent="0.25">
      <c r="A474" t="s">
        <v>653</v>
      </c>
      <c r="B474" t="s">
        <v>654</v>
      </c>
      <c r="C474" s="5">
        <v>2.0009410114426502E-3</v>
      </c>
      <c r="D474" s="3">
        <f t="shared" si="21"/>
        <v>2.0489635957172738</v>
      </c>
      <c r="E474" s="3">
        <f t="shared" si="22"/>
        <v>0.40488959998555374</v>
      </c>
      <c r="F474" t="str">
        <f t="shared" si="23"/>
        <v>SGP</v>
      </c>
      <c r="G474" t="str">
        <f>+_xlfn.XLOOKUP(F474,Sheet1!C:C,Sheet1!B:B,"N/A",0)</f>
        <v>SG</v>
      </c>
      <c r="H474" t="str">
        <f>+_xlfn.XLOOKUP(F474,Sheet1!C:C,Sheet1!D:D,"N/A",0)</f>
        <v>702</v>
      </c>
    </row>
    <row r="475" spans="1:8" x14ac:dyDescent="0.25">
      <c r="A475" t="s">
        <v>653</v>
      </c>
      <c r="B475" t="s">
        <v>655</v>
      </c>
      <c r="C475" s="5">
        <v>1.5E-3</v>
      </c>
      <c r="D475" s="3">
        <f t="shared" si="21"/>
        <v>1.536</v>
      </c>
      <c r="E475" s="3">
        <f t="shared" si="22"/>
        <v>0.40488959998555374</v>
      </c>
      <c r="F475" t="str">
        <f t="shared" si="23"/>
        <v>SGP</v>
      </c>
      <c r="G475" t="str">
        <f>+_xlfn.XLOOKUP(F475,Sheet1!C:C,Sheet1!B:B,"N/A",0)</f>
        <v>SG</v>
      </c>
      <c r="H475" t="str">
        <f>+_xlfn.XLOOKUP(F475,Sheet1!C:C,Sheet1!D:D,"N/A",0)</f>
        <v>702</v>
      </c>
    </row>
    <row r="476" spans="1:8" x14ac:dyDescent="0.25">
      <c r="A476" t="s">
        <v>653</v>
      </c>
      <c r="B476" t="s">
        <v>656</v>
      </c>
      <c r="C476" s="5">
        <v>5.5564013904231373E-4</v>
      </c>
      <c r="D476" s="3">
        <f t="shared" si="21"/>
        <v>0.56897550237932926</v>
      </c>
      <c r="E476" s="3">
        <f t="shared" si="22"/>
        <v>0.40488959998555374</v>
      </c>
      <c r="F476" t="str">
        <f t="shared" si="23"/>
        <v>SGP</v>
      </c>
      <c r="G476" t="str">
        <f>+_xlfn.XLOOKUP(F476,Sheet1!C:C,Sheet1!B:B,"N/A",0)</f>
        <v>SG</v>
      </c>
      <c r="H476" t="str">
        <f>+_xlfn.XLOOKUP(F476,Sheet1!C:C,Sheet1!D:D,"N/A",0)</f>
        <v>702</v>
      </c>
    </row>
    <row r="477" spans="1:8" x14ac:dyDescent="0.25">
      <c r="A477" t="s">
        <v>653</v>
      </c>
      <c r="B477" t="s">
        <v>657</v>
      </c>
      <c r="C477" s="5">
        <v>3.9539999998589232E-4</v>
      </c>
      <c r="D477" s="3">
        <f t="shared" si="21"/>
        <v>0.40488959998555374</v>
      </c>
      <c r="E477" s="3">
        <f t="shared" si="22"/>
        <v>0.40488959998555374</v>
      </c>
      <c r="F477" t="str">
        <f t="shared" si="23"/>
        <v>SGP</v>
      </c>
      <c r="G477" t="str">
        <f>+_xlfn.XLOOKUP(F477,Sheet1!C:C,Sheet1!B:B,"N/A",0)</f>
        <v>SG</v>
      </c>
      <c r="H477" t="str">
        <f>+_xlfn.XLOOKUP(F477,Sheet1!C:C,Sheet1!D:D,"N/A",0)</f>
        <v>702</v>
      </c>
    </row>
    <row r="478" spans="1:8" x14ac:dyDescent="0.25">
      <c r="A478" t="s">
        <v>658</v>
      </c>
      <c r="B478" t="s">
        <v>659</v>
      </c>
      <c r="C478" s="5">
        <v>4.7690000000000005E-4</v>
      </c>
      <c r="D478" s="3">
        <f t="shared" si="21"/>
        <v>0.48834560000000005</v>
      </c>
      <c r="E478" s="3">
        <f t="shared" si="22"/>
        <v>0.48834560000000005</v>
      </c>
      <c r="F478" t="str">
        <f t="shared" si="23"/>
        <v>SVK</v>
      </c>
      <c r="G478" t="str">
        <f>+_xlfn.XLOOKUP(F478,Sheet1!C:C,Sheet1!B:B,"N/A",0)</f>
        <v>SK</v>
      </c>
      <c r="H478" t="str">
        <f>+_xlfn.XLOOKUP(F478,Sheet1!C:C,Sheet1!D:D,"N/A",0)</f>
        <v>703</v>
      </c>
    </row>
    <row r="479" spans="1:8" x14ac:dyDescent="0.25">
      <c r="A479" t="s">
        <v>658</v>
      </c>
      <c r="B479" t="s">
        <v>660</v>
      </c>
      <c r="C479" s="5">
        <v>6.2496030444315887E-4</v>
      </c>
      <c r="D479" s="3">
        <f t="shared" si="21"/>
        <v>0.63995935174979468</v>
      </c>
      <c r="E479" s="3">
        <f t="shared" si="22"/>
        <v>0.48834560000000005</v>
      </c>
      <c r="F479" t="str">
        <f t="shared" si="23"/>
        <v>SVK</v>
      </c>
      <c r="G479" t="str">
        <f>+_xlfn.XLOOKUP(F479,Sheet1!C:C,Sheet1!B:B,"N/A",0)</f>
        <v>SK</v>
      </c>
      <c r="H479" t="str">
        <f>+_xlfn.XLOOKUP(F479,Sheet1!C:C,Sheet1!D:D,"N/A",0)</f>
        <v>703</v>
      </c>
    </row>
    <row r="480" spans="1:8" x14ac:dyDescent="0.25">
      <c r="A480" t="s">
        <v>658</v>
      </c>
      <c r="B480" t="s">
        <v>661</v>
      </c>
      <c r="C480" s="5">
        <v>8.6869999999999992E-4</v>
      </c>
      <c r="D480" s="3">
        <f t="shared" si="21"/>
        <v>0.88954879999999992</v>
      </c>
      <c r="E480" s="3">
        <f t="shared" si="22"/>
        <v>0.48834560000000005</v>
      </c>
      <c r="F480" t="str">
        <f t="shared" si="23"/>
        <v>SVK</v>
      </c>
      <c r="G480" t="str">
        <f>+_xlfn.XLOOKUP(F480,Sheet1!C:C,Sheet1!B:B,"N/A",0)</f>
        <v>SK</v>
      </c>
      <c r="H480" t="str">
        <f>+_xlfn.XLOOKUP(F480,Sheet1!C:C,Sheet1!D:D,"N/A",0)</f>
        <v>703</v>
      </c>
    </row>
    <row r="481" spans="1:8" x14ac:dyDescent="0.25">
      <c r="A481" t="s">
        <v>662</v>
      </c>
      <c r="B481" t="s">
        <v>663</v>
      </c>
      <c r="C481" s="5">
        <v>1.5E-3</v>
      </c>
      <c r="D481" s="3">
        <f t="shared" si="21"/>
        <v>1.536</v>
      </c>
      <c r="E481" s="3">
        <f t="shared" si="22"/>
        <v>0.54284994511738671</v>
      </c>
      <c r="F481" t="str">
        <f t="shared" si="23"/>
        <v>SVN</v>
      </c>
      <c r="G481" t="str">
        <f>+_xlfn.XLOOKUP(F481,Sheet1!C:C,Sheet1!B:B,"N/A",0)</f>
        <v>SI</v>
      </c>
      <c r="H481" t="str">
        <f>+_xlfn.XLOOKUP(F481,Sheet1!C:C,Sheet1!D:D,"N/A",0)</f>
        <v>705</v>
      </c>
    </row>
    <row r="482" spans="1:8" x14ac:dyDescent="0.25">
      <c r="A482" t="s">
        <v>662</v>
      </c>
      <c r="B482" t="s">
        <v>664</v>
      </c>
      <c r="C482" s="5">
        <v>5.3012689952869796E-4</v>
      </c>
      <c r="D482" s="3">
        <f t="shared" si="21"/>
        <v>0.54284994511738671</v>
      </c>
      <c r="E482" s="3">
        <f t="shared" si="22"/>
        <v>0.54284994511738671</v>
      </c>
      <c r="F482" t="str">
        <f t="shared" si="23"/>
        <v>SVN</v>
      </c>
      <c r="G482" t="str">
        <f>+_xlfn.XLOOKUP(F482,Sheet1!C:C,Sheet1!B:B,"N/A",0)</f>
        <v>SI</v>
      </c>
      <c r="H482" t="str">
        <f>+_xlfn.XLOOKUP(F482,Sheet1!C:C,Sheet1!D:D,"N/A",0)</f>
        <v>705</v>
      </c>
    </row>
    <row r="483" spans="1:8" x14ac:dyDescent="0.25">
      <c r="A483" t="s">
        <v>662</v>
      </c>
      <c r="B483" t="s">
        <v>665</v>
      </c>
      <c r="C483" s="5">
        <v>7.3779999999999994E-4</v>
      </c>
      <c r="D483" s="3">
        <f t="shared" si="21"/>
        <v>0.75550719999999993</v>
      </c>
      <c r="E483" s="3">
        <f t="shared" si="22"/>
        <v>0.54284994511738671</v>
      </c>
      <c r="F483" t="str">
        <f t="shared" si="23"/>
        <v>SVN</v>
      </c>
      <c r="G483" t="str">
        <f>+_xlfn.XLOOKUP(F483,Sheet1!C:C,Sheet1!B:B,"N/A",0)</f>
        <v>SI</v>
      </c>
      <c r="H483" t="str">
        <f>+_xlfn.XLOOKUP(F483,Sheet1!C:C,Sheet1!D:D,"N/A",0)</f>
        <v>705</v>
      </c>
    </row>
    <row r="484" spans="1:8" x14ac:dyDescent="0.25">
      <c r="A484" t="s">
        <v>666</v>
      </c>
      <c r="B484" t="s">
        <v>667</v>
      </c>
      <c r="C484" s="5">
        <v>12.234077899999999</v>
      </c>
      <c r="D484" s="3">
        <f t="shared" si="21"/>
        <v>12527.695769599999</v>
      </c>
      <c r="E484" s="3">
        <f t="shared" si="22"/>
        <v>12527.695769599999</v>
      </c>
      <c r="F484" t="str">
        <f t="shared" si="23"/>
        <v>SLB</v>
      </c>
      <c r="G484" t="str">
        <f>+_xlfn.XLOOKUP(F484,Sheet1!C:C,Sheet1!B:B,"N/A",0)</f>
        <v>SB</v>
      </c>
      <c r="H484" t="str">
        <f>+_xlfn.XLOOKUP(F484,Sheet1!C:C,Sheet1!D:D,"N/A",0)</f>
        <v>090</v>
      </c>
    </row>
    <row r="485" spans="1:8" x14ac:dyDescent="0.25">
      <c r="A485" t="s">
        <v>666</v>
      </c>
      <c r="B485" t="s">
        <v>668</v>
      </c>
      <c r="C485" s="5"/>
      <c r="D485" s="3">
        <f t="shared" si="21"/>
        <v>0</v>
      </c>
      <c r="E485" s="3">
        <f t="shared" si="22"/>
        <v>12527.695769599999</v>
      </c>
      <c r="F485" t="str">
        <f t="shared" si="23"/>
        <v>SLB</v>
      </c>
      <c r="G485" t="str">
        <f>+_xlfn.XLOOKUP(F485,Sheet1!C:C,Sheet1!B:B,"N/A",0)</f>
        <v>SB</v>
      </c>
      <c r="H485" t="str">
        <f>+_xlfn.XLOOKUP(F485,Sheet1!C:C,Sheet1!D:D,"N/A",0)</f>
        <v>090</v>
      </c>
    </row>
    <row r="486" spans="1:8" x14ac:dyDescent="0.25">
      <c r="A486" t="s">
        <v>669</v>
      </c>
      <c r="B486" t="s">
        <v>670</v>
      </c>
      <c r="C486" s="5"/>
      <c r="D486" s="3">
        <f t="shared" si="21"/>
        <v>0</v>
      </c>
      <c r="E486" s="3">
        <f t="shared" si="22"/>
        <v>0</v>
      </c>
      <c r="F486" t="str">
        <f t="shared" si="23"/>
        <v>SOM</v>
      </c>
      <c r="G486" t="str">
        <f>+_xlfn.XLOOKUP(F486,Sheet1!C:C,Sheet1!B:B,"N/A",0)</f>
        <v>SO</v>
      </c>
      <c r="H486" t="str">
        <f>+_xlfn.XLOOKUP(F486,Sheet1!C:C,Sheet1!D:D,"N/A",0)</f>
        <v>706</v>
      </c>
    </row>
    <row r="487" spans="1:8" x14ac:dyDescent="0.25">
      <c r="A487" t="s">
        <v>669</v>
      </c>
      <c r="B487" t="s">
        <v>671</v>
      </c>
      <c r="C487" s="5"/>
      <c r="D487" s="3">
        <f t="shared" si="21"/>
        <v>0</v>
      </c>
      <c r="E487" s="3">
        <f t="shared" si="22"/>
        <v>0</v>
      </c>
      <c r="F487" t="str">
        <f t="shared" si="23"/>
        <v>SOM</v>
      </c>
      <c r="G487" t="str">
        <f>+_xlfn.XLOOKUP(F487,Sheet1!C:C,Sheet1!B:B,"N/A",0)</f>
        <v>SO</v>
      </c>
      <c r="H487" t="str">
        <f>+_xlfn.XLOOKUP(F487,Sheet1!C:C,Sheet1!D:D,"N/A",0)</f>
        <v>706</v>
      </c>
    </row>
    <row r="488" spans="1:8" x14ac:dyDescent="0.25">
      <c r="A488" t="s">
        <v>672</v>
      </c>
      <c r="B488" t="s">
        <v>673</v>
      </c>
      <c r="C488" s="5">
        <v>1.7500000000169559E-3</v>
      </c>
      <c r="D488" s="3">
        <f t="shared" si="21"/>
        <v>1.7920000000173628</v>
      </c>
      <c r="E488" s="3">
        <f t="shared" si="22"/>
        <v>1.7920000000173628</v>
      </c>
      <c r="F488" t="str">
        <f t="shared" si="23"/>
        <v>ZAF</v>
      </c>
      <c r="G488" t="str">
        <f>+_xlfn.XLOOKUP(F488,Sheet1!C:C,Sheet1!B:B,"N/A",0)</f>
        <v>ZA</v>
      </c>
      <c r="H488" t="str">
        <f>+_xlfn.XLOOKUP(F488,Sheet1!C:C,Sheet1!D:D,"N/A",0)</f>
        <v>710</v>
      </c>
    </row>
    <row r="489" spans="1:8" x14ac:dyDescent="0.25">
      <c r="A489" t="s">
        <v>672</v>
      </c>
      <c r="B489" t="s">
        <v>674</v>
      </c>
      <c r="C489" s="5">
        <v>1.9395908570345951E-3</v>
      </c>
      <c r="D489" s="3">
        <f t="shared" si="21"/>
        <v>1.9861410376034254</v>
      </c>
      <c r="E489" s="3">
        <f t="shared" si="22"/>
        <v>1.7920000000173628</v>
      </c>
      <c r="F489" t="str">
        <f t="shared" si="23"/>
        <v>ZAF</v>
      </c>
      <c r="G489" t="str">
        <f>+_xlfn.XLOOKUP(F489,Sheet1!C:C,Sheet1!B:B,"N/A",0)</f>
        <v>ZA</v>
      </c>
      <c r="H489" t="str">
        <f>+_xlfn.XLOOKUP(F489,Sheet1!C:C,Sheet1!D:D,"N/A",0)</f>
        <v>710</v>
      </c>
    </row>
    <row r="490" spans="1:8" x14ac:dyDescent="0.25">
      <c r="A490" t="s">
        <v>672</v>
      </c>
      <c r="B490" t="s">
        <v>675</v>
      </c>
      <c r="C490" s="5">
        <v>1.8759000000000002E-3</v>
      </c>
      <c r="D490" s="3">
        <f t="shared" si="21"/>
        <v>1.9209216000000002</v>
      </c>
      <c r="E490" s="3">
        <f t="shared" si="22"/>
        <v>1.7920000000173628</v>
      </c>
      <c r="F490" t="str">
        <f t="shared" si="23"/>
        <v>ZAF</v>
      </c>
      <c r="G490" t="str">
        <f>+_xlfn.XLOOKUP(F490,Sheet1!C:C,Sheet1!B:B,"N/A",0)</f>
        <v>ZA</v>
      </c>
      <c r="H490" t="str">
        <f>+_xlfn.XLOOKUP(F490,Sheet1!C:C,Sheet1!D:D,"N/A",0)</f>
        <v>710</v>
      </c>
    </row>
    <row r="491" spans="1:8" x14ac:dyDescent="0.25">
      <c r="A491" t="s">
        <v>672</v>
      </c>
      <c r="B491" t="s">
        <v>676</v>
      </c>
      <c r="C491" s="5">
        <v>1.9948215086427277E-3</v>
      </c>
      <c r="D491" s="3">
        <f t="shared" si="21"/>
        <v>2.0426972248501531</v>
      </c>
      <c r="E491" s="3">
        <f t="shared" si="22"/>
        <v>1.7920000000173628</v>
      </c>
      <c r="F491" t="str">
        <f t="shared" si="23"/>
        <v>ZAF</v>
      </c>
      <c r="G491" t="str">
        <f>+_xlfn.XLOOKUP(F491,Sheet1!C:C,Sheet1!B:B,"N/A",0)</f>
        <v>ZA</v>
      </c>
      <c r="H491" t="str">
        <f>+_xlfn.XLOOKUP(F491,Sheet1!C:C,Sheet1!D:D,"N/A",0)</f>
        <v>710</v>
      </c>
    </row>
    <row r="492" spans="1:8" x14ac:dyDescent="0.25">
      <c r="A492" t="s">
        <v>677</v>
      </c>
      <c r="B492" t="s">
        <v>678</v>
      </c>
      <c r="C492" s="5">
        <v>1.2507999999947215E-3</v>
      </c>
      <c r="D492" s="3">
        <f t="shared" si="21"/>
        <v>1.2808191999945948</v>
      </c>
      <c r="E492" s="3">
        <f t="shared" si="22"/>
        <v>0.76829042923738244</v>
      </c>
      <c r="F492" t="str">
        <f t="shared" si="23"/>
        <v>KOR</v>
      </c>
      <c r="G492" t="str">
        <f>+_xlfn.XLOOKUP(F492,Sheet1!C:C,Sheet1!B:B,"N/A",0)</f>
        <v>KR</v>
      </c>
      <c r="H492" t="str">
        <f>+_xlfn.XLOOKUP(F492,Sheet1!C:C,Sheet1!D:D,"N/A",0)</f>
        <v>410</v>
      </c>
    </row>
    <row r="493" spans="1:8" x14ac:dyDescent="0.25">
      <c r="A493" t="s">
        <v>677</v>
      </c>
      <c r="B493" t="s">
        <v>679</v>
      </c>
      <c r="C493" s="5">
        <v>4.0000000000000001E-3</v>
      </c>
      <c r="D493" s="3">
        <f t="shared" si="21"/>
        <v>4.0960000000000001</v>
      </c>
      <c r="E493" s="3">
        <f t="shared" si="22"/>
        <v>0.76829042923738244</v>
      </c>
      <c r="F493" t="str">
        <f t="shared" si="23"/>
        <v>KOR</v>
      </c>
      <c r="G493" t="str">
        <f>+_xlfn.XLOOKUP(F493,Sheet1!C:C,Sheet1!B:B,"N/A",0)</f>
        <v>KR</v>
      </c>
      <c r="H493" t="str">
        <f>+_xlfn.XLOOKUP(F493,Sheet1!C:C,Sheet1!D:D,"N/A",0)</f>
        <v>410</v>
      </c>
    </row>
    <row r="494" spans="1:8" x14ac:dyDescent="0.25">
      <c r="A494" t="s">
        <v>677</v>
      </c>
      <c r="B494" t="s">
        <v>680</v>
      </c>
      <c r="C494" s="5">
        <v>7.5028362230213129E-4</v>
      </c>
      <c r="D494" s="3">
        <f t="shared" si="21"/>
        <v>0.76829042923738244</v>
      </c>
      <c r="E494" s="3">
        <f t="shared" si="22"/>
        <v>0.76829042923738244</v>
      </c>
      <c r="F494" t="str">
        <f t="shared" si="23"/>
        <v>KOR</v>
      </c>
      <c r="G494" t="str">
        <f>+_xlfn.XLOOKUP(F494,Sheet1!C:C,Sheet1!B:B,"N/A",0)</f>
        <v>KR</v>
      </c>
      <c r="H494" t="str">
        <f>+_xlfn.XLOOKUP(F494,Sheet1!C:C,Sheet1!D:D,"N/A",0)</f>
        <v>410</v>
      </c>
    </row>
    <row r="495" spans="1:8" x14ac:dyDescent="0.25">
      <c r="A495" t="s">
        <v>681</v>
      </c>
      <c r="B495" t="s">
        <v>682</v>
      </c>
      <c r="C495" s="5">
        <v>1.7705195887308075E-3</v>
      </c>
      <c r="D495" s="3">
        <f t="shared" si="21"/>
        <v>1.8130120588603469</v>
      </c>
      <c r="E495" s="3">
        <f t="shared" si="22"/>
        <v>1.8130120588603469</v>
      </c>
      <c r="F495" t="str">
        <f t="shared" si="23"/>
        <v>SSD</v>
      </c>
      <c r="G495" t="str">
        <f>+_xlfn.XLOOKUP(F495,Sheet1!C:C,Sheet1!B:B,"N/A",0)</f>
        <v>SS</v>
      </c>
      <c r="H495" t="str">
        <f>+_xlfn.XLOOKUP(F495,Sheet1!C:C,Sheet1!D:D,"N/A",0)</f>
        <v>728</v>
      </c>
    </row>
    <row r="496" spans="1:8" x14ac:dyDescent="0.25">
      <c r="A496" t="s">
        <v>681</v>
      </c>
      <c r="B496" t="s">
        <v>683</v>
      </c>
      <c r="C496" s="5">
        <v>6.3792867414650303</v>
      </c>
      <c r="D496" s="3">
        <f t="shared" si="21"/>
        <v>6532.389623260191</v>
      </c>
      <c r="E496" s="3">
        <f t="shared" si="22"/>
        <v>1.8130120588603469</v>
      </c>
      <c r="F496" t="str">
        <f t="shared" si="23"/>
        <v>SSD</v>
      </c>
      <c r="G496" t="str">
        <f>+_xlfn.XLOOKUP(F496,Sheet1!C:C,Sheet1!B:B,"N/A",0)</f>
        <v>SS</v>
      </c>
      <c r="H496" t="str">
        <f>+_xlfn.XLOOKUP(F496,Sheet1!C:C,Sheet1!D:D,"N/A",0)</f>
        <v>728</v>
      </c>
    </row>
    <row r="497" spans="1:8" x14ac:dyDescent="0.25">
      <c r="A497" t="s">
        <v>684</v>
      </c>
      <c r="B497" t="s">
        <v>685</v>
      </c>
      <c r="C497" s="5"/>
      <c r="D497" s="3">
        <f t="shared" si="21"/>
        <v>0</v>
      </c>
      <c r="E497" s="3">
        <f t="shared" si="22"/>
        <v>0.68751360000000006</v>
      </c>
      <c r="F497" t="str">
        <f t="shared" si="23"/>
        <v>ESP</v>
      </c>
      <c r="G497" t="str">
        <f>+_xlfn.XLOOKUP(F497,Sheet1!C:C,Sheet1!B:B,"N/A",0)</f>
        <v>ES</v>
      </c>
      <c r="H497" t="str">
        <f>+_xlfn.XLOOKUP(F497,Sheet1!C:C,Sheet1!D:D,"N/A",0)</f>
        <v>724</v>
      </c>
    </row>
    <row r="498" spans="1:8" x14ac:dyDescent="0.25">
      <c r="A498" t="s">
        <v>684</v>
      </c>
      <c r="B498" t="s">
        <v>686</v>
      </c>
      <c r="C498" s="5"/>
      <c r="D498" s="3">
        <f t="shared" si="21"/>
        <v>0</v>
      </c>
      <c r="E498" s="3">
        <f t="shared" si="22"/>
        <v>0.68751360000000006</v>
      </c>
      <c r="F498" t="str">
        <f t="shared" si="23"/>
        <v>ESP</v>
      </c>
      <c r="G498" t="str">
        <f>+_xlfn.XLOOKUP(F498,Sheet1!C:C,Sheet1!B:B,"N/A",0)</f>
        <v>ES</v>
      </c>
      <c r="H498" t="str">
        <f>+_xlfn.XLOOKUP(F498,Sheet1!C:C,Sheet1!D:D,"N/A",0)</f>
        <v>724</v>
      </c>
    </row>
    <row r="499" spans="1:8" x14ac:dyDescent="0.25">
      <c r="A499" t="s">
        <v>684</v>
      </c>
      <c r="B499" t="s">
        <v>687</v>
      </c>
      <c r="C499" s="5">
        <v>8.6870000000000003E-4</v>
      </c>
      <c r="D499" s="3">
        <f t="shared" si="21"/>
        <v>0.88954880000000003</v>
      </c>
      <c r="E499" s="3">
        <f t="shared" si="22"/>
        <v>0.68751360000000006</v>
      </c>
      <c r="F499" t="str">
        <f t="shared" si="23"/>
        <v>ESP</v>
      </c>
      <c r="G499" t="str">
        <f>+_xlfn.XLOOKUP(F499,Sheet1!C:C,Sheet1!B:B,"N/A",0)</f>
        <v>ES</v>
      </c>
      <c r="H499" t="str">
        <f>+_xlfn.XLOOKUP(F499,Sheet1!C:C,Sheet1!D:D,"N/A",0)</f>
        <v>724</v>
      </c>
    </row>
    <row r="500" spans="1:8" x14ac:dyDescent="0.25">
      <c r="A500" t="s">
        <v>684</v>
      </c>
      <c r="B500" t="s">
        <v>688</v>
      </c>
      <c r="C500" s="5">
        <v>6.7140000000000006E-4</v>
      </c>
      <c r="D500" s="3">
        <f t="shared" si="21"/>
        <v>0.68751360000000006</v>
      </c>
      <c r="E500" s="3">
        <f t="shared" si="22"/>
        <v>0.68751360000000006</v>
      </c>
      <c r="F500" t="str">
        <f t="shared" si="23"/>
        <v>ESP</v>
      </c>
      <c r="G500" t="str">
        <f>+_xlfn.XLOOKUP(F500,Sheet1!C:C,Sheet1!B:B,"N/A",0)</f>
        <v>ES</v>
      </c>
      <c r="H500" t="str">
        <f>+_xlfn.XLOOKUP(F500,Sheet1!C:C,Sheet1!D:D,"N/A",0)</f>
        <v>724</v>
      </c>
    </row>
    <row r="501" spans="1:8" x14ac:dyDescent="0.25">
      <c r="A501" t="s">
        <v>684</v>
      </c>
      <c r="B501" t="s">
        <v>689</v>
      </c>
      <c r="C501" s="5">
        <v>8.9740000000000002E-4</v>
      </c>
      <c r="D501" s="3">
        <f t="shared" si="21"/>
        <v>0.91893760000000002</v>
      </c>
      <c r="E501" s="3">
        <f t="shared" si="22"/>
        <v>0.68751360000000006</v>
      </c>
      <c r="F501" t="str">
        <f t="shared" si="23"/>
        <v>ESP</v>
      </c>
      <c r="G501" t="str">
        <f>+_xlfn.XLOOKUP(F501,Sheet1!C:C,Sheet1!B:B,"N/A",0)</f>
        <v>ES</v>
      </c>
      <c r="H501" t="str">
        <f>+_xlfn.XLOOKUP(F501,Sheet1!C:C,Sheet1!D:D,"N/A",0)</f>
        <v>724</v>
      </c>
    </row>
    <row r="502" spans="1:8" x14ac:dyDescent="0.25">
      <c r="A502" t="s">
        <v>690</v>
      </c>
      <c r="B502" t="s">
        <v>691</v>
      </c>
      <c r="C502" s="5">
        <v>1.3000000000466178E-3</v>
      </c>
      <c r="D502" s="3">
        <f t="shared" si="21"/>
        <v>1.3312000000477366</v>
      </c>
      <c r="E502" s="3">
        <f t="shared" si="22"/>
        <v>1.3312000000477366</v>
      </c>
      <c r="F502" t="str">
        <f t="shared" si="23"/>
        <v>LKA</v>
      </c>
      <c r="G502" t="str">
        <f>+_xlfn.XLOOKUP(F502,Sheet1!C:C,Sheet1!B:B,"N/A",0)</f>
        <v>LK</v>
      </c>
      <c r="H502" t="str">
        <f>+_xlfn.XLOOKUP(F502,Sheet1!C:C,Sheet1!D:D,"N/A",0)</f>
        <v>144</v>
      </c>
    </row>
    <row r="503" spans="1:8" x14ac:dyDescent="0.25">
      <c r="A503" t="s">
        <v>690</v>
      </c>
      <c r="B503" t="s">
        <v>692</v>
      </c>
      <c r="C503" s="5">
        <v>2.0496739165874358E-3</v>
      </c>
      <c r="D503" s="3">
        <f t="shared" si="21"/>
        <v>2.0988660905855343</v>
      </c>
      <c r="E503" s="3">
        <f t="shared" si="22"/>
        <v>1.3312000000477366</v>
      </c>
      <c r="F503" t="str">
        <f t="shared" si="23"/>
        <v>LKA</v>
      </c>
      <c r="G503" t="str">
        <f>+_xlfn.XLOOKUP(F503,Sheet1!C:C,Sheet1!B:B,"N/A",0)</f>
        <v>LK</v>
      </c>
      <c r="H503" t="str">
        <f>+_xlfn.XLOOKUP(F503,Sheet1!C:C,Sheet1!D:D,"N/A",0)</f>
        <v>144</v>
      </c>
    </row>
    <row r="504" spans="1:8" x14ac:dyDescent="0.25">
      <c r="A504" t="s">
        <v>690</v>
      </c>
      <c r="B504" t="s">
        <v>693</v>
      </c>
      <c r="C504" s="5">
        <v>2.5454019835879525E-3</v>
      </c>
      <c r="D504" s="3">
        <f t="shared" si="21"/>
        <v>2.6064916311940634</v>
      </c>
      <c r="E504" s="3">
        <f t="shared" si="22"/>
        <v>1.3312000000477366</v>
      </c>
      <c r="F504" t="str">
        <f t="shared" si="23"/>
        <v>LKA</v>
      </c>
      <c r="G504" t="str">
        <f>+_xlfn.XLOOKUP(F504,Sheet1!C:C,Sheet1!B:B,"N/A",0)</f>
        <v>LK</v>
      </c>
      <c r="H504" t="str">
        <f>+_xlfn.XLOOKUP(F504,Sheet1!C:C,Sheet1!D:D,"N/A",0)</f>
        <v>144</v>
      </c>
    </row>
    <row r="505" spans="1:8" x14ac:dyDescent="0.25">
      <c r="A505" t="s">
        <v>694</v>
      </c>
      <c r="B505" t="s">
        <v>695</v>
      </c>
      <c r="C505" s="5"/>
      <c r="D505" s="3">
        <f t="shared" si="21"/>
        <v>0</v>
      </c>
      <c r="E505" s="3">
        <f t="shared" si="22"/>
        <v>0</v>
      </c>
      <c r="F505" t="str">
        <f t="shared" si="23"/>
        <v>SHN</v>
      </c>
      <c r="G505" t="str">
        <f>+_xlfn.XLOOKUP(F505,Sheet1!C:C,Sheet1!B:B,"N/A",0)</f>
        <v>SH</v>
      </c>
      <c r="H505" t="str">
        <f>+_xlfn.XLOOKUP(F505,Sheet1!C:C,Sheet1!D:D,"N/A",0)</f>
        <v>654</v>
      </c>
    </row>
    <row r="506" spans="1:8" x14ac:dyDescent="0.25">
      <c r="A506" t="s">
        <v>696</v>
      </c>
      <c r="B506" t="s">
        <v>697</v>
      </c>
      <c r="C506" s="5">
        <v>4.1024575337003447E-3</v>
      </c>
      <c r="D506" s="3">
        <f t="shared" si="21"/>
        <v>4.2009165145091529</v>
      </c>
      <c r="E506" s="3">
        <f t="shared" si="22"/>
        <v>0.86880126372470734</v>
      </c>
      <c r="F506" t="str">
        <f t="shared" si="23"/>
        <v>SDN</v>
      </c>
      <c r="G506" t="str">
        <f>+_xlfn.XLOOKUP(F506,Sheet1!C:C,Sheet1!B:B,"N/A",0)</f>
        <v>SD</v>
      </c>
      <c r="H506" t="str">
        <f>+_xlfn.XLOOKUP(F506,Sheet1!C:C,Sheet1!D:D,"N/A",0)</f>
        <v>729</v>
      </c>
    </row>
    <row r="507" spans="1:8" x14ac:dyDescent="0.25">
      <c r="A507" t="s">
        <v>696</v>
      </c>
      <c r="B507" t="s">
        <v>698</v>
      </c>
      <c r="C507" s="5">
        <v>2.8449367530509E-3</v>
      </c>
      <c r="D507" s="3">
        <f t="shared" si="21"/>
        <v>2.9132152351241216</v>
      </c>
      <c r="E507" s="3">
        <f t="shared" si="22"/>
        <v>0.86880126372470734</v>
      </c>
      <c r="F507" t="str">
        <f t="shared" si="23"/>
        <v>SDN</v>
      </c>
      <c r="G507" t="str">
        <f>+_xlfn.XLOOKUP(F507,Sheet1!C:C,Sheet1!B:B,"N/A",0)</f>
        <v>SD</v>
      </c>
      <c r="H507" t="str">
        <f>+_xlfn.XLOOKUP(F507,Sheet1!C:C,Sheet1!D:D,"N/A",0)</f>
        <v>729</v>
      </c>
    </row>
    <row r="508" spans="1:8" x14ac:dyDescent="0.25">
      <c r="A508" t="s">
        <v>696</v>
      </c>
      <c r="B508" t="s">
        <v>699</v>
      </c>
      <c r="C508" s="5">
        <v>8.4843873410615951E-4</v>
      </c>
      <c r="D508" s="3">
        <f t="shared" si="21"/>
        <v>0.86880126372470734</v>
      </c>
      <c r="E508" s="3">
        <f t="shared" si="22"/>
        <v>0.86880126372470734</v>
      </c>
      <c r="F508" t="str">
        <f t="shared" si="23"/>
        <v>SUD</v>
      </c>
      <c r="G508" t="str">
        <f>+_xlfn.XLOOKUP(F508,Sheet1!C:C,Sheet1!B:B,"N/A",0)</f>
        <v>N/A</v>
      </c>
      <c r="H508" t="str">
        <f>+_xlfn.XLOOKUP(F508,Sheet1!C:C,Sheet1!D:D,"N/A",0)</f>
        <v>N/A</v>
      </c>
    </row>
    <row r="509" spans="1:8" x14ac:dyDescent="0.25">
      <c r="A509" t="s">
        <v>700</v>
      </c>
      <c r="B509" t="s">
        <v>701</v>
      </c>
      <c r="C509" s="5">
        <v>8.5653033689865956E-4</v>
      </c>
      <c r="D509" s="3">
        <f t="shared" si="21"/>
        <v>0.87708706498422739</v>
      </c>
      <c r="E509" s="3">
        <f t="shared" si="22"/>
        <v>0.86886399999999997</v>
      </c>
      <c r="F509" t="str">
        <f t="shared" si="23"/>
        <v>SUR</v>
      </c>
      <c r="G509" t="str">
        <f>+_xlfn.XLOOKUP(F509,Sheet1!C:C,Sheet1!B:B,"N/A",0)</f>
        <v>SR</v>
      </c>
      <c r="H509" t="str">
        <f>+_xlfn.XLOOKUP(F509,Sheet1!C:C,Sheet1!D:D,"N/A",0)</f>
        <v>740</v>
      </c>
    </row>
    <row r="510" spans="1:8" x14ac:dyDescent="0.25">
      <c r="A510" t="s">
        <v>700</v>
      </c>
      <c r="B510" t="s">
        <v>702</v>
      </c>
      <c r="C510" s="5">
        <v>8.4849999999999997E-4</v>
      </c>
      <c r="D510" s="3">
        <f t="shared" si="21"/>
        <v>0.86886399999999997</v>
      </c>
      <c r="E510" s="3">
        <f t="shared" si="22"/>
        <v>0.86886399999999997</v>
      </c>
      <c r="F510" t="str">
        <f t="shared" si="23"/>
        <v>SUR</v>
      </c>
      <c r="G510" t="str">
        <f>+_xlfn.XLOOKUP(F510,Sheet1!C:C,Sheet1!B:B,"N/A",0)</f>
        <v>SR</v>
      </c>
      <c r="H510" t="str">
        <f>+_xlfn.XLOOKUP(F510,Sheet1!C:C,Sheet1!D:D,"N/A",0)</f>
        <v>740</v>
      </c>
    </row>
    <row r="511" spans="1:8" x14ac:dyDescent="0.25">
      <c r="A511" t="s">
        <v>703</v>
      </c>
      <c r="B511" t="s">
        <v>704</v>
      </c>
      <c r="C511" s="5">
        <v>1.7948163481821167E-3</v>
      </c>
      <c r="D511" s="3">
        <f t="shared" si="21"/>
        <v>1.8378919405384875</v>
      </c>
      <c r="E511" s="3">
        <f t="shared" si="22"/>
        <v>1.8378919405384875</v>
      </c>
      <c r="F511" t="str">
        <f t="shared" si="23"/>
        <v>SWZ</v>
      </c>
      <c r="G511" t="str">
        <f>+_xlfn.XLOOKUP(F511,Sheet1!C:C,Sheet1!B:B,"N/A",0)</f>
        <v>SZ</v>
      </c>
      <c r="H511" t="str">
        <f>+_xlfn.XLOOKUP(F511,Sheet1!C:C,Sheet1!D:D,"N/A",0)</f>
        <v>748</v>
      </c>
    </row>
    <row r="512" spans="1:8" x14ac:dyDescent="0.25">
      <c r="A512" t="s">
        <v>705</v>
      </c>
      <c r="B512" t="s">
        <v>706</v>
      </c>
      <c r="C512" s="5">
        <v>6.2289999999999991E-4</v>
      </c>
      <c r="D512" s="3">
        <f t="shared" si="21"/>
        <v>0.63784959999999991</v>
      </c>
      <c r="E512" s="3">
        <f t="shared" si="22"/>
        <v>0.25712640000000003</v>
      </c>
      <c r="F512" t="str">
        <f t="shared" si="23"/>
        <v>SWE</v>
      </c>
      <c r="G512" t="str">
        <f>+_xlfn.XLOOKUP(F512,Sheet1!C:C,Sheet1!B:B,"N/A",0)</f>
        <v>SE</v>
      </c>
      <c r="H512" t="str">
        <f>+_xlfn.XLOOKUP(F512,Sheet1!C:C,Sheet1!D:D,"N/A",0)</f>
        <v>752</v>
      </c>
    </row>
    <row r="513" spans="1:8" x14ac:dyDescent="0.25">
      <c r="A513" t="s">
        <v>705</v>
      </c>
      <c r="B513" t="s">
        <v>707</v>
      </c>
      <c r="C513" s="5">
        <v>6.4570000000000003E-4</v>
      </c>
      <c r="D513" s="3">
        <f t="shared" si="21"/>
        <v>0.66119680000000003</v>
      </c>
      <c r="E513" s="3">
        <f t="shared" si="22"/>
        <v>0.25712640000000003</v>
      </c>
      <c r="F513" t="str">
        <f t="shared" si="23"/>
        <v>SWE</v>
      </c>
      <c r="G513" t="str">
        <f>+_xlfn.XLOOKUP(F513,Sheet1!C:C,Sheet1!B:B,"N/A",0)</f>
        <v>SE</v>
      </c>
      <c r="H513" t="str">
        <f>+_xlfn.XLOOKUP(F513,Sheet1!C:C,Sheet1!D:D,"N/A",0)</f>
        <v>752</v>
      </c>
    </row>
    <row r="514" spans="1:8" x14ac:dyDescent="0.25">
      <c r="A514" t="s">
        <v>705</v>
      </c>
      <c r="B514" t="s">
        <v>708</v>
      </c>
      <c r="C514" s="5">
        <v>2.5110000000000003E-4</v>
      </c>
      <c r="D514" s="3">
        <f t="shared" si="21"/>
        <v>0.25712640000000003</v>
      </c>
      <c r="E514" s="3">
        <f t="shared" si="22"/>
        <v>0.25712640000000003</v>
      </c>
      <c r="F514" t="str">
        <f t="shared" si="23"/>
        <v>SWE</v>
      </c>
      <c r="G514" t="str">
        <f>+_xlfn.XLOOKUP(F514,Sheet1!C:C,Sheet1!B:B,"N/A",0)</f>
        <v>SE</v>
      </c>
      <c r="H514" t="str">
        <f>+_xlfn.XLOOKUP(F514,Sheet1!C:C,Sheet1!D:D,"N/A",0)</f>
        <v>752</v>
      </c>
    </row>
    <row r="515" spans="1:8" x14ac:dyDescent="0.25">
      <c r="A515" t="s">
        <v>705</v>
      </c>
      <c r="B515" t="s">
        <v>709</v>
      </c>
      <c r="C515" s="5">
        <v>3.5540000000000007E-4</v>
      </c>
      <c r="D515" s="3">
        <f t="shared" ref="D515:D578" si="24">C515*1024</f>
        <v>0.36392960000000008</v>
      </c>
      <c r="E515" s="3">
        <f t="shared" ref="E515:E578" si="25">_xlfn.MINIFS(D:D,A:A,A515,D:D,"&lt;&gt;0")</f>
        <v>0.25712640000000003</v>
      </c>
      <c r="F515" t="str">
        <f t="shared" ref="F515:F578" si="26">_xlfn.TEXTBEFORE(_xlfn.TEXTAFTER(B515,"("),")")</f>
        <v>SWE</v>
      </c>
      <c r="G515" t="str">
        <f>+_xlfn.XLOOKUP(F515,Sheet1!C:C,Sheet1!B:B,"N/A",0)</f>
        <v>SE</v>
      </c>
      <c r="H515" t="str">
        <f>+_xlfn.XLOOKUP(F515,Sheet1!C:C,Sheet1!D:D,"N/A",0)</f>
        <v>752</v>
      </c>
    </row>
    <row r="516" spans="1:8" x14ac:dyDescent="0.25">
      <c r="A516" t="s">
        <v>710</v>
      </c>
      <c r="B516" t="s">
        <v>711</v>
      </c>
      <c r="C516" s="5">
        <v>5.293668472373073E-4</v>
      </c>
      <c r="D516" s="3">
        <f t="shared" si="24"/>
        <v>0.54207165157100268</v>
      </c>
      <c r="E516" s="3">
        <f t="shared" si="25"/>
        <v>0.54207165157100268</v>
      </c>
      <c r="F516" t="str">
        <f t="shared" si="26"/>
        <v>CHE</v>
      </c>
      <c r="G516" t="str">
        <f>+_xlfn.XLOOKUP(F516,Sheet1!C:C,Sheet1!B:B,"N/A",0)</f>
        <v>CH</v>
      </c>
      <c r="H516" t="str">
        <f>+_xlfn.XLOOKUP(F516,Sheet1!C:C,Sheet1!D:D,"N/A",0)</f>
        <v>756</v>
      </c>
    </row>
    <row r="517" spans="1:8" x14ac:dyDescent="0.25">
      <c r="A517" t="s">
        <v>710</v>
      </c>
      <c r="B517" t="s">
        <v>712</v>
      </c>
      <c r="C517" s="5">
        <v>5.3687125615205428E-4</v>
      </c>
      <c r="D517" s="3">
        <f t="shared" si="24"/>
        <v>0.54975616629970359</v>
      </c>
      <c r="E517" s="3">
        <f t="shared" si="25"/>
        <v>0.54207165157100268</v>
      </c>
      <c r="F517" t="str">
        <f t="shared" si="26"/>
        <v>CHE</v>
      </c>
      <c r="G517" t="str">
        <f>+_xlfn.XLOOKUP(F517,Sheet1!C:C,Sheet1!B:B,"N/A",0)</f>
        <v>CH</v>
      </c>
      <c r="H517" t="str">
        <f>+_xlfn.XLOOKUP(F517,Sheet1!C:C,Sheet1!D:D,"N/A",0)</f>
        <v>756</v>
      </c>
    </row>
    <row r="518" spans="1:8" x14ac:dyDescent="0.25">
      <c r="A518" t="s">
        <v>710</v>
      </c>
      <c r="B518" t="s">
        <v>713</v>
      </c>
      <c r="C518" s="5">
        <v>1.093859618363127E-3</v>
      </c>
      <c r="D518" s="3">
        <f t="shared" si="24"/>
        <v>1.120112249203842</v>
      </c>
      <c r="E518" s="3">
        <f t="shared" si="25"/>
        <v>0.54207165157100268</v>
      </c>
      <c r="F518" t="str">
        <f t="shared" si="26"/>
        <v>CHE</v>
      </c>
      <c r="G518" t="str">
        <f>+_xlfn.XLOOKUP(F518,Sheet1!C:C,Sheet1!B:B,"N/A",0)</f>
        <v>CH</v>
      </c>
      <c r="H518" t="str">
        <f>+_xlfn.XLOOKUP(F518,Sheet1!C:C,Sheet1!D:D,"N/A",0)</f>
        <v>756</v>
      </c>
    </row>
    <row r="519" spans="1:8" x14ac:dyDescent="0.25">
      <c r="A519" t="s">
        <v>714</v>
      </c>
      <c r="B519" t="s">
        <v>715</v>
      </c>
      <c r="C519" s="5">
        <v>15.197685599968148</v>
      </c>
      <c r="D519" s="3">
        <f t="shared" si="24"/>
        <v>15562.430054367383</v>
      </c>
      <c r="E519" s="3">
        <f t="shared" si="25"/>
        <v>12793.068933918752</v>
      </c>
      <c r="F519" t="str">
        <f t="shared" si="26"/>
        <v>SYR</v>
      </c>
      <c r="G519" t="str">
        <f>+_xlfn.XLOOKUP(F519,Sheet1!C:C,Sheet1!B:B,"N/A",0)</f>
        <v>SY</v>
      </c>
      <c r="H519" t="str">
        <f>+_xlfn.XLOOKUP(F519,Sheet1!C:C,Sheet1!D:D,"N/A",0)</f>
        <v>760</v>
      </c>
    </row>
    <row r="520" spans="1:8" x14ac:dyDescent="0.25">
      <c r="A520" t="s">
        <v>714</v>
      </c>
      <c r="B520" t="s">
        <v>716</v>
      </c>
      <c r="C520" s="5">
        <v>12.493231380780031</v>
      </c>
      <c r="D520" s="3">
        <f t="shared" si="24"/>
        <v>12793.068933918752</v>
      </c>
      <c r="E520" s="3">
        <f t="shared" si="25"/>
        <v>12793.068933918752</v>
      </c>
      <c r="F520" t="str">
        <f t="shared" si="26"/>
        <v>SYR</v>
      </c>
      <c r="G520" t="str">
        <f>+_xlfn.XLOOKUP(F520,Sheet1!C:C,Sheet1!B:B,"N/A",0)</f>
        <v>SY</v>
      </c>
      <c r="H520" t="str">
        <f>+_xlfn.XLOOKUP(F520,Sheet1!C:C,Sheet1!D:D,"N/A",0)</f>
        <v>760</v>
      </c>
    </row>
    <row r="521" spans="1:8" x14ac:dyDescent="0.25">
      <c r="A521" t="s">
        <v>717</v>
      </c>
      <c r="B521" t="s">
        <v>718</v>
      </c>
      <c r="C521" s="5">
        <v>7.1560000000020138E-4</v>
      </c>
      <c r="D521" s="3">
        <f t="shared" si="24"/>
        <v>0.73277440000020622</v>
      </c>
      <c r="E521" s="3">
        <f t="shared" si="25"/>
        <v>0.73277440000020622</v>
      </c>
      <c r="F521" t="str">
        <f t="shared" si="26"/>
        <v>TWN</v>
      </c>
      <c r="G521" t="str">
        <f>+_xlfn.XLOOKUP(F521,Sheet1!C:C,Sheet1!B:B,"N/A",0)</f>
        <v>TW</v>
      </c>
      <c r="H521" t="str">
        <f>+_xlfn.XLOOKUP(F521,Sheet1!C:C,Sheet1!D:D,"N/A",0)</f>
        <v>158</v>
      </c>
    </row>
    <row r="522" spans="1:8" x14ac:dyDescent="0.25">
      <c r="A522" t="s">
        <v>717</v>
      </c>
      <c r="B522" t="s">
        <v>719</v>
      </c>
      <c r="C522" s="5">
        <v>1.2532999999714846E-3</v>
      </c>
      <c r="D522" s="3">
        <f t="shared" si="24"/>
        <v>1.2833791999708002</v>
      </c>
      <c r="E522" s="3">
        <f t="shared" si="25"/>
        <v>0.73277440000020622</v>
      </c>
      <c r="F522" t="str">
        <f t="shared" si="26"/>
        <v>TWN</v>
      </c>
      <c r="G522" t="str">
        <f>+_xlfn.XLOOKUP(F522,Sheet1!C:C,Sheet1!B:B,"N/A",0)</f>
        <v>TW</v>
      </c>
      <c r="H522" t="str">
        <f>+_xlfn.XLOOKUP(F522,Sheet1!C:C,Sheet1!D:D,"N/A",0)</f>
        <v>158</v>
      </c>
    </row>
    <row r="523" spans="1:8" x14ac:dyDescent="0.25">
      <c r="A523" t="s">
        <v>717</v>
      </c>
      <c r="B523" t="s">
        <v>720</v>
      </c>
      <c r="C523" s="5">
        <v>7.209000000030978E-4</v>
      </c>
      <c r="D523" s="3">
        <f t="shared" si="24"/>
        <v>0.73820160000317214</v>
      </c>
      <c r="E523" s="3">
        <f t="shared" si="25"/>
        <v>0.73277440000020622</v>
      </c>
      <c r="F523" t="str">
        <f t="shared" si="26"/>
        <v>TWN</v>
      </c>
      <c r="G523" t="str">
        <f>+_xlfn.XLOOKUP(F523,Sheet1!C:C,Sheet1!B:B,"N/A",0)</f>
        <v>TW</v>
      </c>
      <c r="H523" t="str">
        <f>+_xlfn.XLOOKUP(F523,Sheet1!C:C,Sheet1!D:D,"N/A",0)</f>
        <v>158</v>
      </c>
    </row>
    <row r="524" spans="1:8" x14ac:dyDescent="0.25">
      <c r="A524" t="s">
        <v>721</v>
      </c>
      <c r="B524" t="s">
        <v>722</v>
      </c>
      <c r="C524" s="5">
        <v>0.6197862607163489</v>
      </c>
      <c r="D524" s="3">
        <f t="shared" si="24"/>
        <v>634.66113097354128</v>
      </c>
      <c r="E524" s="3">
        <f t="shared" si="25"/>
        <v>1.7376255448600599</v>
      </c>
      <c r="F524" t="str">
        <f t="shared" si="26"/>
        <v>TJK</v>
      </c>
      <c r="G524" t="str">
        <f>+_xlfn.XLOOKUP(F524,Sheet1!C:C,Sheet1!B:B,"N/A",0)</f>
        <v>TJ</v>
      </c>
      <c r="H524" t="str">
        <f>+_xlfn.XLOOKUP(F524,Sheet1!C:C,Sheet1!D:D,"N/A",0)</f>
        <v>762</v>
      </c>
    </row>
    <row r="525" spans="1:8" x14ac:dyDescent="0.25">
      <c r="A525" t="s">
        <v>721</v>
      </c>
      <c r="B525" t="s">
        <v>723</v>
      </c>
      <c r="C525" s="5">
        <v>12.202018906566696</v>
      </c>
      <c r="D525" s="3">
        <f t="shared" si="24"/>
        <v>12494.867360324297</v>
      </c>
      <c r="E525" s="3">
        <f t="shared" si="25"/>
        <v>1.7376255448600599</v>
      </c>
      <c r="F525" t="str">
        <f t="shared" si="26"/>
        <v>TJK</v>
      </c>
      <c r="G525" t="str">
        <f>+_xlfn.XLOOKUP(F525,Sheet1!C:C,Sheet1!B:B,"N/A",0)</f>
        <v>TJ</v>
      </c>
      <c r="H525" t="str">
        <f>+_xlfn.XLOOKUP(F525,Sheet1!C:C,Sheet1!D:D,"N/A",0)</f>
        <v>762</v>
      </c>
    </row>
    <row r="526" spans="1:8" x14ac:dyDescent="0.25">
      <c r="A526" t="s">
        <v>721</v>
      </c>
      <c r="B526" t="s">
        <v>724</v>
      </c>
      <c r="C526" s="5">
        <v>4.5068450455731796E-3</v>
      </c>
      <c r="D526" s="3">
        <f t="shared" si="24"/>
        <v>4.6150093266669359</v>
      </c>
      <c r="E526" s="3">
        <f t="shared" si="25"/>
        <v>1.7376255448600599</v>
      </c>
      <c r="F526" t="str">
        <f t="shared" si="26"/>
        <v>TJK</v>
      </c>
      <c r="G526" t="str">
        <f>+_xlfn.XLOOKUP(F526,Sheet1!C:C,Sheet1!B:B,"N/A",0)</f>
        <v>TJ</v>
      </c>
      <c r="H526" t="str">
        <f>+_xlfn.XLOOKUP(F526,Sheet1!C:C,Sheet1!D:D,"N/A",0)</f>
        <v>762</v>
      </c>
    </row>
    <row r="527" spans="1:8" x14ac:dyDescent="0.25">
      <c r="A527" t="s">
        <v>721</v>
      </c>
      <c r="B527" t="s">
        <v>725</v>
      </c>
      <c r="C527" s="5">
        <v>1.6968999461524023E-3</v>
      </c>
      <c r="D527" s="3">
        <f t="shared" si="24"/>
        <v>1.7376255448600599</v>
      </c>
      <c r="E527" s="3">
        <f t="shared" si="25"/>
        <v>1.7376255448600599</v>
      </c>
      <c r="F527" t="str">
        <f t="shared" si="26"/>
        <v>TJK</v>
      </c>
      <c r="G527" t="str">
        <f>+_xlfn.XLOOKUP(F527,Sheet1!C:C,Sheet1!B:B,"N/A",0)</f>
        <v>TJ</v>
      </c>
      <c r="H527" t="str">
        <f>+_xlfn.XLOOKUP(F527,Sheet1!C:C,Sheet1!D:D,"N/A",0)</f>
        <v>762</v>
      </c>
    </row>
    <row r="528" spans="1:8" x14ac:dyDescent="0.25">
      <c r="A528" t="s">
        <v>726</v>
      </c>
      <c r="B528" t="s">
        <v>727</v>
      </c>
      <c r="C528" s="5">
        <v>1.9514999999999997E-3</v>
      </c>
      <c r="D528" s="3">
        <f t="shared" si="24"/>
        <v>1.9983359999999997</v>
      </c>
      <c r="E528" s="3">
        <f t="shared" si="25"/>
        <v>1.9983359999999997</v>
      </c>
      <c r="F528" t="str">
        <f t="shared" si="26"/>
        <v>TZA</v>
      </c>
      <c r="G528" t="str">
        <f>+_xlfn.XLOOKUP(F528,Sheet1!C:C,Sheet1!B:B,"N/A",0)</f>
        <v>TZ</v>
      </c>
      <c r="H528" t="str">
        <f>+_xlfn.XLOOKUP(F528,Sheet1!C:C,Sheet1!D:D,"N/A",0)</f>
        <v>834</v>
      </c>
    </row>
    <row r="529" spans="1:8" x14ac:dyDescent="0.25">
      <c r="A529" t="s">
        <v>726</v>
      </c>
      <c r="B529" t="s">
        <v>728</v>
      </c>
      <c r="C529" s="5">
        <v>8.9990473634754091E-3</v>
      </c>
      <c r="D529" s="3">
        <f t="shared" si="24"/>
        <v>9.2150245001988189</v>
      </c>
      <c r="E529" s="3">
        <f t="shared" si="25"/>
        <v>1.9983359999999997</v>
      </c>
      <c r="F529" t="str">
        <f t="shared" si="26"/>
        <v>TZA</v>
      </c>
      <c r="G529" t="str">
        <f>+_xlfn.XLOOKUP(F529,Sheet1!C:C,Sheet1!B:B,"N/A",0)</f>
        <v>TZ</v>
      </c>
      <c r="H529" t="str">
        <f>+_xlfn.XLOOKUP(F529,Sheet1!C:C,Sheet1!D:D,"N/A",0)</f>
        <v>834</v>
      </c>
    </row>
    <row r="530" spans="1:8" x14ac:dyDescent="0.25">
      <c r="A530" t="s">
        <v>726</v>
      </c>
      <c r="B530" t="s">
        <v>729</v>
      </c>
      <c r="C530" s="5">
        <v>2.7927538519602599E-2</v>
      </c>
      <c r="D530" s="3">
        <f t="shared" si="24"/>
        <v>28.597799444073061</v>
      </c>
      <c r="E530" s="3">
        <f t="shared" si="25"/>
        <v>1.9983359999999997</v>
      </c>
      <c r="F530" t="str">
        <f t="shared" si="26"/>
        <v>TZA</v>
      </c>
      <c r="G530" t="str">
        <f>+_xlfn.XLOOKUP(F530,Sheet1!C:C,Sheet1!B:B,"N/A",0)</f>
        <v>TZ</v>
      </c>
      <c r="H530" t="str">
        <f>+_xlfn.XLOOKUP(F530,Sheet1!C:C,Sheet1!D:D,"N/A",0)</f>
        <v>834</v>
      </c>
    </row>
    <row r="531" spans="1:8" x14ac:dyDescent="0.25">
      <c r="A531" t="s">
        <v>726</v>
      </c>
      <c r="B531" t="s">
        <v>730</v>
      </c>
      <c r="C531" s="5">
        <v>6.0058867909880721E-3</v>
      </c>
      <c r="D531" s="3">
        <f t="shared" si="24"/>
        <v>6.1500280739717859</v>
      </c>
      <c r="E531" s="3">
        <f t="shared" si="25"/>
        <v>1.9983359999999997</v>
      </c>
      <c r="F531" t="str">
        <f t="shared" si="26"/>
        <v>TZA</v>
      </c>
      <c r="G531" t="str">
        <f>+_xlfn.XLOOKUP(F531,Sheet1!C:C,Sheet1!B:B,"N/A",0)</f>
        <v>TZ</v>
      </c>
      <c r="H531" t="str">
        <f>+_xlfn.XLOOKUP(F531,Sheet1!C:C,Sheet1!D:D,"N/A",0)</f>
        <v>834</v>
      </c>
    </row>
    <row r="532" spans="1:8" x14ac:dyDescent="0.25">
      <c r="A532" t="s">
        <v>731</v>
      </c>
      <c r="B532" t="s">
        <v>732</v>
      </c>
      <c r="C532" s="5">
        <v>5.296457386227563E-4</v>
      </c>
      <c r="D532" s="3">
        <f t="shared" si="24"/>
        <v>0.54235723634970245</v>
      </c>
      <c r="E532" s="3">
        <f t="shared" si="25"/>
        <v>0.51637296191761228</v>
      </c>
      <c r="F532" t="str">
        <f t="shared" si="26"/>
        <v>THA</v>
      </c>
      <c r="G532" t="str">
        <f>+_xlfn.XLOOKUP(F532,Sheet1!C:C,Sheet1!B:B,"N/A",0)</f>
        <v>TH</v>
      </c>
      <c r="H532" t="str">
        <f>+_xlfn.XLOOKUP(F532,Sheet1!C:C,Sheet1!D:D,"N/A",0)</f>
        <v>764</v>
      </c>
    </row>
    <row r="533" spans="1:8" x14ac:dyDescent="0.25">
      <c r="A533" t="s">
        <v>731</v>
      </c>
      <c r="B533" t="s">
        <v>733</v>
      </c>
      <c r="C533" s="5">
        <v>5.949000000000002E-4</v>
      </c>
      <c r="D533" s="3">
        <f t="shared" si="24"/>
        <v>0.60917760000000021</v>
      </c>
      <c r="E533" s="3">
        <f t="shared" si="25"/>
        <v>0.51637296191761228</v>
      </c>
      <c r="F533" t="str">
        <f t="shared" si="26"/>
        <v>THA</v>
      </c>
      <c r="G533" t="str">
        <f>+_xlfn.XLOOKUP(F533,Sheet1!C:C,Sheet1!B:B,"N/A",0)</f>
        <v>TH</v>
      </c>
      <c r="H533" t="str">
        <f>+_xlfn.XLOOKUP(F533,Sheet1!C:C,Sheet1!D:D,"N/A",0)</f>
        <v>764</v>
      </c>
    </row>
    <row r="534" spans="1:8" x14ac:dyDescent="0.25">
      <c r="A534" t="s">
        <v>731</v>
      </c>
      <c r="B534" t="s">
        <v>734</v>
      </c>
      <c r="C534" s="5">
        <v>5.0427047062266825E-4</v>
      </c>
      <c r="D534" s="3">
        <f t="shared" si="24"/>
        <v>0.51637296191761228</v>
      </c>
      <c r="E534" s="3">
        <f t="shared" si="25"/>
        <v>0.51637296191761228</v>
      </c>
      <c r="F534" t="str">
        <f t="shared" si="26"/>
        <v>THA</v>
      </c>
      <c r="G534" t="str">
        <f>+_xlfn.XLOOKUP(F534,Sheet1!C:C,Sheet1!B:B,"N/A",0)</f>
        <v>TH</v>
      </c>
      <c r="H534" t="str">
        <f>+_xlfn.XLOOKUP(F534,Sheet1!C:C,Sheet1!D:D,"N/A",0)</f>
        <v>764</v>
      </c>
    </row>
    <row r="535" spans="1:8" x14ac:dyDescent="0.25">
      <c r="A535" t="s">
        <v>735</v>
      </c>
      <c r="B535" t="s">
        <v>736</v>
      </c>
      <c r="C535" s="5">
        <v>7.9999999999112673E-3</v>
      </c>
      <c r="D535" s="3">
        <f t="shared" si="24"/>
        <v>8.1919999999091377</v>
      </c>
      <c r="E535" s="3">
        <f t="shared" si="25"/>
        <v>2.0480033523478003</v>
      </c>
      <c r="F535" t="str">
        <f t="shared" si="26"/>
        <v>TGO</v>
      </c>
      <c r="G535" t="str">
        <f>+_xlfn.XLOOKUP(F535,Sheet1!C:C,Sheet1!B:B,"N/A",0)</f>
        <v>TG</v>
      </c>
      <c r="H535" t="str">
        <f>+_xlfn.XLOOKUP(F535,Sheet1!C:C,Sheet1!D:D,"N/A",0)</f>
        <v>768</v>
      </c>
    </row>
    <row r="536" spans="1:8" x14ac:dyDescent="0.25">
      <c r="A536" t="s">
        <v>735</v>
      </c>
      <c r="B536" t="s">
        <v>737</v>
      </c>
      <c r="C536" s="5">
        <v>2.0000032737771487E-3</v>
      </c>
      <c r="D536" s="3">
        <f t="shared" si="24"/>
        <v>2.0480033523478003</v>
      </c>
      <c r="E536" s="3">
        <f t="shared" si="25"/>
        <v>2.0480033523478003</v>
      </c>
      <c r="F536" t="str">
        <f t="shared" si="26"/>
        <v>TGO</v>
      </c>
      <c r="G536" t="str">
        <f>+_xlfn.XLOOKUP(F536,Sheet1!C:C,Sheet1!B:B,"N/A",0)</f>
        <v>TG</v>
      </c>
      <c r="H536" t="str">
        <f>+_xlfn.XLOOKUP(F536,Sheet1!C:C,Sheet1!D:D,"N/A",0)</f>
        <v>768</v>
      </c>
    </row>
    <row r="537" spans="1:8" x14ac:dyDescent="0.25">
      <c r="A537" t="s">
        <v>738</v>
      </c>
      <c r="B537" t="s">
        <v>739</v>
      </c>
      <c r="C537" s="5">
        <v>3.3938999882979566E-3</v>
      </c>
      <c r="D537" s="3">
        <f t="shared" si="24"/>
        <v>3.4753535880171076</v>
      </c>
      <c r="E537" s="3">
        <f t="shared" si="25"/>
        <v>3.4753535880171076</v>
      </c>
      <c r="F537" t="str">
        <f t="shared" si="26"/>
        <v>TON</v>
      </c>
      <c r="G537" t="str">
        <f>+_xlfn.XLOOKUP(F537,Sheet1!C:C,Sheet1!B:B,"N/A",0)</f>
        <v>TO</v>
      </c>
      <c r="H537" t="str">
        <f>+_xlfn.XLOOKUP(F537,Sheet1!C:C,Sheet1!D:D,"N/A",0)</f>
        <v>776</v>
      </c>
    </row>
    <row r="538" spans="1:8" x14ac:dyDescent="0.25">
      <c r="A538" t="s">
        <v>738</v>
      </c>
      <c r="B538" t="s">
        <v>740</v>
      </c>
      <c r="C538" s="5">
        <v>1.5081152149924226</v>
      </c>
      <c r="D538" s="3">
        <f t="shared" si="24"/>
        <v>1544.3099801522408</v>
      </c>
      <c r="E538" s="3">
        <f t="shared" si="25"/>
        <v>3.4753535880171076</v>
      </c>
      <c r="F538" t="str">
        <f t="shared" si="26"/>
        <v>TON</v>
      </c>
      <c r="G538" t="str">
        <f>+_xlfn.XLOOKUP(F538,Sheet1!C:C,Sheet1!B:B,"N/A",0)</f>
        <v>TO</v>
      </c>
      <c r="H538" t="str">
        <f>+_xlfn.XLOOKUP(F538,Sheet1!C:C,Sheet1!D:D,"N/A",0)</f>
        <v>776</v>
      </c>
    </row>
    <row r="539" spans="1:8" x14ac:dyDescent="0.25">
      <c r="A539" t="s">
        <v>741</v>
      </c>
      <c r="B539" t="s">
        <v>742</v>
      </c>
      <c r="C539" s="5">
        <v>1.3616749993105972E-3</v>
      </c>
      <c r="D539" s="3">
        <f t="shared" si="24"/>
        <v>1.3943551992940515</v>
      </c>
      <c r="E539" s="3">
        <f t="shared" si="25"/>
        <v>1.3943551992940515</v>
      </c>
      <c r="F539" t="str">
        <f t="shared" si="26"/>
        <v>TTO</v>
      </c>
      <c r="G539" t="str">
        <f>+_xlfn.XLOOKUP(F539,Sheet1!C:C,Sheet1!B:B,"N/A",0)</f>
        <v>TT</v>
      </c>
      <c r="H539" t="str">
        <f>+_xlfn.XLOOKUP(F539,Sheet1!C:C,Sheet1!D:D,"N/A",0)</f>
        <v>780</v>
      </c>
    </row>
    <row r="540" spans="1:8" x14ac:dyDescent="0.25">
      <c r="A540" t="s">
        <v>741</v>
      </c>
      <c r="B540" t="s">
        <v>743</v>
      </c>
      <c r="C540" s="5"/>
      <c r="D540" s="3">
        <f t="shared" si="24"/>
        <v>0</v>
      </c>
      <c r="E540" s="3">
        <f t="shared" si="25"/>
        <v>1.3943551992940515</v>
      </c>
      <c r="F540" t="str">
        <f t="shared" si="26"/>
        <v>TTO</v>
      </c>
      <c r="G540" t="str">
        <f>+_xlfn.XLOOKUP(F540,Sheet1!C:C,Sheet1!B:B,"N/A",0)</f>
        <v>TT</v>
      </c>
      <c r="H540" t="str">
        <f>+_xlfn.XLOOKUP(F540,Sheet1!C:C,Sheet1!D:D,"N/A",0)</f>
        <v>780</v>
      </c>
    </row>
    <row r="541" spans="1:8" x14ac:dyDescent="0.25">
      <c r="A541" t="s">
        <v>744</v>
      </c>
      <c r="B541" t="s">
        <v>745</v>
      </c>
      <c r="C541" s="5">
        <v>3.5534999999999998E-3</v>
      </c>
      <c r="D541" s="3">
        <f t="shared" si="24"/>
        <v>3.6387839999999998</v>
      </c>
      <c r="E541" s="3">
        <f t="shared" si="25"/>
        <v>1.536</v>
      </c>
      <c r="F541" t="str">
        <f t="shared" si="26"/>
        <v>TUN</v>
      </c>
      <c r="G541" t="str">
        <f>+_xlfn.XLOOKUP(F541,Sheet1!C:C,Sheet1!B:B,"N/A",0)</f>
        <v>TN</v>
      </c>
      <c r="H541" t="str">
        <f>+_xlfn.XLOOKUP(F541,Sheet1!C:C,Sheet1!D:D,"N/A",0)</f>
        <v>788</v>
      </c>
    </row>
    <row r="542" spans="1:8" x14ac:dyDescent="0.25">
      <c r="A542" t="s">
        <v>744</v>
      </c>
      <c r="B542" t="s">
        <v>746</v>
      </c>
      <c r="C542" s="5">
        <v>1.5E-3</v>
      </c>
      <c r="D542" s="3">
        <f t="shared" si="24"/>
        <v>1.536</v>
      </c>
      <c r="E542" s="3">
        <f t="shared" si="25"/>
        <v>1.536</v>
      </c>
      <c r="F542" t="str">
        <f t="shared" si="26"/>
        <v>TUN</v>
      </c>
      <c r="G542" t="str">
        <f>+_xlfn.XLOOKUP(F542,Sheet1!C:C,Sheet1!B:B,"N/A",0)</f>
        <v>TN</v>
      </c>
      <c r="H542" t="str">
        <f>+_xlfn.XLOOKUP(F542,Sheet1!C:C,Sheet1!D:D,"N/A",0)</f>
        <v>788</v>
      </c>
    </row>
    <row r="543" spans="1:8" x14ac:dyDescent="0.25">
      <c r="A543" t="s">
        <v>744</v>
      </c>
      <c r="B543" t="s">
        <v>747</v>
      </c>
      <c r="C543" s="5">
        <v>3.1508499849556607E-3</v>
      </c>
      <c r="D543" s="3">
        <f t="shared" si="24"/>
        <v>3.2264703845945966</v>
      </c>
      <c r="E543" s="3">
        <f t="shared" si="25"/>
        <v>1.536</v>
      </c>
      <c r="F543" t="str">
        <f t="shared" si="26"/>
        <v>TUN</v>
      </c>
      <c r="G543" t="str">
        <f>+_xlfn.XLOOKUP(F543,Sheet1!C:C,Sheet1!B:B,"N/A",0)</f>
        <v>TN</v>
      </c>
      <c r="H543" t="str">
        <f>+_xlfn.XLOOKUP(F543,Sheet1!C:C,Sheet1!D:D,"N/A",0)</f>
        <v>788</v>
      </c>
    </row>
    <row r="544" spans="1:8" x14ac:dyDescent="0.25">
      <c r="A544" t="s">
        <v>748</v>
      </c>
      <c r="B544" t="s">
        <v>749</v>
      </c>
      <c r="C544" s="5">
        <v>3.9599999999999992E-4</v>
      </c>
      <c r="D544" s="3">
        <f t="shared" si="24"/>
        <v>0.40550399999999992</v>
      </c>
      <c r="E544" s="3">
        <f t="shared" si="25"/>
        <v>0.40550399999999992</v>
      </c>
      <c r="F544" t="str">
        <f t="shared" si="26"/>
        <v>TUR</v>
      </c>
      <c r="G544" t="str">
        <f>+_xlfn.XLOOKUP(F544,Sheet1!C:C,Sheet1!B:B,"N/A",0)</f>
        <v>TR</v>
      </c>
      <c r="H544" t="str">
        <f>+_xlfn.XLOOKUP(F544,Sheet1!C:C,Sheet1!D:D,"N/A",0)</f>
        <v>792</v>
      </c>
    </row>
    <row r="545" spans="1:8" x14ac:dyDescent="0.25">
      <c r="A545" t="s">
        <v>748</v>
      </c>
      <c r="B545" t="s">
        <v>750</v>
      </c>
      <c r="C545" s="5">
        <v>5.8699999999999985E-4</v>
      </c>
      <c r="D545" s="3">
        <f t="shared" si="24"/>
        <v>0.60108799999999984</v>
      </c>
      <c r="E545" s="3">
        <f t="shared" si="25"/>
        <v>0.40550399999999992</v>
      </c>
      <c r="F545" t="str">
        <f t="shared" si="26"/>
        <v>TUR</v>
      </c>
      <c r="G545" t="str">
        <f>+_xlfn.XLOOKUP(F545,Sheet1!C:C,Sheet1!B:B,"N/A",0)</f>
        <v>TR</v>
      </c>
      <c r="H545" t="str">
        <f>+_xlfn.XLOOKUP(F545,Sheet1!C:C,Sheet1!D:D,"N/A",0)</f>
        <v>792</v>
      </c>
    </row>
    <row r="546" spans="1:8" x14ac:dyDescent="0.25">
      <c r="A546" t="s">
        <v>748</v>
      </c>
      <c r="B546" t="s">
        <v>751</v>
      </c>
      <c r="C546" s="5">
        <v>8.221284502501542E-4</v>
      </c>
      <c r="D546" s="3">
        <f t="shared" si="24"/>
        <v>0.8418595330561579</v>
      </c>
      <c r="E546" s="3">
        <f t="shared" si="25"/>
        <v>0.40550399999999992</v>
      </c>
      <c r="F546" t="str">
        <f t="shared" si="26"/>
        <v>TUR</v>
      </c>
      <c r="G546" t="str">
        <f>+_xlfn.XLOOKUP(F546,Sheet1!C:C,Sheet1!B:B,"N/A",0)</f>
        <v>TR</v>
      </c>
      <c r="H546" t="str">
        <f>+_xlfn.XLOOKUP(F546,Sheet1!C:C,Sheet1!D:D,"N/A",0)</f>
        <v>792</v>
      </c>
    </row>
    <row r="547" spans="1:8" x14ac:dyDescent="0.25">
      <c r="A547" t="s">
        <v>752</v>
      </c>
      <c r="B547" t="s">
        <v>753</v>
      </c>
      <c r="C547" s="5">
        <v>5.8699999999999996E-4</v>
      </c>
      <c r="D547" s="3">
        <f t="shared" si="24"/>
        <v>0.60108799999999996</v>
      </c>
      <c r="E547" s="3">
        <f t="shared" si="25"/>
        <v>0.60108799999999996</v>
      </c>
      <c r="F547" t="str">
        <f t="shared" si="26"/>
        <v>TUR</v>
      </c>
      <c r="G547" t="str">
        <f>+_xlfn.XLOOKUP(F547,Sheet1!C:C,Sheet1!B:B,"N/A",0)</f>
        <v>TR</v>
      </c>
      <c r="H547" t="str">
        <f>+_xlfn.XLOOKUP(F547,Sheet1!C:C,Sheet1!D:D,"N/A",0)</f>
        <v>792</v>
      </c>
    </row>
    <row r="548" spans="1:8" x14ac:dyDescent="0.25">
      <c r="A548" t="s">
        <v>754</v>
      </c>
      <c r="B548" t="s">
        <v>755</v>
      </c>
      <c r="C548" s="5">
        <v>6.2645919072850997</v>
      </c>
      <c r="D548" s="3">
        <f t="shared" si="24"/>
        <v>6414.9421130599421</v>
      </c>
      <c r="E548" s="3">
        <f t="shared" si="25"/>
        <v>6414.9421130599421</v>
      </c>
      <c r="F548" t="str">
        <f t="shared" si="26"/>
        <v>TKM</v>
      </c>
      <c r="G548" t="str">
        <f>+_xlfn.XLOOKUP(F548,Sheet1!C:C,Sheet1!B:B,"N/A",0)</f>
        <v>TM</v>
      </c>
      <c r="H548" t="str">
        <f>+_xlfn.XLOOKUP(F548,Sheet1!C:C,Sheet1!D:D,"N/A",0)</f>
        <v>795</v>
      </c>
    </row>
    <row r="549" spans="1:8" x14ac:dyDescent="0.25">
      <c r="A549" t="s">
        <v>756</v>
      </c>
      <c r="B549" t="s">
        <v>757</v>
      </c>
      <c r="C549" s="5">
        <v>8.4850000000000008E-4</v>
      </c>
      <c r="D549" s="3">
        <f t="shared" si="24"/>
        <v>0.86886400000000008</v>
      </c>
      <c r="E549" s="3">
        <f t="shared" si="25"/>
        <v>0.86886400000000008</v>
      </c>
      <c r="F549" t="str">
        <f t="shared" si="26"/>
        <v>TCA</v>
      </c>
      <c r="G549" t="str">
        <f>+_xlfn.XLOOKUP(F549,Sheet1!C:C,Sheet1!B:B,"N/A",0)</f>
        <v>TC</v>
      </c>
      <c r="H549" t="str">
        <f>+_xlfn.XLOOKUP(F549,Sheet1!C:C,Sheet1!D:D,"N/A",0)</f>
        <v>796</v>
      </c>
    </row>
    <row r="550" spans="1:8" x14ac:dyDescent="0.25">
      <c r="A550" t="s">
        <v>756</v>
      </c>
      <c r="B550" t="s">
        <v>758</v>
      </c>
      <c r="C550" s="5">
        <v>2.5453999915239006E-3</v>
      </c>
      <c r="D550" s="3">
        <f t="shared" si="24"/>
        <v>2.6064895913204742</v>
      </c>
      <c r="E550" s="3">
        <f t="shared" si="25"/>
        <v>0.86886400000000008</v>
      </c>
      <c r="F550" t="str">
        <f t="shared" si="26"/>
        <v>TCA</v>
      </c>
      <c r="G550" t="str">
        <f>+_xlfn.XLOOKUP(F550,Sheet1!C:C,Sheet1!B:B,"N/A",0)</f>
        <v>TC</v>
      </c>
      <c r="H550" t="str">
        <f>+_xlfn.XLOOKUP(F550,Sheet1!C:C,Sheet1!D:D,"N/A",0)</f>
        <v>796</v>
      </c>
    </row>
    <row r="551" spans="1:8" x14ac:dyDescent="0.25">
      <c r="A551" t="s">
        <v>759</v>
      </c>
      <c r="B551" t="s">
        <v>760</v>
      </c>
      <c r="C551" s="5">
        <v>9.2635193809323304E-3</v>
      </c>
      <c r="D551" s="3">
        <f t="shared" si="24"/>
        <v>9.4858438460747063</v>
      </c>
      <c r="E551" s="3">
        <f t="shared" si="25"/>
        <v>1.8656256</v>
      </c>
      <c r="F551" t="str">
        <f t="shared" si="26"/>
        <v>ARE</v>
      </c>
      <c r="G551" t="str">
        <f>+_xlfn.XLOOKUP(F551,Sheet1!C:C,Sheet1!B:B,"N/A",0)</f>
        <v>AE</v>
      </c>
      <c r="H551" t="str">
        <f>+_xlfn.XLOOKUP(F551,Sheet1!C:C,Sheet1!D:D,"N/A",0)</f>
        <v>784</v>
      </c>
    </row>
    <row r="552" spans="1:8" x14ac:dyDescent="0.25">
      <c r="A552" t="s">
        <v>759</v>
      </c>
      <c r="B552" t="s">
        <v>761</v>
      </c>
      <c r="C552" s="5">
        <v>1.8219E-3</v>
      </c>
      <c r="D552" s="3">
        <f t="shared" si="24"/>
        <v>1.8656256</v>
      </c>
      <c r="E552" s="3">
        <f t="shared" si="25"/>
        <v>1.8656256</v>
      </c>
      <c r="F552" t="str">
        <f t="shared" si="26"/>
        <v>ARE</v>
      </c>
      <c r="G552" t="str">
        <f>+_xlfn.XLOOKUP(F552,Sheet1!C:C,Sheet1!B:B,"N/A",0)</f>
        <v>AE</v>
      </c>
      <c r="H552" t="str">
        <f>+_xlfn.XLOOKUP(F552,Sheet1!C:C,Sheet1!D:D,"N/A",0)</f>
        <v>784</v>
      </c>
    </row>
    <row r="553" spans="1:8" x14ac:dyDescent="0.25">
      <c r="A553" t="s">
        <v>762</v>
      </c>
      <c r="B553" t="s">
        <v>763</v>
      </c>
      <c r="C553" s="5">
        <v>4.2349999999999999E-4</v>
      </c>
      <c r="D553" s="3">
        <f t="shared" si="24"/>
        <v>0.43366399999999999</v>
      </c>
      <c r="E553" s="3">
        <f t="shared" si="25"/>
        <v>0.43366399999999999</v>
      </c>
      <c r="F553" t="str">
        <f t="shared" si="26"/>
        <v>GBR</v>
      </c>
      <c r="G553" t="str">
        <f>+_xlfn.XLOOKUP(F553,Sheet1!C:C,Sheet1!B:B,"N/A",0)</f>
        <v>GB</v>
      </c>
      <c r="H553" t="str">
        <f>+_xlfn.XLOOKUP(F553,Sheet1!C:C,Sheet1!D:D,"N/A",0)</f>
        <v>826</v>
      </c>
    </row>
    <row r="554" spans="1:8" x14ac:dyDescent="0.25">
      <c r="A554" t="s">
        <v>762</v>
      </c>
      <c r="B554" t="s">
        <v>764</v>
      </c>
      <c r="C554" s="5">
        <v>6.2290000000000002E-4</v>
      </c>
      <c r="D554" s="3">
        <f t="shared" si="24"/>
        <v>0.63784960000000002</v>
      </c>
      <c r="E554" s="3">
        <f t="shared" si="25"/>
        <v>0.43366399999999999</v>
      </c>
      <c r="F554" t="str">
        <f t="shared" si="26"/>
        <v>GBR</v>
      </c>
      <c r="G554" t="str">
        <f>+_xlfn.XLOOKUP(F554,Sheet1!C:C,Sheet1!B:B,"N/A",0)</f>
        <v>GB</v>
      </c>
      <c r="H554" t="str">
        <f>+_xlfn.XLOOKUP(F554,Sheet1!C:C,Sheet1!D:D,"N/A",0)</f>
        <v>826</v>
      </c>
    </row>
    <row r="555" spans="1:8" x14ac:dyDescent="0.25">
      <c r="A555" t="s">
        <v>762</v>
      </c>
      <c r="B555" t="s">
        <v>765</v>
      </c>
      <c r="C555" s="5">
        <v>6.7139999999999995E-4</v>
      </c>
      <c r="D555" s="3">
        <f t="shared" si="24"/>
        <v>0.68751359999999995</v>
      </c>
      <c r="E555" s="3">
        <f t="shared" si="25"/>
        <v>0.43366399999999999</v>
      </c>
      <c r="F555" t="str">
        <f t="shared" si="26"/>
        <v>GBR</v>
      </c>
      <c r="G555" t="str">
        <f>+_xlfn.XLOOKUP(F555,Sheet1!C:C,Sheet1!B:B,"N/A",0)</f>
        <v>GB</v>
      </c>
      <c r="H555" t="str">
        <f>+_xlfn.XLOOKUP(F555,Sheet1!C:C,Sheet1!D:D,"N/A",0)</f>
        <v>826</v>
      </c>
    </row>
    <row r="556" spans="1:8" x14ac:dyDescent="0.25">
      <c r="A556" t="s">
        <v>762</v>
      </c>
      <c r="B556" t="s">
        <v>766</v>
      </c>
      <c r="C556" s="5">
        <v>7.2000000000000015E-4</v>
      </c>
      <c r="D556" s="3">
        <f t="shared" si="24"/>
        <v>0.73728000000000016</v>
      </c>
      <c r="E556" s="3">
        <f t="shared" si="25"/>
        <v>0.43366399999999999</v>
      </c>
      <c r="F556" t="str">
        <f t="shared" si="26"/>
        <v>GBR</v>
      </c>
      <c r="G556" t="str">
        <f>+_xlfn.XLOOKUP(F556,Sheet1!C:C,Sheet1!B:B,"N/A",0)</f>
        <v>GB</v>
      </c>
      <c r="H556" t="str">
        <f>+_xlfn.XLOOKUP(F556,Sheet1!C:C,Sheet1!D:D,"N/A",0)</f>
        <v>826</v>
      </c>
    </row>
    <row r="557" spans="1:8" x14ac:dyDescent="0.25">
      <c r="A557" t="s">
        <v>767</v>
      </c>
      <c r="B557" t="s">
        <v>768</v>
      </c>
      <c r="C557" s="5">
        <v>2.545399996313813E-3</v>
      </c>
      <c r="D557" s="3">
        <f t="shared" si="24"/>
        <v>2.6064895962253445</v>
      </c>
      <c r="E557" s="3">
        <f t="shared" si="25"/>
        <v>0.29473108690814298</v>
      </c>
      <c r="F557" t="str">
        <f t="shared" si="26"/>
        <v>USA</v>
      </c>
      <c r="G557" t="str">
        <f>+_xlfn.XLOOKUP(F557,Sheet1!C:C,Sheet1!B:B,"N/A",0)</f>
        <v>US</v>
      </c>
      <c r="H557" t="str">
        <f>+_xlfn.XLOOKUP(F557,Sheet1!C:C,Sheet1!D:D,"N/A",0)</f>
        <v>840</v>
      </c>
    </row>
    <row r="558" spans="1:8" x14ac:dyDescent="0.25">
      <c r="A558" t="s">
        <v>767</v>
      </c>
      <c r="B558" t="s">
        <v>769</v>
      </c>
      <c r="C558" s="5">
        <v>1.0605999999999999E-3</v>
      </c>
      <c r="D558" s="3">
        <f t="shared" si="24"/>
        <v>1.0860543999999999</v>
      </c>
      <c r="E558" s="3">
        <f t="shared" si="25"/>
        <v>0.29473108690814298</v>
      </c>
      <c r="F558" t="str">
        <f t="shared" si="26"/>
        <v>USA</v>
      </c>
      <c r="G558" t="str">
        <f>+_xlfn.XLOOKUP(F558,Sheet1!C:C,Sheet1!B:B,"N/A",0)</f>
        <v>US</v>
      </c>
      <c r="H558" t="str">
        <f>+_xlfn.XLOOKUP(F558,Sheet1!C:C,Sheet1!D:D,"N/A",0)</f>
        <v>840</v>
      </c>
    </row>
    <row r="559" spans="1:8" x14ac:dyDescent="0.25">
      <c r="A559" t="s">
        <v>767</v>
      </c>
      <c r="B559" t="s">
        <v>770</v>
      </c>
      <c r="C559" s="5">
        <v>8.6516552646784088E-3</v>
      </c>
      <c r="D559" s="3">
        <f t="shared" si="24"/>
        <v>8.8592949910306906</v>
      </c>
      <c r="E559" s="3">
        <f t="shared" si="25"/>
        <v>0.29473108690814298</v>
      </c>
      <c r="F559" t="str">
        <f t="shared" si="26"/>
        <v>USA</v>
      </c>
      <c r="G559" t="str">
        <f>+_xlfn.XLOOKUP(F559,Sheet1!C:C,Sheet1!B:B,"N/A",0)</f>
        <v>US</v>
      </c>
      <c r="H559" t="str">
        <f>+_xlfn.XLOOKUP(F559,Sheet1!C:C,Sheet1!D:D,"N/A",0)</f>
        <v>840</v>
      </c>
    </row>
    <row r="560" spans="1:8" x14ac:dyDescent="0.25">
      <c r="A560" t="s">
        <v>767</v>
      </c>
      <c r="B560" t="s">
        <v>771</v>
      </c>
      <c r="C560" s="5">
        <v>2.8782332705873338E-4</v>
      </c>
      <c r="D560" s="3">
        <f t="shared" si="24"/>
        <v>0.29473108690814298</v>
      </c>
      <c r="E560" s="3">
        <f t="shared" si="25"/>
        <v>0.29473108690814298</v>
      </c>
      <c r="F560" t="str">
        <f t="shared" si="26"/>
        <v>USA</v>
      </c>
      <c r="G560" t="str">
        <f>+_xlfn.XLOOKUP(F560,Sheet1!C:C,Sheet1!B:B,"N/A",0)</f>
        <v>US</v>
      </c>
      <c r="H560" t="str">
        <f>+_xlfn.XLOOKUP(F560,Sheet1!C:C,Sheet1!D:D,"N/A",0)</f>
        <v>840</v>
      </c>
    </row>
    <row r="561" spans="1:8" x14ac:dyDescent="0.25">
      <c r="A561" t="s">
        <v>767</v>
      </c>
      <c r="B561" t="s">
        <v>772</v>
      </c>
      <c r="C561" s="5">
        <v>0</v>
      </c>
      <c r="D561" s="3">
        <f t="shared" si="24"/>
        <v>0</v>
      </c>
      <c r="E561" s="3">
        <f t="shared" si="25"/>
        <v>0.29473108690814298</v>
      </c>
      <c r="F561" t="str">
        <f t="shared" si="26"/>
        <v>USA</v>
      </c>
      <c r="G561" t="str">
        <f>+_xlfn.XLOOKUP(F561,Sheet1!C:C,Sheet1!B:B,"N/A",0)</f>
        <v>US</v>
      </c>
      <c r="H561" t="str">
        <f>+_xlfn.XLOOKUP(F561,Sheet1!C:C,Sheet1!D:D,"N/A",0)</f>
        <v>840</v>
      </c>
    </row>
    <row r="562" spans="1:8" x14ac:dyDescent="0.25">
      <c r="A562" t="s">
        <v>767</v>
      </c>
      <c r="B562" t="s">
        <v>773</v>
      </c>
      <c r="C562" s="5">
        <v>8.4846000014863615E-3</v>
      </c>
      <c r="D562" s="3">
        <f t="shared" si="24"/>
        <v>8.6882304015220342</v>
      </c>
      <c r="E562" s="3">
        <f t="shared" si="25"/>
        <v>0.29473108690814298</v>
      </c>
      <c r="F562" t="str">
        <f t="shared" si="26"/>
        <v>USA</v>
      </c>
      <c r="G562" t="str">
        <f>+_xlfn.XLOOKUP(F562,Sheet1!C:C,Sheet1!B:B,"N/A",0)</f>
        <v>US</v>
      </c>
      <c r="H562" t="str">
        <f>+_xlfn.XLOOKUP(F562,Sheet1!C:C,Sheet1!D:D,"N/A",0)</f>
        <v>840</v>
      </c>
    </row>
    <row r="563" spans="1:8" x14ac:dyDescent="0.25">
      <c r="A563" t="s">
        <v>767</v>
      </c>
      <c r="B563" t="s">
        <v>774</v>
      </c>
      <c r="C563" s="5"/>
      <c r="D563" s="3">
        <f t="shared" si="24"/>
        <v>0</v>
      </c>
      <c r="E563" s="3">
        <f t="shared" si="25"/>
        <v>0.29473108690814298</v>
      </c>
      <c r="F563" t="str">
        <f t="shared" si="26"/>
        <v>USA</v>
      </c>
      <c r="G563" t="str">
        <f>+_xlfn.XLOOKUP(F563,Sheet1!C:C,Sheet1!B:B,"N/A",0)</f>
        <v>US</v>
      </c>
      <c r="H563" t="str">
        <f>+_xlfn.XLOOKUP(F563,Sheet1!C:C,Sheet1!D:D,"N/A",0)</f>
        <v>840</v>
      </c>
    </row>
    <row r="564" spans="1:8" x14ac:dyDescent="0.25">
      <c r="A564" t="s">
        <v>767</v>
      </c>
      <c r="B564" t="s">
        <v>775</v>
      </c>
      <c r="C564" s="5">
        <v>4.1000000002627537E-3</v>
      </c>
      <c r="D564" s="3">
        <f t="shared" si="24"/>
        <v>4.1984000002690598</v>
      </c>
      <c r="E564" s="3">
        <f t="shared" si="25"/>
        <v>0.29473108690814298</v>
      </c>
      <c r="F564" t="str">
        <f t="shared" si="26"/>
        <v>USA</v>
      </c>
      <c r="G564" t="str">
        <f>+_xlfn.XLOOKUP(F564,Sheet1!C:C,Sheet1!B:B,"N/A",0)</f>
        <v>US</v>
      </c>
      <c r="H564" t="str">
        <f>+_xlfn.XLOOKUP(F564,Sheet1!C:C,Sheet1!D:D,"N/A",0)</f>
        <v>840</v>
      </c>
    </row>
    <row r="565" spans="1:8" x14ac:dyDescent="0.25">
      <c r="A565" t="s">
        <v>767</v>
      </c>
      <c r="B565" t="s">
        <v>776</v>
      </c>
      <c r="C565" s="5">
        <v>2.1109000000000002E-3</v>
      </c>
      <c r="D565" s="3">
        <f t="shared" si="24"/>
        <v>2.1615616000000002</v>
      </c>
      <c r="E565" s="3">
        <f t="shared" si="25"/>
        <v>0.29473108690814298</v>
      </c>
      <c r="F565" t="str">
        <f t="shared" si="26"/>
        <v>USA</v>
      </c>
      <c r="G565" t="str">
        <f>+_xlfn.XLOOKUP(F565,Sheet1!C:C,Sheet1!B:B,"N/A",0)</f>
        <v>US</v>
      </c>
      <c r="H565" t="str">
        <f>+_xlfn.XLOOKUP(F565,Sheet1!C:C,Sheet1!D:D,"N/A",0)</f>
        <v>840</v>
      </c>
    </row>
    <row r="566" spans="1:8" x14ac:dyDescent="0.25">
      <c r="A566" t="s">
        <v>767</v>
      </c>
      <c r="B566" t="s">
        <v>777</v>
      </c>
      <c r="C566" s="5">
        <v>2.5453999998672791E-3</v>
      </c>
      <c r="D566" s="3">
        <f t="shared" si="24"/>
        <v>2.6064895998640938</v>
      </c>
      <c r="E566" s="3">
        <f t="shared" si="25"/>
        <v>0.29473108690814298</v>
      </c>
      <c r="F566" t="str">
        <f t="shared" si="26"/>
        <v>USA</v>
      </c>
      <c r="G566" t="str">
        <f>+_xlfn.XLOOKUP(F566,Sheet1!C:C,Sheet1!B:B,"N/A",0)</f>
        <v>US</v>
      </c>
      <c r="H566" t="str">
        <f>+_xlfn.XLOOKUP(F566,Sheet1!C:C,Sheet1!D:D,"N/A",0)</f>
        <v>840</v>
      </c>
    </row>
    <row r="567" spans="1:8" x14ac:dyDescent="0.25">
      <c r="A567" t="s">
        <v>778</v>
      </c>
      <c r="B567" t="s">
        <v>779</v>
      </c>
      <c r="C567" s="5">
        <v>1.9515000000000001E-3</v>
      </c>
      <c r="D567" s="3">
        <f t="shared" si="24"/>
        <v>1.9983360000000001</v>
      </c>
      <c r="E567" s="3">
        <f t="shared" si="25"/>
        <v>1.9081275329194289</v>
      </c>
      <c r="F567" t="str">
        <f t="shared" si="26"/>
        <v>UGA</v>
      </c>
      <c r="G567" t="str">
        <f>+_xlfn.XLOOKUP(F567,Sheet1!C:C,Sheet1!B:B,"N/A",0)</f>
        <v>UG</v>
      </c>
      <c r="H567" t="str">
        <f>+_xlfn.XLOOKUP(F567,Sheet1!C:C,Sheet1!D:D,"N/A",0)</f>
        <v>800</v>
      </c>
    </row>
    <row r="568" spans="1:8" x14ac:dyDescent="0.25">
      <c r="A568" t="s">
        <v>778</v>
      </c>
      <c r="B568" t="s">
        <v>780</v>
      </c>
      <c r="C568" s="5">
        <v>1.8634057938666298E-3</v>
      </c>
      <c r="D568" s="3">
        <f t="shared" si="24"/>
        <v>1.9081275329194289</v>
      </c>
      <c r="E568" s="3">
        <f t="shared" si="25"/>
        <v>1.9081275329194289</v>
      </c>
      <c r="F568" t="str">
        <f t="shared" si="26"/>
        <v>UGA</v>
      </c>
      <c r="G568" t="str">
        <f>+_xlfn.XLOOKUP(F568,Sheet1!C:C,Sheet1!B:B,"N/A",0)</f>
        <v>UG</v>
      </c>
      <c r="H568" t="str">
        <f>+_xlfn.XLOOKUP(F568,Sheet1!C:C,Sheet1!D:D,"N/A",0)</f>
        <v>800</v>
      </c>
    </row>
    <row r="569" spans="1:8" x14ac:dyDescent="0.25">
      <c r="A569" t="s">
        <v>778</v>
      </c>
      <c r="B569" t="s">
        <v>781</v>
      </c>
      <c r="C569" s="5"/>
      <c r="D569" s="3">
        <f t="shared" si="24"/>
        <v>0</v>
      </c>
      <c r="E569" s="3">
        <f t="shared" si="25"/>
        <v>1.9081275329194289</v>
      </c>
      <c r="F569" t="str">
        <f t="shared" si="26"/>
        <v>UGA</v>
      </c>
      <c r="G569" t="str">
        <f>+_xlfn.XLOOKUP(F569,Sheet1!C:C,Sheet1!B:B,"N/A",0)</f>
        <v>UG</v>
      </c>
      <c r="H569" t="str">
        <f>+_xlfn.XLOOKUP(F569,Sheet1!C:C,Sheet1!D:D,"N/A",0)</f>
        <v>800</v>
      </c>
    </row>
    <row r="570" spans="1:8" x14ac:dyDescent="0.25">
      <c r="A570" t="s">
        <v>782</v>
      </c>
      <c r="B570" t="s">
        <v>783</v>
      </c>
      <c r="C570" s="5">
        <v>5.2012796001113656E-4</v>
      </c>
      <c r="D570" s="3">
        <f t="shared" si="24"/>
        <v>0.53261103105140384</v>
      </c>
      <c r="E570" s="3">
        <f t="shared" si="25"/>
        <v>0.26220956710811733</v>
      </c>
      <c r="F570" t="str">
        <f t="shared" si="26"/>
        <v>UKR</v>
      </c>
      <c r="G570" t="str">
        <f>+_xlfn.XLOOKUP(F570,Sheet1!C:C,Sheet1!B:B,"N/A",0)</f>
        <v>UA</v>
      </c>
      <c r="H570" t="str">
        <f>+_xlfn.XLOOKUP(F570,Sheet1!C:C,Sheet1!D:D,"N/A",0)</f>
        <v>804</v>
      </c>
    </row>
    <row r="571" spans="1:8" x14ac:dyDescent="0.25">
      <c r="A571" t="s">
        <v>782</v>
      </c>
      <c r="B571" t="s">
        <v>784</v>
      </c>
      <c r="C571" s="5">
        <v>2.5606403037902083E-4</v>
      </c>
      <c r="D571" s="3">
        <f t="shared" si="24"/>
        <v>0.26220956710811733</v>
      </c>
      <c r="E571" s="3">
        <f t="shared" si="25"/>
        <v>0.26220956710811733</v>
      </c>
      <c r="F571" t="str">
        <f t="shared" si="26"/>
        <v>UKR</v>
      </c>
      <c r="G571" t="str">
        <f>+_xlfn.XLOOKUP(F571,Sheet1!C:C,Sheet1!B:B,"N/A",0)</f>
        <v>UA</v>
      </c>
      <c r="H571" t="str">
        <f>+_xlfn.XLOOKUP(F571,Sheet1!C:C,Sheet1!D:D,"N/A",0)</f>
        <v>804</v>
      </c>
    </row>
    <row r="572" spans="1:8" x14ac:dyDescent="0.25">
      <c r="A572" t="s">
        <v>782</v>
      </c>
      <c r="B572" t="s">
        <v>785</v>
      </c>
      <c r="C572" s="5">
        <v>6.9169999999999974E-4</v>
      </c>
      <c r="D572" s="3">
        <f t="shared" si="24"/>
        <v>0.70830079999999973</v>
      </c>
      <c r="E572" s="3">
        <f t="shared" si="25"/>
        <v>0.26220956710811733</v>
      </c>
      <c r="F572" t="str">
        <f t="shared" si="26"/>
        <v>UKR</v>
      </c>
      <c r="G572" t="str">
        <f>+_xlfn.XLOOKUP(F572,Sheet1!C:C,Sheet1!B:B,"N/A",0)</f>
        <v>UA</v>
      </c>
      <c r="H572" t="str">
        <f>+_xlfn.XLOOKUP(F572,Sheet1!C:C,Sheet1!D:D,"N/A",0)</f>
        <v>804</v>
      </c>
    </row>
    <row r="573" spans="1:8" x14ac:dyDescent="0.25">
      <c r="A573" t="s">
        <v>786</v>
      </c>
      <c r="B573" t="s">
        <v>787</v>
      </c>
      <c r="C573" s="5">
        <v>9.1624088931359382E-4</v>
      </c>
      <c r="D573" s="3">
        <f t="shared" si="24"/>
        <v>0.93823067065712007</v>
      </c>
      <c r="E573" s="3">
        <f t="shared" si="25"/>
        <v>0.93823067065712007</v>
      </c>
      <c r="F573" t="str">
        <f t="shared" si="26"/>
        <v>URY</v>
      </c>
      <c r="G573" t="str">
        <f>+_xlfn.XLOOKUP(F573,Sheet1!C:C,Sheet1!B:B,"N/A",0)</f>
        <v>UY</v>
      </c>
      <c r="H573" t="str">
        <f>+_xlfn.XLOOKUP(F573,Sheet1!C:C,Sheet1!D:D,"N/A",0)</f>
        <v>858</v>
      </c>
    </row>
    <row r="574" spans="1:8" x14ac:dyDescent="0.25">
      <c r="A574" t="s">
        <v>786</v>
      </c>
      <c r="B574" t="s">
        <v>788</v>
      </c>
      <c r="C574" s="5">
        <v>1.7094655702554551E-3</v>
      </c>
      <c r="D574" s="3">
        <f t="shared" si="24"/>
        <v>1.750492743941586</v>
      </c>
      <c r="E574" s="3">
        <f t="shared" si="25"/>
        <v>0.93823067065712007</v>
      </c>
      <c r="F574" t="str">
        <f t="shared" si="26"/>
        <v>URY</v>
      </c>
      <c r="G574" t="str">
        <f>+_xlfn.XLOOKUP(F574,Sheet1!C:C,Sheet1!B:B,"N/A",0)</f>
        <v>UY</v>
      </c>
      <c r="H574" t="str">
        <f>+_xlfn.XLOOKUP(F574,Sheet1!C:C,Sheet1!D:D,"N/A",0)</f>
        <v>858</v>
      </c>
    </row>
    <row r="575" spans="1:8" x14ac:dyDescent="0.25">
      <c r="A575" t="s">
        <v>786</v>
      </c>
      <c r="B575" t="s">
        <v>789</v>
      </c>
      <c r="C575" s="5">
        <v>1.0293010990491366E-3</v>
      </c>
      <c r="D575" s="3">
        <f t="shared" si="24"/>
        <v>1.0540043254263158</v>
      </c>
      <c r="E575" s="3">
        <f t="shared" si="25"/>
        <v>0.93823067065712007</v>
      </c>
      <c r="F575" t="str">
        <f t="shared" si="26"/>
        <v>URY</v>
      </c>
      <c r="G575" t="str">
        <f>+_xlfn.XLOOKUP(F575,Sheet1!C:C,Sheet1!B:B,"N/A",0)</f>
        <v>UY</v>
      </c>
      <c r="H575" t="str">
        <f>+_xlfn.XLOOKUP(F575,Sheet1!C:C,Sheet1!D:D,"N/A",0)</f>
        <v>858</v>
      </c>
    </row>
    <row r="576" spans="1:8" x14ac:dyDescent="0.25">
      <c r="A576" t="s">
        <v>790</v>
      </c>
      <c r="B576" t="s">
        <v>791</v>
      </c>
      <c r="C576" s="5">
        <v>2.3719746232896375</v>
      </c>
      <c r="D576" s="3">
        <f t="shared" si="24"/>
        <v>2428.9020142485888</v>
      </c>
      <c r="E576" s="3">
        <f t="shared" si="25"/>
        <v>0.82287408794703409</v>
      </c>
      <c r="F576" t="str">
        <f t="shared" si="26"/>
        <v>UZB</v>
      </c>
      <c r="G576" t="str">
        <f>+_xlfn.XLOOKUP(F576,Sheet1!C:C,Sheet1!B:B,"N/A",0)</f>
        <v>UZ</v>
      </c>
      <c r="H576" t="str">
        <f>+_xlfn.XLOOKUP(F576,Sheet1!C:C,Sheet1!D:D,"N/A",0)</f>
        <v>860</v>
      </c>
    </row>
    <row r="577" spans="1:8" x14ac:dyDescent="0.25">
      <c r="A577" t="s">
        <v>790</v>
      </c>
      <c r="B577" t="s">
        <v>792</v>
      </c>
      <c r="C577" s="5">
        <v>2.4221287949243394E-3</v>
      </c>
      <c r="D577" s="3">
        <f t="shared" si="24"/>
        <v>2.4802598860025236</v>
      </c>
      <c r="E577" s="3">
        <f t="shared" si="25"/>
        <v>0.82287408794703409</v>
      </c>
      <c r="F577" t="str">
        <f t="shared" si="26"/>
        <v>UZB</v>
      </c>
      <c r="G577" t="str">
        <f>+_xlfn.XLOOKUP(F577,Sheet1!C:C,Sheet1!B:B,"N/A",0)</f>
        <v>UZ</v>
      </c>
      <c r="H577" t="str">
        <f>+_xlfn.XLOOKUP(F577,Sheet1!C:C,Sheet1!D:D,"N/A",0)</f>
        <v>860</v>
      </c>
    </row>
    <row r="578" spans="1:8" x14ac:dyDescent="0.25">
      <c r="A578" t="s">
        <v>790</v>
      </c>
      <c r="B578" t="s">
        <v>793</v>
      </c>
      <c r="C578" s="5">
        <v>8.0358797651077548E-4</v>
      </c>
      <c r="D578" s="3">
        <f t="shared" si="24"/>
        <v>0.82287408794703409</v>
      </c>
      <c r="E578" s="3">
        <f t="shared" si="25"/>
        <v>0.82287408794703409</v>
      </c>
      <c r="F578" t="str">
        <f t="shared" si="26"/>
        <v>UZB</v>
      </c>
      <c r="G578" t="str">
        <f>+_xlfn.XLOOKUP(F578,Sheet1!C:C,Sheet1!B:B,"N/A",0)</f>
        <v>UZ</v>
      </c>
      <c r="H578" t="str">
        <f>+_xlfn.XLOOKUP(F578,Sheet1!C:C,Sheet1!D:D,"N/A",0)</f>
        <v>860</v>
      </c>
    </row>
    <row r="579" spans="1:8" x14ac:dyDescent="0.25">
      <c r="A579" t="s">
        <v>790</v>
      </c>
      <c r="B579" t="s">
        <v>794</v>
      </c>
      <c r="C579" s="5">
        <v>1.3863087728031926E-2</v>
      </c>
      <c r="D579" s="3">
        <f t="shared" ref="D579:D595" si="27">C579*1024</f>
        <v>14.195801833504692</v>
      </c>
      <c r="E579" s="3">
        <f t="shared" ref="E579:E595" si="28">_xlfn.MINIFS(D:D,A:A,A579,D:D,"&lt;&gt;0")</f>
        <v>0.82287408794703409</v>
      </c>
      <c r="F579" t="str">
        <f t="shared" ref="F579:F595" si="29">_xlfn.TEXTBEFORE(_xlfn.TEXTAFTER(B579,"("),")")</f>
        <v>UZB</v>
      </c>
      <c r="G579" t="str">
        <f>+_xlfn.XLOOKUP(F579,Sheet1!C:C,Sheet1!B:B,"N/A",0)</f>
        <v>UZ</v>
      </c>
      <c r="H579" t="str">
        <f>+_xlfn.XLOOKUP(F579,Sheet1!C:C,Sheet1!D:D,"N/A",0)</f>
        <v>860</v>
      </c>
    </row>
    <row r="580" spans="1:8" x14ac:dyDescent="0.25">
      <c r="A580" t="s">
        <v>795</v>
      </c>
      <c r="B580" t="s">
        <v>796</v>
      </c>
      <c r="C580" s="5">
        <v>3.3939040434984658E-3</v>
      </c>
      <c r="D580" s="3">
        <f t="shared" si="27"/>
        <v>3.475357740542429</v>
      </c>
      <c r="E580" s="3">
        <f t="shared" si="28"/>
        <v>3.475357740542429</v>
      </c>
      <c r="F580" t="str">
        <f t="shared" si="29"/>
        <v>VUT</v>
      </c>
      <c r="G580" t="str">
        <f>+_xlfn.XLOOKUP(F580,Sheet1!C:C,Sheet1!B:B,"N/A",0)</f>
        <v>VU</v>
      </c>
      <c r="H580" t="str">
        <f>+_xlfn.XLOOKUP(F580,Sheet1!C:C,Sheet1!D:D,"N/A",0)</f>
        <v>548</v>
      </c>
    </row>
    <row r="581" spans="1:8" x14ac:dyDescent="0.25">
      <c r="A581" t="s">
        <v>795</v>
      </c>
      <c r="B581" t="s">
        <v>797</v>
      </c>
      <c r="C581" s="5">
        <v>8.4721054415017569</v>
      </c>
      <c r="D581" s="3">
        <f t="shared" si="27"/>
        <v>8675.4359720977991</v>
      </c>
      <c r="E581" s="3">
        <f t="shared" si="28"/>
        <v>3.475357740542429</v>
      </c>
      <c r="F581" t="str">
        <f t="shared" si="29"/>
        <v>VUT</v>
      </c>
      <c r="G581" t="str">
        <f>+_xlfn.XLOOKUP(F581,Sheet1!C:C,Sheet1!B:B,"N/A",0)</f>
        <v>VU</v>
      </c>
      <c r="H581" t="str">
        <f>+_xlfn.XLOOKUP(F581,Sheet1!C:C,Sheet1!D:D,"N/A",0)</f>
        <v>548</v>
      </c>
    </row>
    <row r="582" spans="1:8" x14ac:dyDescent="0.25">
      <c r="A582" t="s">
        <v>798</v>
      </c>
      <c r="B582" t="s">
        <v>799</v>
      </c>
      <c r="C582" s="5">
        <v>2.9695999994631458E-3</v>
      </c>
      <c r="D582" s="3">
        <f t="shared" si="27"/>
        <v>3.0408703994502613</v>
      </c>
      <c r="E582" s="3">
        <f t="shared" si="28"/>
        <v>3.0408703994502613</v>
      </c>
      <c r="F582" t="str">
        <f t="shared" si="29"/>
        <v>VEN</v>
      </c>
      <c r="G582" t="str">
        <f>+_xlfn.XLOOKUP(F582,Sheet1!C:C,Sheet1!B:B,"N/A",0)</f>
        <v>VE</v>
      </c>
      <c r="H582" t="str">
        <f>+_xlfn.XLOOKUP(F582,Sheet1!C:C,Sheet1!D:D,"N/A",0)</f>
        <v>862</v>
      </c>
    </row>
    <row r="583" spans="1:8" x14ac:dyDescent="0.25">
      <c r="A583" t="s">
        <v>798</v>
      </c>
      <c r="B583" t="s">
        <v>800</v>
      </c>
      <c r="C583" s="5">
        <v>5.9392499994336941E-2</v>
      </c>
      <c r="D583" s="3">
        <f t="shared" si="27"/>
        <v>60.817919994201027</v>
      </c>
      <c r="E583" s="3">
        <f t="shared" si="28"/>
        <v>3.0408703994502613</v>
      </c>
      <c r="F583" t="str">
        <f t="shared" si="29"/>
        <v>VEN</v>
      </c>
      <c r="G583" t="str">
        <f>+_xlfn.XLOOKUP(F583,Sheet1!C:C,Sheet1!B:B,"N/A",0)</f>
        <v>VE</v>
      </c>
      <c r="H583" t="str">
        <f>+_xlfn.XLOOKUP(F583,Sheet1!C:C,Sheet1!D:D,"N/A",0)</f>
        <v>862</v>
      </c>
    </row>
    <row r="584" spans="1:8" x14ac:dyDescent="0.25">
      <c r="A584" t="s">
        <v>801</v>
      </c>
      <c r="B584" t="s">
        <v>802</v>
      </c>
      <c r="C584" s="5">
        <v>7.4173562472183083E-2</v>
      </c>
      <c r="D584" s="3">
        <f t="shared" si="27"/>
        <v>75.953727971515477</v>
      </c>
      <c r="E584" s="3">
        <f t="shared" si="28"/>
        <v>0.58982550450743854</v>
      </c>
      <c r="F584" t="str">
        <f t="shared" si="29"/>
        <v>VNM</v>
      </c>
      <c r="G584" t="str">
        <f>+_xlfn.XLOOKUP(F584,Sheet1!C:C,Sheet1!B:B,"N/A",0)</f>
        <v>VN</v>
      </c>
      <c r="H584" t="str">
        <f>+_xlfn.XLOOKUP(F584,Sheet1!C:C,Sheet1!D:D,"N/A",0)</f>
        <v>704</v>
      </c>
    </row>
    <row r="585" spans="1:8" x14ac:dyDescent="0.25">
      <c r="A585" t="s">
        <v>801</v>
      </c>
      <c r="B585" t="s">
        <v>803</v>
      </c>
      <c r="C585" s="5">
        <v>5.9390000003127236E-4</v>
      </c>
      <c r="D585" s="3">
        <f t="shared" si="27"/>
        <v>0.6081536000320229</v>
      </c>
      <c r="E585" s="3">
        <f t="shared" si="28"/>
        <v>0.58982550450743854</v>
      </c>
      <c r="F585" t="str">
        <f t="shared" si="29"/>
        <v>VNM</v>
      </c>
      <c r="G585" t="str">
        <f>+_xlfn.XLOOKUP(F585,Sheet1!C:C,Sheet1!B:B,"N/A",0)</f>
        <v>VN</v>
      </c>
      <c r="H585" t="str">
        <f>+_xlfn.XLOOKUP(F585,Sheet1!C:C,Sheet1!D:D,"N/A",0)</f>
        <v>704</v>
      </c>
    </row>
    <row r="586" spans="1:8" x14ac:dyDescent="0.25">
      <c r="A586" t="s">
        <v>801</v>
      </c>
      <c r="B586" t="s">
        <v>804</v>
      </c>
      <c r="C586" s="5">
        <v>7.2967154706031034E-4</v>
      </c>
      <c r="D586" s="3">
        <f t="shared" si="27"/>
        <v>0.74718366418975779</v>
      </c>
      <c r="E586" s="3">
        <f t="shared" si="28"/>
        <v>0.58982550450743854</v>
      </c>
      <c r="F586" t="str">
        <f t="shared" si="29"/>
        <v>VNM</v>
      </c>
      <c r="G586" t="str">
        <f>+_xlfn.XLOOKUP(F586,Sheet1!C:C,Sheet1!B:B,"N/A",0)</f>
        <v>VN</v>
      </c>
      <c r="H586" t="str">
        <f>+_xlfn.XLOOKUP(F586,Sheet1!C:C,Sheet1!D:D,"N/A",0)</f>
        <v>704</v>
      </c>
    </row>
    <row r="587" spans="1:8" x14ac:dyDescent="0.25">
      <c r="A587" t="s">
        <v>801</v>
      </c>
      <c r="B587" t="s">
        <v>805</v>
      </c>
      <c r="C587" s="5">
        <v>5.7600146924554545E-4</v>
      </c>
      <c r="D587" s="3">
        <f t="shared" si="27"/>
        <v>0.58982550450743854</v>
      </c>
      <c r="E587" s="3">
        <f t="shared" si="28"/>
        <v>0.58982550450743854</v>
      </c>
      <c r="F587" t="str">
        <f t="shared" si="29"/>
        <v>VNM</v>
      </c>
      <c r="G587" t="str">
        <f>+_xlfn.XLOOKUP(F587,Sheet1!C:C,Sheet1!B:B,"N/A",0)</f>
        <v>VN</v>
      </c>
      <c r="H587" t="str">
        <f>+_xlfn.XLOOKUP(F587,Sheet1!C:C,Sheet1!D:D,"N/A",0)</f>
        <v>704</v>
      </c>
    </row>
    <row r="588" spans="1:8" x14ac:dyDescent="0.25">
      <c r="A588" t="s">
        <v>806</v>
      </c>
      <c r="B588" t="s">
        <v>807</v>
      </c>
      <c r="C588" s="5">
        <v>7.0946397139144119</v>
      </c>
      <c r="D588" s="3">
        <f t="shared" si="27"/>
        <v>7264.9110670483578</v>
      </c>
      <c r="E588" s="3">
        <f t="shared" si="28"/>
        <v>5.120000000000001</v>
      </c>
      <c r="F588" t="str">
        <f t="shared" si="29"/>
        <v>YEM</v>
      </c>
      <c r="G588" t="str">
        <f>+_xlfn.XLOOKUP(F588,Sheet1!C:C,Sheet1!B:B,"N/A",0)</f>
        <v>YE</v>
      </c>
      <c r="H588" t="str">
        <f>+_xlfn.XLOOKUP(F588,Sheet1!C:C,Sheet1!D:D,"N/A",0)</f>
        <v>887</v>
      </c>
    </row>
    <row r="589" spans="1:8" x14ac:dyDescent="0.25">
      <c r="A589" t="s">
        <v>806</v>
      </c>
      <c r="B589" t="s">
        <v>808</v>
      </c>
      <c r="C589" s="5">
        <v>5.000000000000001E-3</v>
      </c>
      <c r="D589" s="3">
        <f t="shared" si="27"/>
        <v>5.120000000000001</v>
      </c>
      <c r="E589" s="3">
        <f t="shared" si="28"/>
        <v>5.120000000000001</v>
      </c>
      <c r="F589" t="str">
        <f t="shared" si="29"/>
        <v>YEM</v>
      </c>
      <c r="G589" t="str">
        <f>+_xlfn.XLOOKUP(F589,Sheet1!C:C,Sheet1!B:B,"N/A",0)</f>
        <v>YE</v>
      </c>
      <c r="H589" t="str">
        <f>+_xlfn.XLOOKUP(F589,Sheet1!C:C,Sheet1!D:D,"N/A",0)</f>
        <v>887</v>
      </c>
    </row>
    <row r="590" spans="1:8" x14ac:dyDescent="0.25">
      <c r="A590" t="s">
        <v>809</v>
      </c>
      <c r="B590" t="s">
        <v>810</v>
      </c>
      <c r="C590" s="5">
        <v>1.9514999999999997E-3</v>
      </c>
      <c r="D590" s="3">
        <f t="shared" si="27"/>
        <v>1.9983359999999997</v>
      </c>
      <c r="E590" s="3">
        <f t="shared" si="28"/>
        <v>1.8266092949841395</v>
      </c>
      <c r="F590" t="str">
        <f t="shared" si="29"/>
        <v>ZMB</v>
      </c>
      <c r="G590" t="str">
        <f>+_xlfn.XLOOKUP(F590,Sheet1!C:C,Sheet1!B:B,"N/A",0)</f>
        <v>ZM</v>
      </c>
      <c r="H590" t="str">
        <f>+_xlfn.XLOOKUP(F590,Sheet1!C:C,Sheet1!D:D,"N/A",0)</f>
        <v>894</v>
      </c>
    </row>
    <row r="591" spans="1:8" x14ac:dyDescent="0.25">
      <c r="A591" t="s">
        <v>809</v>
      </c>
      <c r="B591" t="s">
        <v>811</v>
      </c>
      <c r="C591" s="5">
        <v>1.0000000008475601E-2</v>
      </c>
      <c r="D591" s="3">
        <f t="shared" si="27"/>
        <v>10.240000008679015</v>
      </c>
      <c r="E591" s="3">
        <f t="shared" si="28"/>
        <v>1.8266092949841395</v>
      </c>
      <c r="F591" t="str">
        <f t="shared" si="29"/>
        <v>ZMB</v>
      </c>
      <c r="G591" t="str">
        <f>+_xlfn.XLOOKUP(F591,Sheet1!C:C,Sheet1!B:B,"N/A",0)</f>
        <v>ZM</v>
      </c>
      <c r="H591" t="str">
        <f>+_xlfn.XLOOKUP(F591,Sheet1!C:C,Sheet1!D:D,"N/A",0)</f>
        <v>894</v>
      </c>
    </row>
    <row r="592" spans="1:8" x14ac:dyDescent="0.25">
      <c r="A592" t="s">
        <v>809</v>
      </c>
      <c r="B592" t="s">
        <v>812</v>
      </c>
      <c r="C592" s="5">
        <v>1.7837981396329487E-3</v>
      </c>
      <c r="D592" s="3">
        <f t="shared" si="27"/>
        <v>1.8266092949841395</v>
      </c>
      <c r="E592" s="3">
        <f t="shared" si="28"/>
        <v>1.8266092949841395</v>
      </c>
      <c r="F592" t="str">
        <f t="shared" si="29"/>
        <v>ZMB</v>
      </c>
      <c r="G592" t="str">
        <f>+_xlfn.XLOOKUP(F592,Sheet1!C:C,Sheet1!B:B,"N/A",0)</f>
        <v>ZM</v>
      </c>
      <c r="H592" t="str">
        <f>+_xlfn.XLOOKUP(F592,Sheet1!C:C,Sheet1!D:D,"N/A",0)</f>
        <v>894</v>
      </c>
    </row>
    <row r="593" spans="1:8" x14ac:dyDescent="0.25">
      <c r="A593" t="s">
        <v>813</v>
      </c>
      <c r="B593" t="s">
        <v>814</v>
      </c>
      <c r="C593" s="5">
        <v>1.232908412452991E-2</v>
      </c>
      <c r="D593" s="3">
        <f t="shared" si="27"/>
        <v>12.624982143518627</v>
      </c>
      <c r="E593" s="3">
        <f t="shared" si="28"/>
        <v>4.3631799090725236</v>
      </c>
      <c r="F593" t="str">
        <f t="shared" si="29"/>
        <v>ZWE</v>
      </c>
      <c r="G593" t="str">
        <f>+_xlfn.XLOOKUP(F593,Sheet1!C:C,Sheet1!B:B,"N/A",0)</f>
        <v>ZW</v>
      </c>
      <c r="H593" t="str">
        <f>+_xlfn.XLOOKUP(F593,Sheet1!C:C,Sheet1!D:D,"N/A",0)</f>
        <v>716</v>
      </c>
    </row>
    <row r="594" spans="1:8" x14ac:dyDescent="0.25">
      <c r="A594" t="s">
        <v>813</v>
      </c>
      <c r="B594" t="s">
        <v>815</v>
      </c>
      <c r="C594" s="5">
        <v>4.2609178799536363E-3</v>
      </c>
      <c r="D594" s="3">
        <f t="shared" si="27"/>
        <v>4.3631799090725236</v>
      </c>
      <c r="E594" s="3">
        <f t="shared" si="28"/>
        <v>4.3631799090725236</v>
      </c>
      <c r="F594" t="str">
        <f t="shared" si="29"/>
        <v>ZWE</v>
      </c>
      <c r="G594" t="str">
        <f>+_xlfn.XLOOKUP(F594,Sheet1!C:C,Sheet1!B:B,"N/A",0)</f>
        <v>ZW</v>
      </c>
      <c r="H594" t="str">
        <f>+_xlfn.XLOOKUP(F594,Sheet1!C:C,Sheet1!D:D,"N/A",0)</f>
        <v>716</v>
      </c>
    </row>
    <row r="595" spans="1:8" x14ac:dyDescent="0.25">
      <c r="A595" t="s">
        <v>813</v>
      </c>
      <c r="B595" t="s">
        <v>816</v>
      </c>
      <c r="C595" s="5">
        <v>3.3938599897138058E-2</v>
      </c>
      <c r="D595" s="3">
        <f t="shared" si="27"/>
        <v>34.753126294669372</v>
      </c>
      <c r="E595" s="3">
        <f t="shared" si="28"/>
        <v>4.3631799090725236</v>
      </c>
      <c r="F595" t="str">
        <f t="shared" si="29"/>
        <v>ZWE</v>
      </c>
      <c r="G595" t="str">
        <f>+_xlfn.XLOOKUP(F595,Sheet1!C:C,Sheet1!B:B,"N/A",0)</f>
        <v>ZW</v>
      </c>
      <c r="H595" t="str">
        <f>+_xlfn.XLOOKUP(F595,Sheet1!C:C,Sheet1!D:D,"N/A",0)</f>
        <v>716</v>
      </c>
    </row>
  </sheetData>
  <autoFilter ref="A1:E595" xr:uid="{927FBE1E-F499-49B0-84E3-B8AD4B80E11E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0EB6-2703-447D-94F3-8CCF7C5445F7}">
  <dimension ref="A1:D251"/>
  <sheetViews>
    <sheetView tabSelected="1" workbookViewId="0">
      <selection activeCell="A17" sqref="A17"/>
    </sheetView>
  </sheetViews>
  <sheetFormatPr defaultRowHeight="15" x14ac:dyDescent="0.25"/>
  <cols>
    <col min="1" max="1" width="41.5703125" customWidth="1"/>
  </cols>
  <sheetData>
    <row r="1" spans="1:4" x14ac:dyDescent="0.25">
      <c r="A1" s="4" t="s">
        <v>817</v>
      </c>
      <c r="B1" s="4" t="s">
        <v>1033</v>
      </c>
      <c r="C1" s="4" t="s">
        <v>1034</v>
      </c>
      <c r="D1" s="4" t="s">
        <v>1035</v>
      </c>
    </row>
    <row r="2" spans="1:4" x14ac:dyDescent="0.25">
      <c r="A2" s="4" t="s">
        <v>8</v>
      </c>
      <c r="B2" s="4" t="s">
        <v>818</v>
      </c>
      <c r="C2" s="4" t="s">
        <v>1036</v>
      </c>
      <c r="D2" s="4" t="s">
        <v>1405</v>
      </c>
    </row>
    <row r="3" spans="1:4" x14ac:dyDescent="0.25">
      <c r="A3" s="4" t="s">
        <v>13</v>
      </c>
      <c r="B3" s="4" t="s">
        <v>819</v>
      </c>
      <c r="C3" s="4" t="s">
        <v>1037</v>
      </c>
      <c r="D3" s="4" t="s">
        <v>1406</v>
      </c>
    </row>
    <row r="4" spans="1:4" x14ac:dyDescent="0.25">
      <c r="A4" s="4" t="s">
        <v>16</v>
      </c>
      <c r="B4" s="4" t="s">
        <v>820</v>
      </c>
      <c r="C4" s="4" t="s">
        <v>1038</v>
      </c>
      <c r="D4" s="4" t="s">
        <v>1407</v>
      </c>
    </row>
    <row r="5" spans="1:4" x14ac:dyDescent="0.25">
      <c r="A5" s="4" t="s">
        <v>20</v>
      </c>
      <c r="B5" s="4" t="s">
        <v>1039</v>
      </c>
      <c r="C5" s="4" t="s">
        <v>1040</v>
      </c>
      <c r="D5" s="4" t="s">
        <v>1408</v>
      </c>
    </row>
    <row r="6" spans="1:4" x14ac:dyDescent="0.25">
      <c r="A6" s="4" t="s">
        <v>22</v>
      </c>
      <c r="B6" s="4" t="s">
        <v>821</v>
      </c>
      <c r="C6" s="4" t="s">
        <v>1041</v>
      </c>
      <c r="D6" s="4" t="s">
        <v>1409</v>
      </c>
    </row>
    <row r="7" spans="1:4" x14ac:dyDescent="0.25">
      <c r="A7" s="4" t="s">
        <v>24</v>
      </c>
      <c r="B7" s="4" t="s">
        <v>822</v>
      </c>
      <c r="C7" s="4" t="s">
        <v>1042</v>
      </c>
      <c r="D7" s="4" t="s">
        <v>1410</v>
      </c>
    </row>
    <row r="8" spans="1:4" x14ac:dyDescent="0.25">
      <c r="A8" s="4" t="s">
        <v>27</v>
      </c>
      <c r="B8" s="4" t="s">
        <v>823</v>
      </c>
      <c r="C8" s="4" t="s">
        <v>1043</v>
      </c>
      <c r="D8" s="4" t="s">
        <v>1411</v>
      </c>
    </row>
    <row r="9" spans="1:4" x14ac:dyDescent="0.25">
      <c r="A9" s="4" t="s">
        <v>1044</v>
      </c>
      <c r="B9" s="4" t="s">
        <v>1045</v>
      </c>
      <c r="C9" s="4" t="s">
        <v>1046</v>
      </c>
      <c r="D9" s="4" t="s">
        <v>1412</v>
      </c>
    </row>
    <row r="10" spans="1:4" x14ac:dyDescent="0.25">
      <c r="A10" s="4" t="s">
        <v>29</v>
      </c>
      <c r="B10" s="4" t="s">
        <v>824</v>
      </c>
      <c r="C10" s="4" t="s">
        <v>1047</v>
      </c>
      <c r="D10" s="4" t="s">
        <v>1413</v>
      </c>
    </row>
    <row r="11" spans="1:4" x14ac:dyDescent="0.25">
      <c r="A11" s="4" t="s">
        <v>32</v>
      </c>
      <c r="B11" s="4" t="s">
        <v>825</v>
      </c>
      <c r="C11" s="4" t="s">
        <v>1048</v>
      </c>
      <c r="D11" s="4" t="s">
        <v>1414</v>
      </c>
    </row>
    <row r="12" spans="1:4" x14ac:dyDescent="0.25">
      <c r="A12" s="4" t="s">
        <v>36</v>
      </c>
      <c r="B12" s="4" t="s">
        <v>826</v>
      </c>
      <c r="C12" s="4" t="s">
        <v>1049</v>
      </c>
      <c r="D12" s="4" t="s">
        <v>1415</v>
      </c>
    </row>
    <row r="13" spans="1:4" x14ac:dyDescent="0.25">
      <c r="A13" s="4" t="s">
        <v>40</v>
      </c>
      <c r="B13" s="4" t="s">
        <v>827</v>
      </c>
      <c r="C13" s="4" t="s">
        <v>1050</v>
      </c>
      <c r="D13" s="4" t="s">
        <v>1416</v>
      </c>
    </row>
    <row r="14" spans="1:4" x14ac:dyDescent="0.25">
      <c r="A14" s="4" t="s">
        <v>43</v>
      </c>
      <c r="B14" s="4" t="s">
        <v>828</v>
      </c>
      <c r="C14" s="4" t="s">
        <v>1051</v>
      </c>
      <c r="D14" s="4" t="s">
        <v>1417</v>
      </c>
    </row>
    <row r="15" spans="1:4" x14ac:dyDescent="0.25">
      <c r="A15" s="4" t="s">
        <v>47</v>
      </c>
      <c r="B15" s="4" t="s">
        <v>829</v>
      </c>
      <c r="C15" s="4" t="s">
        <v>1052</v>
      </c>
      <c r="D15" s="4" t="s">
        <v>1418</v>
      </c>
    </row>
    <row r="16" spans="1:4" x14ac:dyDescent="0.25">
      <c r="A16" s="4" t="s">
        <v>51</v>
      </c>
      <c r="B16" s="4" t="s">
        <v>830</v>
      </c>
      <c r="C16" s="4" t="s">
        <v>1053</v>
      </c>
      <c r="D16" s="4" t="s">
        <v>1419</v>
      </c>
    </row>
    <row r="17" spans="1:4" x14ac:dyDescent="0.25">
      <c r="A17" s="4" t="s">
        <v>1054</v>
      </c>
      <c r="B17" s="4" t="s">
        <v>831</v>
      </c>
      <c r="C17" s="4" t="s">
        <v>1055</v>
      </c>
      <c r="D17" s="4" t="s">
        <v>1420</v>
      </c>
    </row>
    <row r="18" spans="1:4" x14ac:dyDescent="0.25">
      <c r="A18" s="4" t="s">
        <v>58</v>
      </c>
      <c r="B18" s="4" t="s">
        <v>832</v>
      </c>
      <c r="C18" s="4" t="s">
        <v>1056</v>
      </c>
      <c r="D18" s="4" t="s">
        <v>1421</v>
      </c>
    </row>
    <row r="19" spans="1:4" x14ac:dyDescent="0.25">
      <c r="A19" s="4" t="s">
        <v>62</v>
      </c>
      <c r="B19" s="4" t="s">
        <v>833</v>
      </c>
      <c r="C19" s="4" t="s">
        <v>1057</v>
      </c>
      <c r="D19" s="4" t="s">
        <v>1422</v>
      </c>
    </row>
    <row r="20" spans="1:4" x14ac:dyDescent="0.25">
      <c r="A20" s="4" t="s">
        <v>66</v>
      </c>
      <c r="B20" s="4" t="s">
        <v>834</v>
      </c>
      <c r="C20" s="4" t="s">
        <v>1058</v>
      </c>
      <c r="D20" s="4" t="s">
        <v>1423</v>
      </c>
    </row>
    <row r="21" spans="1:4" x14ac:dyDescent="0.25">
      <c r="A21" s="4" t="s">
        <v>68</v>
      </c>
      <c r="B21" s="4" t="s">
        <v>1059</v>
      </c>
      <c r="C21" s="4" t="s">
        <v>1060</v>
      </c>
      <c r="D21" s="4" t="s">
        <v>1424</v>
      </c>
    </row>
    <row r="22" spans="1:4" x14ac:dyDescent="0.25">
      <c r="A22" s="4" t="s">
        <v>72</v>
      </c>
      <c r="B22" s="4" t="s">
        <v>835</v>
      </c>
      <c r="C22" s="4" t="s">
        <v>1061</v>
      </c>
      <c r="D22" s="4" t="s">
        <v>1425</v>
      </c>
    </row>
    <row r="23" spans="1:4" x14ac:dyDescent="0.25">
      <c r="A23" s="4" t="s">
        <v>77</v>
      </c>
      <c r="B23" s="4" t="s">
        <v>836</v>
      </c>
      <c r="C23" s="4" t="s">
        <v>1062</v>
      </c>
      <c r="D23" s="4" t="s">
        <v>1426</v>
      </c>
    </row>
    <row r="24" spans="1:4" x14ac:dyDescent="0.25">
      <c r="A24" s="4" t="s">
        <v>80</v>
      </c>
      <c r="B24" s="4" t="s">
        <v>837</v>
      </c>
      <c r="C24" s="4" t="s">
        <v>1063</v>
      </c>
      <c r="D24" s="4" t="s">
        <v>1427</v>
      </c>
    </row>
    <row r="25" spans="1:4" x14ac:dyDescent="0.25">
      <c r="A25" s="4" t="s">
        <v>84</v>
      </c>
      <c r="B25" s="4" t="s">
        <v>838</v>
      </c>
      <c r="C25" s="4" t="s">
        <v>1064</v>
      </c>
      <c r="D25" s="4" t="s">
        <v>1428</v>
      </c>
    </row>
    <row r="26" spans="1:4" x14ac:dyDescent="0.25">
      <c r="A26" s="4" t="s">
        <v>86</v>
      </c>
      <c r="B26" s="4" t="s">
        <v>839</v>
      </c>
      <c r="C26" s="4" t="s">
        <v>1065</v>
      </c>
      <c r="D26" s="4" t="s">
        <v>1429</v>
      </c>
    </row>
    <row r="27" spans="1:4" x14ac:dyDescent="0.25">
      <c r="A27" s="4" t="s">
        <v>1066</v>
      </c>
      <c r="B27" s="4" t="s">
        <v>840</v>
      </c>
      <c r="C27" s="4" t="s">
        <v>1067</v>
      </c>
      <c r="D27" s="4" t="s">
        <v>1430</v>
      </c>
    </row>
    <row r="28" spans="1:4" x14ac:dyDescent="0.25">
      <c r="A28" s="4" t="s">
        <v>961</v>
      </c>
      <c r="B28" s="4" t="s">
        <v>960</v>
      </c>
      <c r="C28" s="4" t="s">
        <v>1068</v>
      </c>
      <c r="D28" s="4" t="s">
        <v>1431</v>
      </c>
    </row>
    <row r="29" spans="1:4" x14ac:dyDescent="0.25">
      <c r="A29" s="4" t="s">
        <v>93</v>
      </c>
      <c r="B29" s="4" t="s">
        <v>841</v>
      </c>
      <c r="C29" s="4" t="s">
        <v>1069</v>
      </c>
      <c r="D29" s="4" t="s">
        <v>1432</v>
      </c>
    </row>
    <row r="30" spans="1:4" x14ac:dyDescent="0.25">
      <c r="A30" s="4" t="s">
        <v>97</v>
      </c>
      <c r="B30" s="4" t="s">
        <v>842</v>
      </c>
      <c r="C30" s="4" t="s">
        <v>1070</v>
      </c>
      <c r="D30" s="4" t="s">
        <v>1433</v>
      </c>
    </row>
    <row r="31" spans="1:4" x14ac:dyDescent="0.25">
      <c r="A31" s="4" t="s">
        <v>1071</v>
      </c>
      <c r="B31" s="4" t="s">
        <v>1072</v>
      </c>
      <c r="C31" s="4" t="s">
        <v>1073</v>
      </c>
      <c r="D31" s="4" t="s">
        <v>1434</v>
      </c>
    </row>
    <row r="32" spans="1:4" x14ac:dyDescent="0.25">
      <c r="A32" s="4" t="s">
        <v>101</v>
      </c>
      <c r="B32" s="4" t="s">
        <v>843</v>
      </c>
      <c r="C32" s="4" t="s">
        <v>1074</v>
      </c>
      <c r="D32" s="4" t="s">
        <v>1435</v>
      </c>
    </row>
    <row r="33" spans="1:4" x14ac:dyDescent="0.25">
      <c r="A33" s="4" t="s">
        <v>1075</v>
      </c>
      <c r="B33" s="4" t="s">
        <v>1076</v>
      </c>
      <c r="C33" s="4" t="s">
        <v>1077</v>
      </c>
      <c r="D33" s="4" t="s">
        <v>1436</v>
      </c>
    </row>
    <row r="34" spans="1:4" x14ac:dyDescent="0.25">
      <c r="A34" s="4" t="s">
        <v>109</v>
      </c>
      <c r="B34" s="4" t="s">
        <v>845</v>
      </c>
      <c r="C34" s="4" t="s">
        <v>1078</v>
      </c>
      <c r="D34" s="4" t="s">
        <v>1437</v>
      </c>
    </row>
    <row r="35" spans="1:4" x14ac:dyDescent="0.25">
      <c r="A35" s="4" t="s">
        <v>111</v>
      </c>
      <c r="B35" s="4" t="s">
        <v>846</v>
      </c>
      <c r="C35" s="4" t="s">
        <v>1079</v>
      </c>
      <c r="D35" s="4" t="s">
        <v>1438</v>
      </c>
    </row>
    <row r="36" spans="1:4" x14ac:dyDescent="0.25">
      <c r="A36" s="4" t="s">
        <v>115</v>
      </c>
      <c r="B36" s="4" t="s">
        <v>847</v>
      </c>
      <c r="C36" s="4" t="s">
        <v>1080</v>
      </c>
      <c r="D36" s="4" t="s">
        <v>1439</v>
      </c>
    </row>
    <row r="37" spans="1:4" x14ac:dyDescent="0.25">
      <c r="A37" s="4" t="s">
        <v>119</v>
      </c>
      <c r="B37" s="4" t="s">
        <v>848</v>
      </c>
      <c r="C37" s="4" t="s">
        <v>1081</v>
      </c>
      <c r="D37" s="4" t="s">
        <v>1440</v>
      </c>
    </row>
    <row r="38" spans="1:4" x14ac:dyDescent="0.25">
      <c r="A38" s="4" t="s">
        <v>853</v>
      </c>
      <c r="B38" s="4" t="s">
        <v>852</v>
      </c>
      <c r="C38" s="4" t="s">
        <v>1082</v>
      </c>
      <c r="D38" s="4" t="s">
        <v>1441</v>
      </c>
    </row>
    <row r="39" spans="1:4" x14ac:dyDescent="0.25">
      <c r="A39" s="4" t="s">
        <v>122</v>
      </c>
      <c r="B39" s="4" t="s">
        <v>849</v>
      </c>
      <c r="C39" s="4" t="s">
        <v>1083</v>
      </c>
      <c r="D39" s="4" t="s">
        <v>1442</v>
      </c>
    </row>
    <row r="40" spans="1:4" x14ac:dyDescent="0.25">
      <c r="A40" s="4" t="s">
        <v>126</v>
      </c>
      <c r="B40" s="4" t="s">
        <v>850</v>
      </c>
      <c r="C40" s="4" t="s">
        <v>1084</v>
      </c>
      <c r="D40" s="4" t="s">
        <v>1443</v>
      </c>
    </row>
    <row r="41" spans="1:4" x14ac:dyDescent="0.25">
      <c r="A41" s="4" t="s">
        <v>129</v>
      </c>
      <c r="B41" s="4" t="s">
        <v>851</v>
      </c>
      <c r="C41" s="4" t="s">
        <v>1085</v>
      </c>
      <c r="D41" s="4" t="s">
        <v>1444</v>
      </c>
    </row>
    <row r="42" spans="1:4" x14ac:dyDescent="0.25">
      <c r="A42" s="4" t="s">
        <v>1086</v>
      </c>
      <c r="B42" s="4" t="s">
        <v>854</v>
      </c>
      <c r="C42" s="4" t="s">
        <v>1087</v>
      </c>
      <c r="D42" s="4" t="s">
        <v>1445</v>
      </c>
    </row>
    <row r="43" spans="1:4" x14ac:dyDescent="0.25">
      <c r="A43" s="4" t="s">
        <v>1088</v>
      </c>
      <c r="B43" s="4" t="s">
        <v>855</v>
      </c>
      <c r="C43" s="4" t="s">
        <v>1089</v>
      </c>
      <c r="D43" s="4" t="s">
        <v>1446</v>
      </c>
    </row>
    <row r="44" spans="1:4" x14ac:dyDescent="0.25">
      <c r="A44" s="4" t="s">
        <v>145</v>
      </c>
      <c r="B44" s="4" t="s">
        <v>856</v>
      </c>
      <c r="C44" s="4" t="s">
        <v>1090</v>
      </c>
      <c r="D44" s="4" t="s">
        <v>1447</v>
      </c>
    </row>
    <row r="45" spans="1:4" x14ac:dyDescent="0.25">
      <c r="A45" s="4" t="s">
        <v>153</v>
      </c>
      <c r="B45" s="4" t="s">
        <v>857</v>
      </c>
      <c r="C45" s="4" t="s">
        <v>1091</v>
      </c>
      <c r="D45" s="4" t="s">
        <v>1448</v>
      </c>
    </row>
    <row r="46" spans="1:4" x14ac:dyDescent="0.25">
      <c r="A46" s="4" t="s">
        <v>158</v>
      </c>
      <c r="B46" s="4" t="s">
        <v>858</v>
      </c>
      <c r="C46" s="4" t="s">
        <v>1092</v>
      </c>
      <c r="D46" s="4" t="s">
        <v>1449</v>
      </c>
    </row>
    <row r="47" spans="1:4" x14ac:dyDescent="0.25">
      <c r="A47" s="4" t="s">
        <v>1093</v>
      </c>
      <c r="B47" s="4" t="s">
        <v>1094</v>
      </c>
      <c r="C47" s="4" t="s">
        <v>1095</v>
      </c>
      <c r="D47" s="4" t="s">
        <v>1450</v>
      </c>
    </row>
    <row r="48" spans="1:4" x14ac:dyDescent="0.25">
      <c r="A48" s="4" t="s">
        <v>1096</v>
      </c>
      <c r="B48" s="4" t="s">
        <v>1097</v>
      </c>
      <c r="C48" s="4" t="s">
        <v>1098</v>
      </c>
      <c r="D48" s="4" t="s">
        <v>1451</v>
      </c>
    </row>
    <row r="49" spans="1:4" x14ac:dyDescent="0.25">
      <c r="A49" s="4" t="s">
        <v>162</v>
      </c>
      <c r="B49" s="4" t="s">
        <v>859</v>
      </c>
      <c r="C49" s="4" t="s">
        <v>1099</v>
      </c>
      <c r="D49" s="4" t="s">
        <v>1452</v>
      </c>
    </row>
    <row r="50" spans="1:4" x14ac:dyDescent="0.25">
      <c r="A50" s="4" t="s">
        <v>1100</v>
      </c>
      <c r="B50" s="4" t="s">
        <v>1101</v>
      </c>
      <c r="C50" s="4" t="s">
        <v>1102</v>
      </c>
      <c r="D50" s="4" t="s">
        <v>1453</v>
      </c>
    </row>
    <row r="51" spans="1:4" x14ac:dyDescent="0.25">
      <c r="A51" s="4" t="s">
        <v>1103</v>
      </c>
      <c r="B51" s="4" t="s">
        <v>1104</v>
      </c>
      <c r="C51" s="4" t="s">
        <v>1105</v>
      </c>
      <c r="D51" s="4" t="s">
        <v>1454</v>
      </c>
    </row>
    <row r="52" spans="1:4" x14ac:dyDescent="0.25">
      <c r="A52" s="4" t="s">
        <v>1106</v>
      </c>
      <c r="B52" s="4" t="s">
        <v>980</v>
      </c>
      <c r="C52" s="4" t="s">
        <v>1107</v>
      </c>
      <c r="D52" s="4" t="s">
        <v>1455</v>
      </c>
    </row>
    <row r="53" spans="1:4" x14ac:dyDescent="0.25">
      <c r="A53" s="4" t="s">
        <v>1108</v>
      </c>
      <c r="B53" s="4" t="s">
        <v>860</v>
      </c>
      <c r="C53" s="4" t="s">
        <v>1109</v>
      </c>
      <c r="D53" s="4" t="s">
        <v>1456</v>
      </c>
    </row>
    <row r="54" spans="1:4" x14ac:dyDescent="0.25">
      <c r="A54" s="4" t="s">
        <v>179</v>
      </c>
      <c r="B54" s="4" t="s">
        <v>861</v>
      </c>
      <c r="C54" s="4" t="s">
        <v>1110</v>
      </c>
      <c r="D54" s="4" t="s">
        <v>1457</v>
      </c>
    </row>
    <row r="55" spans="1:4" x14ac:dyDescent="0.25">
      <c r="A55" s="4" t="s">
        <v>183</v>
      </c>
      <c r="B55" s="4" t="s">
        <v>864</v>
      </c>
      <c r="C55" s="4" t="s">
        <v>1111</v>
      </c>
      <c r="D55" s="4" t="s">
        <v>1458</v>
      </c>
    </row>
    <row r="56" spans="1:4" x14ac:dyDescent="0.25">
      <c r="A56" s="4" t="s">
        <v>187</v>
      </c>
      <c r="B56" s="4" t="s">
        <v>1112</v>
      </c>
      <c r="C56" s="4" t="s">
        <v>1113</v>
      </c>
      <c r="D56" s="4" t="s">
        <v>1459</v>
      </c>
    </row>
    <row r="57" spans="1:4" x14ac:dyDescent="0.25">
      <c r="A57" s="4" t="s">
        <v>1114</v>
      </c>
      <c r="B57" s="4" t="s">
        <v>1115</v>
      </c>
      <c r="C57" s="4" t="s">
        <v>1116</v>
      </c>
      <c r="D57" s="4" t="s">
        <v>1460</v>
      </c>
    </row>
    <row r="58" spans="1:4" x14ac:dyDescent="0.25">
      <c r="A58" s="4" t="s">
        <v>189</v>
      </c>
      <c r="B58" s="4" t="s">
        <v>865</v>
      </c>
      <c r="C58" s="4" t="s">
        <v>1117</v>
      </c>
      <c r="D58" s="4" t="s">
        <v>1461</v>
      </c>
    </row>
    <row r="59" spans="1:4" x14ac:dyDescent="0.25">
      <c r="A59" s="4" t="s">
        <v>867</v>
      </c>
      <c r="B59" s="4" t="s">
        <v>866</v>
      </c>
      <c r="C59" s="4" t="s">
        <v>1118</v>
      </c>
      <c r="D59" s="4" t="s">
        <v>1462</v>
      </c>
    </row>
    <row r="60" spans="1:4" x14ac:dyDescent="0.25">
      <c r="A60" s="4" t="s">
        <v>863</v>
      </c>
      <c r="B60" s="4" t="s">
        <v>862</v>
      </c>
      <c r="C60" s="4" t="s">
        <v>1119</v>
      </c>
      <c r="D60" s="4" t="s">
        <v>1463</v>
      </c>
    </row>
    <row r="61" spans="1:4" x14ac:dyDescent="0.25">
      <c r="A61" s="4" t="s">
        <v>198</v>
      </c>
      <c r="B61" s="4" t="s">
        <v>868</v>
      </c>
      <c r="C61" s="4" t="s">
        <v>1120</v>
      </c>
      <c r="D61" s="4" t="s">
        <v>1464</v>
      </c>
    </row>
    <row r="62" spans="1:4" x14ac:dyDescent="0.25">
      <c r="A62" s="4" t="s">
        <v>203</v>
      </c>
      <c r="B62" s="4" t="s">
        <v>869</v>
      </c>
      <c r="C62" s="4" t="s">
        <v>1121</v>
      </c>
      <c r="D62" s="4" t="s">
        <v>1465</v>
      </c>
    </row>
    <row r="63" spans="1:4" x14ac:dyDescent="0.25">
      <c r="A63" s="4" t="s">
        <v>205</v>
      </c>
      <c r="B63" s="4" t="s">
        <v>870</v>
      </c>
      <c r="C63" s="4" t="s">
        <v>1122</v>
      </c>
      <c r="D63" s="4" t="s">
        <v>1466</v>
      </c>
    </row>
    <row r="64" spans="1:4" x14ac:dyDescent="0.25">
      <c r="A64" s="4" t="s">
        <v>1123</v>
      </c>
      <c r="B64" s="4" t="s">
        <v>871</v>
      </c>
      <c r="C64" s="4" t="s">
        <v>1124</v>
      </c>
      <c r="D64" s="4" t="s">
        <v>1467</v>
      </c>
    </row>
    <row r="65" spans="1:4" x14ac:dyDescent="0.25">
      <c r="A65" s="4" t="s">
        <v>215</v>
      </c>
      <c r="B65" s="4" t="s">
        <v>872</v>
      </c>
      <c r="C65" s="4" t="s">
        <v>1125</v>
      </c>
      <c r="D65" s="4" t="s">
        <v>1468</v>
      </c>
    </row>
    <row r="66" spans="1:4" x14ac:dyDescent="0.25">
      <c r="A66" s="4" t="s">
        <v>219</v>
      </c>
      <c r="B66" s="4" t="s">
        <v>873</v>
      </c>
      <c r="C66" s="4" t="s">
        <v>1126</v>
      </c>
      <c r="D66" s="4" t="s">
        <v>1469</v>
      </c>
    </row>
    <row r="67" spans="1:4" x14ac:dyDescent="0.25">
      <c r="A67" s="4" t="s">
        <v>223</v>
      </c>
      <c r="B67" s="4" t="s">
        <v>874</v>
      </c>
      <c r="C67" s="4" t="s">
        <v>1127</v>
      </c>
      <c r="D67" s="4" t="s">
        <v>1470</v>
      </c>
    </row>
    <row r="68" spans="1:4" x14ac:dyDescent="0.25">
      <c r="A68" s="4" t="s">
        <v>228</v>
      </c>
      <c r="B68" s="4" t="s">
        <v>875</v>
      </c>
      <c r="C68" s="4" t="s">
        <v>1128</v>
      </c>
      <c r="D68" s="4" t="s">
        <v>1471</v>
      </c>
    </row>
    <row r="69" spans="1:4" x14ac:dyDescent="0.25">
      <c r="A69" s="4" t="s">
        <v>1129</v>
      </c>
      <c r="B69" s="4" t="s">
        <v>1130</v>
      </c>
      <c r="C69" s="4" t="s">
        <v>1131</v>
      </c>
      <c r="D69" s="4" t="s">
        <v>1472</v>
      </c>
    </row>
    <row r="70" spans="1:4" x14ac:dyDescent="0.25">
      <c r="A70" s="4" t="s">
        <v>231</v>
      </c>
      <c r="B70" s="4" t="s">
        <v>876</v>
      </c>
      <c r="C70" s="4" t="s">
        <v>1132</v>
      </c>
      <c r="D70" s="4" t="s">
        <v>1473</v>
      </c>
    </row>
    <row r="71" spans="1:4" x14ac:dyDescent="0.25">
      <c r="A71" s="4" t="s">
        <v>878</v>
      </c>
      <c r="B71" s="4" t="s">
        <v>877</v>
      </c>
      <c r="C71" s="4" t="s">
        <v>1133</v>
      </c>
      <c r="D71" s="4" t="s">
        <v>1474</v>
      </c>
    </row>
    <row r="72" spans="1:4" x14ac:dyDescent="0.25">
      <c r="A72" s="4" t="s">
        <v>235</v>
      </c>
      <c r="B72" s="4" t="s">
        <v>879</v>
      </c>
      <c r="C72" s="4" t="s">
        <v>1134</v>
      </c>
      <c r="D72" s="4" t="s">
        <v>1475</v>
      </c>
    </row>
    <row r="73" spans="1:4" x14ac:dyDescent="0.25">
      <c r="A73" s="4" t="s">
        <v>1135</v>
      </c>
      <c r="B73" s="4" t="s">
        <v>1136</v>
      </c>
      <c r="C73" s="4" t="s">
        <v>1137</v>
      </c>
      <c r="D73" s="4" t="s">
        <v>1476</v>
      </c>
    </row>
    <row r="74" spans="1:4" x14ac:dyDescent="0.25">
      <c r="A74" s="4" t="s">
        <v>1138</v>
      </c>
      <c r="B74" s="4" t="s">
        <v>880</v>
      </c>
      <c r="C74" s="4" t="s">
        <v>1139</v>
      </c>
      <c r="D74" s="4" t="s">
        <v>1477</v>
      </c>
    </row>
    <row r="75" spans="1:4" x14ac:dyDescent="0.25">
      <c r="A75" s="4" t="s">
        <v>243</v>
      </c>
      <c r="B75" s="4" t="s">
        <v>881</v>
      </c>
      <c r="C75" s="4" t="s">
        <v>1140</v>
      </c>
      <c r="D75" s="4" t="s">
        <v>1478</v>
      </c>
    </row>
    <row r="76" spans="1:4" x14ac:dyDescent="0.25">
      <c r="A76" s="4" t="s">
        <v>246</v>
      </c>
      <c r="B76" s="4" t="s">
        <v>882</v>
      </c>
      <c r="C76" s="4" t="s">
        <v>1141</v>
      </c>
      <c r="D76" s="4" t="s">
        <v>1479</v>
      </c>
    </row>
    <row r="77" spans="1:4" x14ac:dyDescent="0.25">
      <c r="A77" s="4" t="s">
        <v>251</v>
      </c>
      <c r="B77" s="4" t="s">
        <v>883</v>
      </c>
      <c r="C77" s="4" t="s">
        <v>1142</v>
      </c>
      <c r="D77" s="4" t="s">
        <v>1480</v>
      </c>
    </row>
    <row r="78" spans="1:4" x14ac:dyDescent="0.25">
      <c r="A78" s="4" t="s">
        <v>885</v>
      </c>
      <c r="B78" s="4" t="s">
        <v>884</v>
      </c>
      <c r="C78" s="4" t="s">
        <v>1143</v>
      </c>
      <c r="D78" s="4" t="s">
        <v>1481</v>
      </c>
    </row>
    <row r="79" spans="1:4" x14ac:dyDescent="0.25">
      <c r="A79" s="4" t="s">
        <v>256</v>
      </c>
      <c r="B79" s="4" t="s">
        <v>886</v>
      </c>
      <c r="C79" s="4" t="s">
        <v>1144</v>
      </c>
      <c r="D79" s="4" t="s">
        <v>1482</v>
      </c>
    </row>
    <row r="80" spans="1:4" x14ac:dyDescent="0.25">
      <c r="A80" s="4" t="s">
        <v>1145</v>
      </c>
      <c r="B80" s="4" t="s">
        <v>1146</v>
      </c>
      <c r="C80" s="4" t="s">
        <v>1147</v>
      </c>
      <c r="D80" s="4" t="s">
        <v>1483</v>
      </c>
    </row>
    <row r="81" spans="1:4" x14ac:dyDescent="0.25">
      <c r="A81" s="4" t="s">
        <v>266</v>
      </c>
      <c r="B81" s="4" t="s">
        <v>887</v>
      </c>
      <c r="C81" s="4" t="s">
        <v>1148</v>
      </c>
      <c r="D81" s="4" t="s">
        <v>1484</v>
      </c>
    </row>
    <row r="82" spans="1:4" x14ac:dyDescent="0.25">
      <c r="A82" s="4" t="s">
        <v>1149</v>
      </c>
      <c r="B82" s="4" t="s">
        <v>888</v>
      </c>
      <c r="C82" s="4" t="s">
        <v>1150</v>
      </c>
      <c r="D82" s="4" t="s">
        <v>1485</v>
      </c>
    </row>
    <row r="83" spans="1:4" x14ac:dyDescent="0.25">
      <c r="A83" s="4" t="s">
        <v>273</v>
      </c>
      <c r="B83" s="4" t="s">
        <v>889</v>
      </c>
      <c r="C83" s="4" t="s">
        <v>1151</v>
      </c>
      <c r="D83" s="4" t="s">
        <v>1486</v>
      </c>
    </row>
    <row r="84" spans="1:4" x14ac:dyDescent="0.25">
      <c r="A84" s="4" t="s">
        <v>277</v>
      </c>
      <c r="B84" s="4" t="s">
        <v>890</v>
      </c>
      <c r="C84" s="4" t="s">
        <v>1152</v>
      </c>
      <c r="D84" s="4" t="s">
        <v>1487</v>
      </c>
    </row>
    <row r="85" spans="1:4" x14ac:dyDescent="0.25">
      <c r="A85" s="4" t="s">
        <v>281</v>
      </c>
      <c r="B85" s="4" t="s">
        <v>891</v>
      </c>
      <c r="C85" s="4" t="s">
        <v>1153</v>
      </c>
      <c r="D85" s="4" t="s">
        <v>1488</v>
      </c>
    </row>
    <row r="86" spans="1:4" x14ac:dyDescent="0.25">
      <c r="A86" s="4" t="s">
        <v>285</v>
      </c>
      <c r="B86" s="4" t="s">
        <v>892</v>
      </c>
      <c r="C86" s="4" t="s">
        <v>1154</v>
      </c>
      <c r="D86" s="4" t="s">
        <v>1489</v>
      </c>
    </row>
    <row r="87" spans="1:4" x14ac:dyDescent="0.25">
      <c r="A87" s="4" t="s">
        <v>287</v>
      </c>
      <c r="B87" s="4" t="s">
        <v>893</v>
      </c>
      <c r="C87" s="4" t="s">
        <v>1155</v>
      </c>
      <c r="D87" s="4" t="s">
        <v>1490</v>
      </c>
    </row>
    <row r="88" spans="1:4" x14ac:dyDescent="0.25">
      <c r="A88" s="4" t="s">
        <v>291</v>
      </c>
      <c r="B88" s="4" t="s">
        <v>894</v>
      </c>
      <c r="C88" s="4" t="s">
        <v>1156</v>
      </c>
      <c r="D88" s="4" t="s">
        <v>1491</v>
      </c>
    </row>
    <row r="89" spans="1:4" x14ac:dyDescent="0.25">
      <c r="A89" s="4" t="s">
        <v>293</v>
      </c>
      <c r="B89" s="4" t="s">
        <v>895</v>
      </c>
      <c r="C89" s="4" t="s">
        <v>1157</v>
      </c>
      <c r="D89" s="4" t="s">
        <v>1492</v>
      </c>
    </row>
    <row r="90" spans="1:4" x14ac:dyDescent="0.25">
      <c r="A90" s="4" t="s">
        <v>897</v>
      </c>
      <c r="B90" s="4" t="s">
        <v>896</v>
      </c>
      <c r="C90" s="4" t="s">
        <v>1158</v>
      </c>
      <c r="D90" s="4" t="s">
        <v>1493</v>
      </c>
    </row>
    <row r="91" spans="1:4" x14ac:dyDescent="0.25">
      <c r="A91" s="4" t="s">
        <v>295</v>
      </c>
      <c r="B91" s="4" t="s">
        <v>898</v>
      </c>
      <c r="C91" s="4" t="s">
        <v>1159</v>
      </c>
      <c r="D91" s="4" t="s">
        <v>1494</v>
      </c>
    </row>
    <row r="92" spans="1:4" x14ac:dyDescent="0.25">
      <c r="A92" s="4" t="s">
        <v>299</v>
      </c>
      <c r="B92" s="4" t="s">
        <v>899</v>
      </c>
      <c r="C92" s="4" t="s">
        <v>1160</v>
      </c>
      <c r="D92" s="4" t="s">
        <v>1495</v>
      </c>
    </row>
    <row r="93" spans="1:4" x14ac:dyDescent="0.25">
      <c r="A93" s="4" t="s">
        <v>901</v>
      </c>
      <c r="B93" s="4" t="s">
        <v>900</v>
      </c>
      <c r="C93" s="4" t="s">
        <v>1161</v>
      </c>
      <c r="D93" s="4" t="s">
        <v>1496</v>
      </c>
    </row>
    <row r="94" spans="1:4" x14ac:dyDescent="0.25">
      <c r="A94" s="4" t="s">
        <v>302</v>
      </c>
      <c r="B94" s="4" t="s">
        <v>902</v>
      </c>
      <c r="C94" s="4" t="s">
        <v>1162</v>
      </c>
      <c r="D94" s="4" t="s">
        <v>1497</v>
      </c>
    </row>
    <row r="95" spans="1:4" x14ac:dyDescent="0.25">
      <c r="A95" s="4" t="s">
        <v>904</v>
      </c>
      <c r="B95" s="4" t="s">
        <v>903</v>
      </c>
      <c r="C95" s="4" t="s">
        <v>1163</v>
      </c>
      <c r="D95" s="4" t="s">
        <v>1498</v>
      </c>
    </row>
    <row r="96" spans="1:4" x14ac:dyDescent="0.25">
      <c r="A96" s="4" t="s">
        <v>309</v>
      </c>
      <c r="B96" s="4" t="s">
        <v>905</v>
      </c>
      <c r="C96" s="4" t="s">
        <v>1164</v>
      </c>
      <c r="D96" s="4" t="s">
        <v>1499</v>
      </c>
    </row>
    <row r="97" spans="1:4" x14ac:dyDescent="0.25">
      <c r="A97" s="4" t="s">
        <v>312</v>
      </c>
      <c r="B97" s="4" t="s">
        <v>906</v>
      </c>
      <c r="C97" s="4" t="s">
        <v>1165</v>
      </c>
      <c r="D97" s="4" t="s">
        <v>1500</v>
      </c>
    </row>
    <row r="98" spans="1:4" x14ac:dyDescent="0.25">
      <c r="A98" s="4" t="s">
        <v>1166</v>
      </c>
      <c r="B98" s="4" t="s">
        <v>1167</v>
      </c>
      <c r="C98" s="4" t="s">
        <v>1168</v>
      </c>
      <c r="D98" s="4" t="s">
        <v>1501</v>
      </c>
    </row>
    <row r="99" spans="1:4" x14ac:dyDescent="0.25">
      <c r="A99" s="4" t="s">
        <v>1169</v>
      </c>
      <c r="B99" s="4" t="s">
        <v>1170</v>
      </c>
      <c r="C99" s="4" t="s">
        <v>1171</v>
      </c>
      <c r="D99" s="4" t="s">
        <v>1502</v>
      </c>
    </row>
    <row r="100" spans="1:4" x14ac:dyDescent="0.25">
      <c r="A100" s="4" t="s">
        <v>314</v>
      </c>
      <c r="B100" s="4" t="s">
        <v>907</v>
      </c>
      <c r="C100" s="4" t="s">
        <v>1172</v>
      </c>
      <c r="D100" s="4" t="s">
        <v>1503</v>
      </c>
    </row>
    <row r="101" spans="1:4" x14ac:dyDescent="0.25">
      <c r="A101" s="4" t="s">
        <v>317</v>
      </c>
      <c r="B101" s="4" t="s">
        <v>908</v>
      </c>
      <c r="C101" s="4" t="s">
        <v>1173</v>
      </c>
      <c r="D101" s="4" t="s">
        <v>1504</v>
      </c>
    </row>
    <row r="102" spans="1:4" x14ac:dyDescent="0.25">
      <c r="A102" s="4" t="s">
        <v>322</v>
      </c>
      <c r="B102" s="4" t="s">
        <v>909</v>
      </c>
      <c r="C102" s="4" t="s">
        <v>1174</v>
      </c>
      <c r="D102" s="4" t="s">
        <v>1505</v>
      </c>
    </row>
    <row r="103" spans="1:4" x14ac:dyDescent="0.25">
      <c r="A103" s="4" t="s">
        <v>326</v>
      </c>
      <c r="B103" s="4" t="s">
        <v>910</v>
      </c>
      <c r="C103" s="4" t="s">
        <v>1175</v>
      </c>
      <c r="D103" s="4" t="s">
        <v>1506</v>
      </c>
    </row>
    <row r="104" spans="1:4" x14ac:dyDescent="0.25">
      <c r="A104" s="4" t="s">
        <v>330</v>
      </c>
      <c r="B104" s="4" t="s">
        <v>911</v>
      </c>
      <c r="C104" s="4" t="s">
        <v>1176</v>
      </c>
      <c r="D104" s="4" t="s">
        <v>1507</v>
      </c>
    </row>
    <row r="105" spans="1:4" x14ac:dyDescent="0.25">
      <c r="A105" s="4" t="s">
        <v>335</v>
      </c>
      <c r="B105" s="4" t="s">
        <v>912</v>
      </c>
      <c r="C105" s="4" t="s">
        <v>1177</v>
      </c>
      <c r="D105" s="4" t="s">
        <v>1508</v>
      </c>
    </row>
    <row r="106" spans="1:4" x14ac:dyDescent="0.25">
      <c r="A106" s="4" t="s">
        <v>1178</v>
      </c>
      <c r="B106" s="4" t="s">
        <v>1179</v>
      </c>
      <c r="C106" s="4" t="s">
        <v>1180</v>
      </c>
      <c r="D106" s="4" t="s">
        <v>1509</v>
      </c>
    </row>
    <row r="107" spans="1:4" x14ac:dyDescent="0.25">
      <c r="A107" s="4" t="s">
        <v>343</v>
      </c>
      <c r="B107" s="4" t="s">
        <v>913</v>
      </c>
      <c r="C107" s="4" t="s">
        <v>1181</v>
      </c>
      <c r="D107" s="4" t="s">
        <v>1510</v>
      </c>
    </row>
    <row r="108" spans="1:4" x14ac:dyDescent="0.25">
      <c r="A108" s="4" t="s">
        <v>347</v>
      </c>
      <c r="B108" s="4" t="s">
        <v>914</v>
      </c>
      <c r="C108" s="4" t="s">
        <v>1182</v>
      </c>
      <c r="D108" s="4" t="s">
        <v>1511</v>
      </c>
    </row>
    <row r="109" spans="1:4" x14ac:dyDescent="0.25">
      <c r="A109" s="4" t="s">
        <v>916</v>
      </c>
      <c r="B109" s="4" t="s">
        <v>915</v>
      </c>
      <c r="C109" s="4" t="s">
        <v>1183</v>
      </c>
      <c r="D109" s="4" t="s">
        <v>1512</v>
      </c>
    </row>
    <row r="110" spans="1:4" x14ac:dyDescent="0.25">
      <c r="A110" s="4" t="s">
        <v>351</v>
      </c>
      <c r="B110" s="4" t="s">
        <v>917</v>
      </c>
      <c r="C110" s="4" t="s">
        <v>1184</v>
      </c>
      <c r="D110" s="4" t="s">
        <v>1513</v>
      </c>
    </row>
    <row r="111" spans="1:4" x14ac:dyDescent="0.25">
      <c r="A111" s="4" t="s">
        <v>356</v>
      </c>
      <c r="B111" s="4" t="s">
        <v>918</v>
      </c>
      <c r="C111" s="4" t="s">
        <v>1185</v>
      </c>
      <c r="D111" s="4" t="s">
        <v>1514</v>
      </c>
    </row>
    <row r="112" spans="1:4" x14ac:dyDescent="0.25">
      <c r="A112" s="4" t="s">
        <v>366</v>
      </c>
      <c r="B112" s="4" t="s">
        <v>919</v>
      </c>
      <c r="C112" s="4" t="s">
        <v>1186</v>
      </c>
      <c r="D112" s="4" t="s">
        <v>1515</v>
      </c>
    </row>
    <row r="113" spans="1:4" x14ac:dyDescent="0.25">
      <c r="A113" s="4" t="s">
        <v>369</v>
      </c>
      <c r="B113" s="4" t="s">
        <v>920</v>
      </c>
      <c r="C113" s="4" t="s">
        <v>1187</v>
      </c>
      <c r="D113" s="4" t="s">
        <v>1516</v>
      </c>
    </row>
    <row r="114" spans="1:4" x14ac:dyDescent="0.25">
      <c r="A114" s="4" t="s">
        <v>922</v>
      </c>
      <c r="B114" s="4" t="s">
        <v>921</v>
      </c>
      <c r="C114" s="4" t="s">
        <v>1188</v>
      </c>
      <c r="D114" s="4" t="s">
        <v>1517</v>
      </c>
    </row>
    <row r="115" spans="1:4" x14ac:dyDescent="0.25">
      <c r="A115" s="4" t="s">
        <v>374</v>
      </c>
      <c r="B115" s="4" t="s">
        <v>923</v>
      </c>
      <c r="C115" s="4" t="s">
        <v>1189</v>
      </c>
      <c r="D115" s="4" t="s">
        <v>1518</v>
      </c>
    </row>
    <row r="116" spans="1:4" x14ac:dyDescent="0.25">
      <c r="A116" s="4" t="s">
        <v>378</v>
      </c>
      <c r="B116" s="4" t="s">
        <v>924</v>
      </c>
      <c r="C116" s="4" t="s">
        <v>1190</v>
      </c>
      <c r="D116" s="4" t="s">
        <v>1519</v>
      </c>
    </row>
    <row r="117" spans="1:4" x14ac:dyDescent="0.25">
      <c r="A117" s="4" t="s">
        <v>382</v>
      </c>
      <c r="B117" s="4" t="s">
        <v>925</v>
      </c>
      <c r="C117" s="4" t="s">
        <v>1191</v>
      </c>
      <c r="D117" s="4" t="s">
        <v>1520</v>
      </c>
    </row>
    <row r="118" spans="1:4" x14ac:dyDescent="0.25">
      <c r="A118" s="4" t="s">
        <v>386</v>
      </c>
      <c r="B118" s="4" t="s">
        <v>1192</v>
      </c>
      <c r="C118" s="4" t="s">
        <v>1193</v>
      </c>
      <c r="D118" s="4" t="s">
        <v>1521</v>
      </c>
    </row>
    <row r="119" spans="1:4" x14ac:dyDescent="0.25">
      <c r="A119" s="4" t="s">
        <v>1194</v>
      </c>
      <c r="B119" s="4" t="s">
        <v>1195</v>
      </c>
      <c r="C119" s="4" t="s">
        <v>1196</v>
      </c>
      <c r="D119" s="4" t="s">
        <v>1522</v>
      </c>
    </row>
    <row r="120" spans="1:4" x14ac:dyDescent="0.25">
      <c r="A120" s="4" t="s">
        <v>1197</v>
      </c>
      <c r="B120" s="4" t="s">
        <v>1001</v>
      </c>
      <c r="C120" s="4" t="s">
        <v>1198</v>
      </c>
      <c r="D120" s="4" t="s">
        <v>1523</v>
      </c>
    </row>
    <row r="121" spans="1:4" x14ac:dyDescent="0.25">
      <c r="A121" s="4" t="s">
        <v>391</v>
      </c>
      <c r="B121" s="4" t="s">
        <v>1199</v>
      </c>
      <c r="C121" s="4" t="s">
        <v>1200</v>
      </c>
      <c r="D121" s="4" t="s">
        <v>1524</v>
      </c>
    </row>
    <row r="122" spans="1:4" x14ac:dyDescent="0.25">
      <c r="A122" s="4" t="s">
        <v>395</v>
      </c>
      <c r="B122" s="4" t="s">
        <v>927</v>
      </c>
      <c r="C122" s="4" t="s">
        <v>1201</v>
      </c>
      <c r="D122" s="4" t="s">
        <v>1525</v>
      </c>
    </row>
    <row r="123" spans="1:4" x14ac:dyDescent="0.25">
      <c r="A123" s="4" t="s">
        <v>1202</v>
      </c>
      <c r="B123" s="4" t="s">
        <v>928</v>
      </c>
      <c r="C123" s="4" t="s">
        <v>1203</v>
      </c>
      <c r="D123" s="4" t="s">
        <v>1526</v>
      </c>
    </row>
    <row r="124" spans="1:4" x14ac:dyDescent="0.25">
      <c r="A124" s="4" t="s">
        <v>404</v>
      </c>
      <c r="B124" s="4" t="s">
        <v>929</v>
      </c>
      <c r="C124" s="4" t="s">
        <v>1204</v>
      </c>
      <c r="D124" s="4" t="s">
        <v>1527</v>
      </c>
    </row>
    <row r="125" spans="1:4" x14ac:dyDescent="0.25">
      <c r="A125" s="4" t="s">
        <v>408</v>
      </c>
      <c r="B125" s="4" t="s">
        <v>930</v>
      </c>
      <c r="C125" s="4" t="s">
        <v>1205</v>
      </c>
      <c r="D125" s="4" t="s">
        <v>1528</v>
      </c>
    </row>
    <row r="126" spans="1:4" x14ac:dyDescent="0.25">
      <c r="A126" s="4" t="s">
        <v>411</v>
      </c>
      <c r="B126" s="4" t="s">
        <v>931</v>
      </c>
      <c r="C126" s="4" t="s">
        <v>1206</v>
      </c>
      <c r="D126" s="4" t="s">
        <v>1529</v>
      </c>
    </row>
    <row r="127" spans="1:4" x14ac:dyDescent="0.25">
      <c r="A127" s="4" t="s">
        <v>414</v>
      </c>
      <c r="B127" s="4" t="s">
        <v>932</v>
      </c>
      <c r="C127" s="4" t="s">
        <v>1207</v>
      </c>
      <c r="D127" s="4" t="s">
        <v>1530</v>
      </c>
    </row>
    <row r="128" spans="1:4" x14ac:dyDescent="0.25">
      <c r="A128" s="4" t="s">
        <v>417</v>
      </c>
      <c r="B128" s="4" t="s">
        <v>933</v>
      </c>
      <c r="C128" s="4" t="s">
        <v>1208</v>
      </c>
      <c r="D128" s="4" t="s">
        <v>1531</v>
      </c>
    </row>
    <row r="129" spans="1:4" x14ac:dyDescent="0.25">
      <c r="A129" s="4" t="s">
        <v>420</v>
      </c>
      <c r="B129" s="4" t="s">
        <v>934</v>
      </c>
      <c r="C129" s="4" t="s">
        <v>1209</v>
      </c>
      <c r="D129" s="4" t="s">
        <v>1532</v>
      </c>
    </row>
    <row r="130" spans="1:4" x14ac:dyDescent="0.25">
      <c r="A130" s="4" t="s">
        <v>423</v>
      </c>
      <c r="B130" s="4" t="s">
        <v>935</v>
      </c>
      <c r="C130" s="4" t="s">
        <v>1210</v>
      </c>
      <c r="D130" s="4" t="s">
        <v>1533</v>
      </c>
    </row>
    <row r="131" spans="1:4" x14ac:dyDescent="0.25">
      <c r="A131" s="4" t="s">
        <v>427</v>
      </c>
      <c r="B131" s="4" t="s">
        <v>936</v>
      </c>
      <c r="C131" s="4" t="s">
        <v>1211</v>
      </c>
      <c r="D131" s="4" t="s">
        <v>1534</v>
      </c>
    </row>
    <row r="132" spans="1:4" x14ac:dyDescent="0.25">
      <c r="A132" s="4" t="s">
        <v>431</v>
      </c>
      <c r="B132" s="4" t="s">
        <v>937</v>
      </c>
      <c r="C132" s="4" t="s">
        <v>1212</v>
      </c>
      <c r="D132" s="4" t="s">
        <v>1535</v>
      </c>
    </row>
    <row r="133" spans="1:4" x14ac:dyDescent="0.25">
      <c r="A133" s="4" t="s">
        <v>444</v>
      </c>
      <c r="B133" s="4" t="s">
        <v>938</v>
      </c>
      <c r="C133" s="4" t="s">
        <v>1213</v>
      </c>
      <c r="D133" s="4" t="s">
        <v>1536</v>
      </c>
    </row>
    <row r="134" spans="1:4" x14ac:dyDescent="0.25">
      <c r="A134" s="4" t="s">
        <v>448</v>
      </c>
      <c r="B134" s="4" t="s">
        <v>939</v>
      </c>
      <c r="C134" s="4" t="s">
        <v>1214</v>
      </c>
      <c r="D134" s="4" t="s">
        <v>1537</v>
      </c>
    </row>
    <row r="135" spans="1:4" x14ac:dyDescent="0.25">
      <c r="A135" s="4" t="s">
        <v>451</v>
      </c>
      <c r="B135" s="4" t="s">
        <v>940</v>
      </c>
      <c r="C135" s="4" t="s">
        <v>1215</v>
      </c>
      <c r="D135" s="4" t="s">
        <v>1538</v>
      </c>
    </row>
    <row r="136" spans="1:4" x14ac:dyDescent="0.25">
      <c r="A136" s="4" t="s">
        <v>456</v>
      </c>
      <c r="B136" s="4" t="s">
        <v>941</v>
      </c>
      <c r="C136" s="4" t="s">
        <v>1216</v>
      </c>
      <c r="D136" s="4" t="s">
        <v>1539</v>
      </c>
    </row>
    <row r="137" spans="1:4" x14ac:dyDescent="0.25">
      <c r="A137" s="4" t="s">
        <v>459</v>
      </c>
      <c r="B137" s="4" t="s">
        <v>942</v>
      </c>
      <c r="C137" s="4" t="s">
        <v>1217</v>
      </c>
      <c r="D137" s="4" t="s">
        <v>1540</v>
      </c>
    </row>
    <row r="138" spans="1:4" x14ac:dyDescent="0.25">
      <c r="A138" s="4" t="s">
        <v>462</v>
      </c>
      <c r="B138" s="4" t="s">
        <v>943</v>
      </c>
      <c r="C138" s="4" t="s">
        <v>1218</v>
      </c>
      <c r="D138" s="4" t="s">
        <v>1541</v>
      </c>
    </row>
    <row r="139" spans="1:4" x14ac:dyDescent="0.25">
      <c r="A139" s="4" t="s">
        <v>1219</v>
      </c>
      <c r="B139" s="4" t="s">
        <v>1220</v>
      </c>
      <c r="C139" s="4" t="s">
        <v>1221</v>
      </c>
      <c r="D139" s="4" t="s">
        <v>1542</v>
      </c>
    </row>
    <row r="140" spans="1:4" x14ac:dyDescent="0.25">
      <c r="A140" s="4" t="s">
        <v>945</v>
      </c>
      <c r="B140" s="4" t="s">
        <v>944</v>
      </c>
      <c r="C140" s="4" t="s">
        <v>1222</v>
      </c>
      <c r="D140" s="4" t="s">
        <v>1543</v>
      </c>
    </row>
    <row r="141" spans="1:4" x14ac:dyDescent="0.25">
      <c r="A141" s="4" t="s">
        <v>473</v>
      </c>
      <c r="B141" s="4" t="s">
        <v>946</v>
      </c>
      <c r="C141" s="4" t="s">
        <v>1223</v>
      </c>
      <c r="D141" s="4" t="s">
        <v>1544</v>
      </c>
    </row>
    <row r="142" spans="1:4" x14ac:dyDescent="0.25">
      <c r="A142" s="4" t="s">
        <v>477</v>
      </c>
      <c r="B142" s="4" t="s">
        <v>947</v>
      </c>
      <c r="C142" s="4" t="s">
        <v>1224</v>
      </c>
      <c r="D142" s="4" t="s">
        <v>1545</v>
      </c>
    </row>
    <row r="143" spans="1:4" x14ac:dyDescent="0.25">
      <c r="A143" s="4" t="s">
        <v>1225</v>
      </c>
      <c r="B143" s="4" t="s">
        <v>1226</v>
      </c>
      <c r="C143" s="4" t="s">
        <v>1227</v>
      </c>
      <c r="D143" s="4" t="s">
        <v>1546</v>
      </c>
    </row>
    <row r="144" spans="1:4" x14ac:dyDescent="0.25">
      <c r="A144" s="4" t="s">
        <v>481</v>
      </c>
      <c r="B144" s="4" t="s">
        <v>948</v>
      </c>
      <c r="C144" s="4" t="s">
        <v>1228</v>
      </c>
      <c r="D144" s="4" t="s">
        <v>1547</v>
      </c>
    </row>
    <row r="145" spans="1:4" x14ac:dyDescent="0.25">
      <c r="A145" s="4" t="s">
        <v>1229</v>
      </c>
      <c r="B145" s="4" t="s">
        <v>1230</v>
      </c>
      <c r="C145" s="4" t="s">
        <v>1231</v>
      </c>
      <c r="D145" s="4" t="s">
        <v>1548</v>
      </c>
    </row>
    <row r="146" spans="1:4" x14ac:dyDescent="0.25">
      <c r="A146" s="4" t="s">
        <v>1232</v>
      </c>
      <c r="B146" s="4" t="s">
        <v>949</v>
      </c>
      <c r="C146" s="4" t="s">
        <v>1233</v>
      </c>
      <c r="D146" s="4" t="s">
        <v>1549</v>
      </c>
    </row>
    <row r="147" spans="1:4" x14ac:dyDescent="0.25">
      <c r="A147" s="4" t="s">
        <v>492</v>
      </c>
      <c r="B147" s="4" t="s">
        <v>950</v>
      </c>
      <c r="C147" s="4" t="s">
        <v>1234</v>
      </c>
      <c r="D147" s="4" t="s">
        <v>1550</v>
      </c>
    </row>
    <row r="148" spans="1:4" x14ac:dyDescent="0.25">
      <c r="A148" s="4" t="s">
        <v>494</v>
      </c>
      <c r="B148" s="4" t="s">
        <v>951</v>
      </c>
      <c r="C148" s="4" t="s">
        <v>1235</v>
      </c>
      <c r="D148" s="4" t="s">
        <v>1551</v>
      </c>
    </row>
    <row r="149" spans="1:4" x14ac:dyDescent="0.25">
      <c r="A149" s="4" t="s">
        <v>498</v>
      </c>
      <c r="B149" s="4" t="s">
        <v>952</v>
      </c>
      <c r="C149" s="4" t="s">
        <v>1236</v>
      </c>
      <c r="D149" s="4" t="s">
        <v>1552</v>
      </c>
    </row>
    <row r="150" spans="1:4" x14ac:dyDescent="0.25">
      <c r="A150" s="4" t="s">
        <v>502</v>
      </c>
      <c r="B150" s="4" t="s">
        <v>953</v>
      </c>
      <c r="C150" s="4" t="s">
        <v>1237</v>
      </c>
      <c r="D150" s="4" t="s">
        <v>1553</v>
      </c>
    </row>
    <row r="151" spans="1:4" x14ac:dyDescent="0.25">
      <c r="A151" s="4" t="s">
        <v>504</v>
      </c>
      <c r="B151" s="4" t="s">
        <v>954</v>
      </c>
      <c r="C151" s="4" t="s">
        <v>1238</v>
      </c>
      <c r="D151" s="4" t="s">
        <v>1554</v>
      </c>
    </row>
    <row r="152" spans="1:4" x14ac:dyDescent="0.25">
      <c r="A152" s="4" t="s">
        <v>508</v>
      </c>
      <c r="B152" s="4" t="s">
        <v>955</v>
      </c>
      <c r="C152" s="4" t="s">
        <v>1239</v>
      </c>
      <c r="D152" s="4" t="s">
        <v>1555</v>
      </c>
    </row>
    <row r="153" spans="1:4" x14ac:dyDescent="0.25">
      <c r="A153" s="4" t="s">
        <v>512</v>
      </c>
      <c r="B153" s="4" t="s">
        <v>956</v>
      </c>
      <c r="C153" s="4" t="s">
        <v>1240</v>
      </c>
      <c r="D153" s="4" t="s">
        <v>1556</v>
      </c>
    </row>
    <row r="154" spans="1:4" x14ac:dyDescent="0.25">
      <c r="A154" s="4" t="s">
        <v>516</v>
      </c>
      <c r="B154" s="4" t="s">
        <v>957</v>
      </c>
      <c r="C154" s="4" t="s">
        <v>1241</v>
      </c>
      <c r="D154" s="4" t="s">
        <v>1557</v>
      </c>
    </row>
    <row r="155" spans="1:4" x14ac:dyDescent="0.25">
      <c r="A155" s="4" t="s">
        <v>1242</v>
      </c>
      <c r="B155" s="4" t="s">
        <v>1243</v>
      </c>
      <c r="C155" s="4" t="s">
        <v>1244</v>
      </c>
      <c r="D155" s="4" t="s">
        <v>1558</v>
      </c>
    </row>
    <row r="156" spans="1:4" x14ac:dyDescent="0.25">
      <c r="A156" s="4" t="s">
        <v>519</v>
      </c>
      <c r="B156" s="4" t="s">
        <v>958</v>
      </c>
      <c r="C156" s="4" t="s">
        <v>1245</v>
      </c>
      <c r="D156" s="4" t="s">
        <v>1559</v>
      </c>
    </row>
    <row r="157" spans="1:4" x14ac:dyDescent="0.25">
      <c r="A157" s="4" t="s">
        <v>1246</v>
      </c>
      <c r="B157" s="4" t="s">
        <v>959</v>
      </c>
      <c r="C157" s="4" t="s">
        <v>1247</v>
      </c>
      <c r="D157" s="4" t="s">
        <v>1560</v>
      </c>
    </row>
    <row r="158" spans="1:4" x14ac:dyDescent="0.25">
      <c r="A158" s="4" t="s">
        <v>530</v>
      </c>
      <c r="B158" s="4" t="s">
        <v>962</v>
      </c>
      <c r="C158" s="4" t="s">
        <v>1248</v>
      </c>
      <c r="D158" s="4" t="s">
        <v>1561</v>
      </c>
    </row>
    <row r="159" spans="1:4" x14ac:dyDescent="0.25">
      <c r="A159" s="4" t="s">
        <v>532</v>
      </c>
      <c r="B159" s="4" t="s">
        <v>963</v>
      </c>
      <c r="C159" s="4" t="s">
        <v>1249</v>
      </c>
      <c r="D159" s="4" t="s">
        <v>1562</v>
      </c>
    </row>
    <row r="160" spans="1:4" x14ac:dyDescent="0.25">
      <c r="A160" s="4" t="s">
        <v>536</v>
      </c>
      <c r="B160" s="4" t="s">
        <v>964</v>
      </c>
      <c r="C160" s="4" t="s">
        <v>1250</v>
      </c>
      <c r="D160" s="4" t="s">
        <v>1563</v>
      </c>
    </row>
    <row r="161" spans="1:4" x14ac:dyDescent="0.25">
      <c r="A161" s="4" t="s">
        <v>1251</v>
      </c>
      <c r="B161" s="4" t="s">
        <v>965</v>
      </c>
      <c r="C161" s="4" t="s">
        <v>1252</v>
      </c>
      <c r="D161" s="4" t="s">
        <v>1564</v>
      </c>
    </row>
    <row r="162" spans="1:4" x14ac:dyDescent="0.25">
      <c r="A162" s="4" t="s">
        <v>543</v>
      </c>
      <c r="B162" s="4" t="s">
        <v>966</v>
      </c>
      <c r="C162" s="4" t="s">
        <v>1253</v>
      </c>
      <c r="D162" s="4" t="s">
        <v>1565</v>
      </c>
    </row>
    <row r="163" spans="1:4" x14ac:dyDescent="0.25">
      <c r="A163" s="4" t="s">
        <v>1254</v>
      </c>
      <c r="B163" s="4" t="s">
        <v>1255</v>
      </c>
      <c r="C163" s="4" t="s">
        <v>1256</v>
      </c>
      <c r="D163" s="4" t="s">
        <v>1566</v>
      </c>
    </row>
    <row r="164" spans="1:4" x14ac:dyDescent="0.25">
      <c r="A164" s="4" t="s">
        <v>1257</v>
      </c>
      <c r="B164" s="4" t="s">
        <v>1258</v>
      </c>
      <c r="C164" s="4" t="s">
        <v>1259</v>
      </c>
      <c r="D164" s="4" t="s">
        <v>1567</v>
      </c>
    </row>
    <row r="165" spans="1:4" x14ac:dyDescent="0.25">
      <c r="A165" s="4" t="s">
        <v>1260</v>
      </c>
      <c r="B165" s="4" t="s">
        <v>1261</v>
      </c>
      <c r="C165" s="4" t="s">
        <v>1262</v>
      </c>
      <c r="D165" s="4" t="s">
        <v>1568</v>
      </c>
    </row>
    <row r="166" spans="1:4" x14ac:dyDescent="0.25">
      <c r="A166" s="4" t="s">
        <v>551</v>
      </c>
      <c r="B166" s="4" t="s">
        <v>968</v>
      </c>
      <c r="C166" s="4" t="s">
        <v>1263</v>
      </c>
      <c r="D166" s="4" t="s">
        <v>1569</v>
      </c>
    </row>
    <row r="167" spans="1:4" x14ac:dyDescent="0.25">
      <c r="A167" s="4" t="s">
        <v>555</v>
      </c>
      <c r="B167" s="4" t="s">
        <v>969</v>
      </c>
      <c r="C167" s="4" t="s">
        <v>1264</v>
      </c>
      <c r="D167" s="4" t="s">
        <v>1570</v>
      </c>
    </row>
    <row r="168" spans="1:4" x14ac:dyDescent="0.25">
      <c r="A168" s="4" t="s">
        <v>559</v>
      </c>
      <c r="B168" s="4" t="s">
        <v>970</v>
      </c>
      <c r="C168" s="4" t="s">
        <v>1265</v>
      </c>
      <c r="D168" s="4" t="s">
        <v>1571</v>
      </c>
    </row>
    <row r="169" spans="1:4" x14ac:dyDescent="0.25">
      <c r="A169" s="4" t="s">
        <v>564</v>
      </c>
      <c r="B169" s="4" t="s">
        <v>1266</v>
      </c>
      <c r="C169" s="4" t="s">
        <v>1267</v>
      </c>
      <c r="D169" s="4" t="s">
        <v>1572</v>
      </c>
    </row>
    <row r="170" spans="1:4" x14ac:dyDescent="0.25">
      <c r="A170" s="4" t="s">
        <v>1006</v>
      </c>
      <c r="B170" s="4" t="s">
        <v>1005</v>
      </c>
      <c r="C170" s="4" t="s">
        <v>1268</v>
      </c>
      <c r="D170" s="4" t="s">
        <v>1573</v>
      </c>
    </row>
    <row r="171" spans="1:4" x14ac:dyDescent="0.25">
      <c r="A171" s="4" t="s">
        <v>569</v>
      </c>
      <c r="B171" s="4" t="s">
        <v>971</v>
      </c>
      <c r="C171" s="4" t="s">
        <v>1269</v>
      </c>
      <c r="D171" s="4" t="s">
        <v>1574</v>
      </c>
    </row>
    <row r="172" spans="1:4" x14ac:dyDescent="0.25">
      <c r="A172" s="4" t="s">
        <v>573</v>
      </c>
      <c r="B172" s="4" t="s">
        <v>972</v>
      </c>
      <c r="C172" s="4" t="s">
        <v>1270</v>
      </c>
      <c r="D172" s="4" t="s">
        <v>1575</v>
      </c>
    </row>
    <row r="173" spans="1:4" x14ac:dyDescent="0.25">
      <c r="A173" s="4" t="s">
        <v>576</v>
      </c>
      <c r="B173" s="4" t="s">
        <v>973</v>
      </c>
      <c r="C173" s="4" t="s">
        <v>1271</v>
      </c>
      <c r="D173" s="4" t="s">
        <v>1576</v>
      </c>
    </row>
    <row r="174" spans="1:4" x14ac:dyDescent="0.25">
      <c r="A174" s="4" t="s">
        <v>580</v>
      </c>
      <c r="B174" s="4" t="s">
        <v>974</v>
      </c>
      <c r="C174" s="4" t="s">
        <v>1272</v>
      </c>
      <c r="D174" s="4" t="s">
        <v>1577</v>
      </c>
    </row>
    <row r="175" spans="1:4" x14ac:dyDescent="0.25">
      <c r="A175" s="4" t="s">
        <v>1273</v>
      </c>
      <c r="B175" s="4" t="s">
        <v>975</v>
      </c>
      <c r="C175" s="4" t="s">
        <v>1274</v>
      </c>
      <c r="D175" s="4" t="s">
        <v>1578</v>
      </c>
    </row>
    <row r="176" spans="1:4" x14ac:dyDescent="0.25">
      <c r="A176" s="4" t="s">
        <v>1275</v>
      </c>
      <c r="B176" s="4" t="s">
        <v>1276</v>
      </c>
      <c r="C176" s="4" t="s">
        <v>1277</v>
      </c>
      <c r="D176" s="4" t="s">
        <v>1579</v>
      </c>
    </row>
    <row r="177" spans="1:4" x14ac:dyDescent="0.25">
      <c r="A177" s="4" t="s">
        <v>588</v>
      </c>
      <c r="B177" s="4" t="s">
        <v>976</v>
      </c>
      <c r="C177" s="4" t="s">
        <v>1278</v>
      </c>
      <c r="D177" s="4" t="s">
        <v>1580</v>
      </c>
    </row>
    <row r="178" spans="1:4" x14ac:dyDescent="0.25">
      <c r="A178" s="4" t="s">
        <v>593</v>
      </c>
      <c r="B178" s="4" t="s">
        <v>977</v>
      </c>
      <c r="C178" s="4" t="s">
        <v>1279</v>
      </c>
      <c r="D178" s="4" t="s">
        <v>1581</v>
      </c>
    </row>
    <row r="179" spans="1:4" x14ac:dyDescent="0.25">
      <c r="A179" s="4" t="s">
        <v>598</v>
      </c>
      <c r="B179" s="4" t="s">
        <v>978</v>
      </c>
      <c r="C179" s="4" t="s">
        <v>1280</v>
      </c>
      <c r="D179" s="4" t="s">
        <v>1582</v>
      </c>
    </row>
    <row r="180" spans="1:4" x14ac:dyDescent="0.25">
      <c r="A180" s="4" t="s">
        <v>601</v>
      </c>
      <c r="B180" s="4" t="s">
        <v>979</v>
      </c>
      <c r="C180" s="4" t="s">
        <v>1281</v>
      </c>
      <c r="D180" s="4" t="s">
        <v>1583</v>
      </c>
    </row>
    <row r="181" spans="1:4" x14ac:dyDescent="0.25">
      <c r="A181" s="4" t="s">
        <v>1282</v>
      </c>
      <c r="B181" s="4" t="s">
        <v>967</v>
      </c>
      <c r="C181" s="4" t="s">
        <v>1283</v>
      </c>
      <c r="D181" s="4" t="s">
        <v>1584</v>
      </c>
    </row>
    <row r="182" spans="1:4" x14ac:dyDescent="0.25">
      <c r="A182" s="4" t="s">
        <v>608</v>
      </c>
      <c r="B182" s="4" t="s">
        <v>983</v>
      </c>
      <c r="C182" s="4" t="s">
        <v>1284</v>
      </c>
      <c r="D182" s="4" t="s">
        <v>1585</v>
      </c>
    </row>
    <row r="183" spans="1:4" x14ac:dyDescent="0.25">
      <c r="A183" s="4" t="s">
        <v>1285</v>
      </c>
      <c r="B183" s="4" t="s">
        <v>1286</v>
      </c>
      <c r="C183" s="4" t="s">
        <v>1287</v>
      </c>
      <c r="D183" s="4" t="s">
        <v>1586</v>
      </c>
    </row>
    <row r="184" spans="1:4" x14ac:dyDescent="0.25">
      <c r="A184" s="4" t="s">
        <v>620</v>
      </c>
      <c r="B184" s="4" t="s">
        <v>984</v>
      </c>
      <c r="C184" s="4" t="s">
        <v>1288</v>
      </c>
      <c r="D184" s="4" t="s">
        <v>1587</v>
      </c>
    </row>
    <row r="185" spans="1:4" x14ac:dyDescent="0.25">
      <c r="A185" s="4" t="s">
        <v>982</v>
      </c>
      <c r="B185" s="4" t="s">
        <v>981</v>
      </c>
      <c r="C185" s="4" t="s">
        <v>1289</v>
      </c>
      <c r="D185" s="4" t="s">
        <v>1588</v>
      </c>
    </row>
    <row r="186" spans="1:4" x14ac:dyDescent="0.25">
      <c r="A186" s="4" t="s">
        <v>1290</v>
      </c>
      <c r="B186" s="4" t="s">
        <v>1291</v>
      </c>
      <c r="C186" s="4" t="s">
        <v>1292</v>
      </c>
      <c r="D186" s="4" t="s">
        <v>1589</v>
      </c>
    </row>
    <row r="187" spans="1:4" x14ac:dyDescent="0.25">
      <c r="A187" s="4" t="s">
        <v>1293</v>
      </c>
      <c r="B187" s="4" t="s">
        <v>1294</v>
      </c>
      <c r="C187" s="4" t="s">
        <v>1295</v>
      </c>
      <c r="D187" s="4" t="s">
        <v>1590</v>
      </c>
    </row>
    <row r="188" spans="1:4" x14ac:dyDescent="0.25">
      <c r="A188" s="4" t="s">
        <v>623</v>
      </c>
      <c r="B188" s="4" t="s">
        <v>985</v>
      </c>
      <c r="C188" s="4" t="s">
        <v>1296</v>
      </c>
      <c r="D188" s="4" t="s">
        <v>1591</v>
      </c>
    </row>
    <row r="189" spans="1:4" x14ac:dyDescent="0.25">
      <c r="A189" s="4" t="s">
        <v>625</v>
      </c>
      <c r="B189" s="4" t="s">
        <v>986</v>
      </c>
      <c r="C189" s="4" t="s">
        <v>1297</v>
      </c>
      <c r="D189" s="4" t="s">
        <v>1592</v>
      </c>
    </row>
    <row r="190" spans="1:4" x14ac:dyDescent="0.25">
      <c r="A190" s="4" t="s">
        <v>1298</v>
      </c>
      <c r="B190" s="4" t="s">
        <v>1299</v>
      </c>
      <c r="C190" s="4" t="s">
        <v>1300</v>
      </c>
      <c r="D190" s="4" t="s">
        <v>1593</v>
      </c>
    </row>
    <row r="191" spans="1:4" x14ac:dyDescent="0.25">
      <c r="A191" s="4" t="s">
        <v>1301</v>
      </c>
      <c r="B191" s="4" t="s">
        <v>1302</v>
      </c>
      <c r="C191" s="4" t="s">
        <v>1303</v>
      </c>
      <c r="D191" s="4" t="s">
        <v>1594</v>
      </c>
    </row>
    <row r="192" spans="1:4" x14ac:dyDescent="0.25">
      <c r="A192" s="4" t="s">
        <v>627</v>
      </c>
      <c r="B192" s="4" t="s">
        <v>987</v>
      </c>
      <c r="C192" s="4" t="s">
        <v>1304</v>
      </c>
      <c r="D192" s="4" t="s">
        <v>1595</v>
      </c>
    </row>
    <row r="193" spans="1:4" x14ac:dyDescent="0.25">
      <c r="A193" s="4" t="s">
        <v>629</v>
      </c>
      <c r="B193" s="4" t="s">
        <v>988</v>
      </c>
      <c r="C193" s="4" t="s">
        <v>1305</v>
      </c>
      <c r="D193" s="4" t="s">
        <v>1596</v>
      </c>
    </row>
    <row r="194" spans="1:4" x14ac:dyDescent="0.25">
      <c r="A194" s="4" t="s">
        <v>1306</v>
      </c>
      <c r="B194" s="4" t="s">
        <v>1307</v>
      </c>
      <c r="C194" s="4" t="s">
        <v>1308</v>
      </c>
      <c r="D194" s="4" t="s">
        <v>1597</v>
      </c>
    </row>
    <row r="195" spans="1:4" x14ac:dyDescent="0.25">
      <c r="A195" s="4" t="s">
        <v>632</v>
      </c>
      <c r="B195" s="4" t="s">
        <v>989</v>
      </c>
      <c r="C195" s="4" t="s">
        <v>1309</v>
      </c>
      <c r="D195" s="4" t="s">
        <v>1598</v>
      </c>
    </row>
    <row r="196" spans="1:4" x14ac:dyDescent="0.25">
      <c r="A196" s="4" t="s">
        <v>635</v>
      </c>
      <c r="B196" s="4" t="s">
        <v>990</v>
      </c>
      <c r="C196" s="4" t="s">
        <v>1310</v>
      </c>
      <c r="D196" s="4" t="s">
        <v>1599</v>
      </c>
    </row>
    <row r="197" spans="1:4" x14ac:dyDescent="0.25">
      <c r="A197" s="4" t="s">
        <v>639</v>
      </c>
      <c r="B197" s="4" t="s">
        <v>991</v>
      </c>
      <c r="C197" s="4" t="s">
        <v>1311</v>
      </c>
      <c r="D197" s="4" t="s">
        <v>1600</v>
      </c>
    </row>
    <row r="198" spans="1:4" x14ac:dyDescent="0.25">
      <c r="A198" s="4" t="s">
        <v>643</v>
      </c>
      <c r="B198" s="4" t="s">
        <v>992</v>
      </c>
      <c r="C198" s="4" t="s">
        <v>1312</v>
      </c>
      <c r="D198" s="4" t="s">
        <v>1601</v>
      </c>
    </row>
    <row r="199" spans="1:4" x14ac:dyDescent="0.25">
      <c r="A199" s="4" t="s">
        <v>647</v>
      </c>
      <c r="B199" s="4" t="s">
        <v>993</v>
      </c>
      <c r="C199" s="4" t="s">
        <v>1313</v>
      </c>
      <c r="D199" s="4" t="s">
        <v>1602</v>
      </c>
    </row>
    <row r="200" spans="1:4" x14ac:dyDescent="0.25">
      <c r="A200" s="4" t="s">
        <v>650</v>
      </c>
      <c r="B200" s="4" t="s">
        <v>994</v>
      </c>
      <c r="C200" s="4" t="s">
        <v>1314</v>
      </c>
      <c r="D200" s="4" t="s">
        <v>1603</v>
      </c>
    </row>
    <row r="201" spans="1:4" x14ac:dyDescent="0.25">
      <c r="A201" s="4" t="s">
        <v>653</v>
      </c>
      <c r="B201" s="4" t="s">
        <v>995</v>
      </c>
      <c r="C201" s="4" t="s">
        <v>1315</v>
      </c>
      <c r="D201" s="4" t="s">
        <v>1604</v>
      </c>
    </row>
    <row r="202" spans="1:4" x14ac:dyDescent="0.25">
      <c r="A202" s="4" t="s">
        <v>1316</v>
      </c>
      <c r="B202" s="4" t="s">
        <v>1317</v>
      </c>
      <c r="C202" s="4" t="s">
        <v>1318</v>
      </c>
      <c r="D202" s="4" t="s">
        <v>1605</v>
      </c>
    </row>
    <row r="203" spans="1:4" x14ac:dyDescent="0.25">
      <c r="A203" s="4" t="s">
        <v>997</v>
      </c>
      <c r="B203" s="4" t="s">
        <v>996</v>
      </c>
      <c r="C203" s="4" t="s">
        <v>1319</v>
      </c>
      <c r="D203" s="4" t="s">
        <v>1606</v>
      </c>
    </row>
    <row r="204" spans="1:4" x14ac:dyDescent="0.25">
      <c r="A204" s="4" t="s">
        <v>662</v>
      </c>
      <c r="B204" s="4" t="s">
        <v>998</v>
      </c>
      <c r="C204" s="4" t="s">
        <v>1320</v>
      </c>
      <c r="D204" s="4" t="s">
        <v>1607</v>
      </c>
    </row>
    <row r="205" spans="1:4" x14ac:dyDescent="0.25">
      <c r="A205" s="4" t="s">
        <v>666</v>
      </c>
      <c r="B205" s="4" t="s">
        <v>999</v>
      </c>
      <c r="C205" s="4" t="s">
        <v>1321</v>
      </c>
      <c r="D205" s="4" t="s">
        <v>1608</v>
      </c>
    </row>
    <row r="206" spans="1:4" x14ac:dyDescent="0.25">
      <c r="A206" s="4" t="s">
        <v>669</v>
      </c>
      <c r="B206" s="4" t="s">
        <v>1322</v>
      </c>
      <c r="C206" s="4" t="s">
        <v>1323</v>
      </c>
      <c r="D206" s="4" t="s">
        <v>1609</v>
      </c>
    </row>
    <row r="207" spans="1:4" x14ac:dyDescent="0.25">
      <c r="A207" s="4" t="s">
        <v>672</v>
      </c>
      <c r="B207" s="4" t="s">
        <v>1000</v>
      </c>
      <c r="C207" s="4" t="s">
        <v>1324</v>
      </c>
      <c r="D207" s="4" t="s">
        <v>1610</v>
      </c>
    </row>
    <row r="208" spans="1:4" x14ac:dyDescent="0.25">
      <c r="A208" s="4" t="s">
        <v>1325</v>
      </c>
      <c r="B208" s="4" t="s">
        <v>1326</v>
      </c>
      <c r="C208" s="4" t="s">
        <v>1327</v>
      </c>
      <c r="D208" s="4" t="s">
        <v>1611</v>
      </c>
    </row>
    <row r="209" spans="1:4" x14ac:dyDescent="0.25">
      <c r="A209" s="4" t="s">
        <v>681</v>
      </c>
      <c r="B209" s="4" t="s">
        <v>1002</v>
      </c>
      <c r="C209" s="4" t="s">
        <v>1328</v>
      </c>
      <c r="D209" s="4" t="s">
        <v>1612</v>
      </c>
    </row>
    <row r="210" spans="1:4" x14ac:dyDescent="0.25">
      <c r="A210" s="4" t="s">
        <v>684</v>
      </c>
      <c r="B210" s="4" t="s">
        <v>1003</v>
      </c>
      <c r="C210" s="4" t="s">
        <v>1329</v>
      </c>
      <c r="D210" s="4" t="s">
        <v>1613</v>
      </c>
    </row>
    <row r="211" spans="1:4" x14ac:dyDescent="0.25">
      <c r="A211" s="4" t="s">
        <v>690</v>
      </c>
      <c r="B211" s="4" t="s">
        <v>1004</v>
      </c>
      <c r="C211" s="4" t="s">
        <v>1330</v>
      </c>
      <c r="D211" s="4" t="s">
        <v>1614</v>
      </c>
    </row>
    <row r="212" spans="1:4" x14ac:dyDescent="0.25">
      <c r="A212" s="4" t="s">
        <v>1331</v>
      </c>
      <c r="B212" s="4" t="s">
        <v>1332</v>
      </c>
      <c r="C212" s="4" t="s">
        <v>1333</v>
      </c>
      <c r="D212" s="4" t="s">
        <v>1615</v>
      </c>
    </row>
    <row r="213" spans="1:4" x14ac:dyDescent="0.25">
      <c r="A213" s="4" t="s">
        <v>700</v>
      </c>
      <c r="B213" s="4" t="s">
        <v>1007</v>
      </c>
      <c r="C213" s="4" t="s">
        <v>1334</v>
      </c>
      <c r="D213" s="4" t="s">
        <v>1616</v>
      </c>
    </row>
    <row r="214" spans="1:4" x14ac:dyDescent="0.25">
      <c r="A214" s="4" t="s">
        <v>1335</v>
      </c>
      <c r="B214" s="4" t="s">
        <v>1336</v>
      </c>
      <c r="C214" s="4" t="s">
        <v>1337</v>
      </c>
      <c r="D214" s="4" t="s">
        <v>1617</v>
      </c>
    </row>
    <row r="215" spans="1:4" x14ac:dyDescent="0.25">
      <c r="A215" s="4" t="s">
        <v>705</v>
      </c>
      <c r="B215" s="4" t="s">
        <v>1008</v>
      </c>
      <c r="C215" s="4" t="s">
        <v>1338</v>
      </c>
      <c r="D215" s="4" t="s">
        <v>1618</v>
      </c>
    </row>
    <row r="216" spans="1:4" x14ac:dyDescent="0.25">
      <c r="A216" s="4" t="s">
        <v>710</v>
      </c>
      <c r="B216" s="4" t="s">
        <v>1009</v>
      </c>
      <c r="C216" s="4" t="s">
        <v>1339</v>
      </c>
      <c r="D216" s="4" t="s">
        <v>1619</v>
      </c>
    </row>
    <row r="217" spans="1:4" x14ac:dyDescent="0.25">
      <c r="A217" s="4" t="s">
        <v>1340</v>
      </c>
      <c r="B217" s="4" t="s">
        <v>1341</v>
      </c>
      <c r="C217" s="4" t="s">
        <v>1342</v>
      </c>
      <c r="D217" s="4" t="s">
        <v>1620</v>
      </c>
    </row>
    <row r="218" spans="1:4" x14ac:dyDescent="0.25">
      <c r="A218" s="4" t="s">
        <v>1343</v>
      </c>
      <c r="B218" s="4" t="s">
        <v>1010</v>
      </c>
      <c r="C218" s="4" t="s">
        <v>1344</v>
      </c>
      <c r="D218" s="4" t="s">
        <v>1621</v>
      </c>
    </row>
    <row r="219" spans="1:4" x14ac:dyDescent="0.25">
      <c r="A219" s="4" t="s">
        <v>721</v>
      </c>
      <c r="B219" s="4" t="s">
        <v>1011</v>
      </c>
      <c r="C219" s="4" t="s">
        <v>1345</v>
      </c>
      <c r="D219" s="4" t="s">
        <v>1622</v>
      </c>
    </row>
    <row r="220" spans="1:4" x14ac:dyDescent="0.25">
      <c r="A220" s="4" t="s">
        <v>1346</v>
      </c>
      <c r="B220" s="4" t="s">
        <v>1347</v>
      </c>
      <c r="C220" s="4" t="s">
        <v>1348</v>
      </c>
      <c r="D220" s="4" t="s">
        <v>1623</v>
      </c>
    </row>
    <row r="221" spans="1:4" x14ac:dyDescent="0.25">
      <c r="A221" s="4" t="s">
        <v>731</v>
      </c>
      <c r="B221" s="4" t="s">
        <v>1012</v>
      </c>
      <c r="C221" s="4" t="s">
        <v>1349</v>
      </c>
      <c r="D221" s="4" t="s">
        <v>1624</v>
      </c>
    </row>
    <row r="222" spans="1:4" x14ac:dyDescent="0.25">
      <c r="A222" s="4" t="s">
        <v>1350</v>
      </c>
      <c r="B222" s="4" t="s">
        <v>1351</v>
      </c>
      <c r="C222" s="4" t="s">
        <v>1352</v>
      </c>
      <c r="D222" s="4" t="s">
        <v>1625</v>
      </c>
    </row>
    <row r="223" spans="1:4" x14ac:dyDescent="0.25">
      <c r="A223" s="4" t="s">
        <v>735</v>
      </c>
      <c r="B223" s="4" t="s">
        <v>1013</v>
      </c>
      <c r="C223" s="4" t="s">
        <v>1353</v>
      </c>
      <c r="D223" s="4" t="s">
        <v>1626</v>
      </c>
    </row>
    <row r="224" spans="1:4" x14ac:dyDescent="0.25">
      <c r="A224" s="4" t="s">
        <v>1354</v>
      </c>
      <c r="B224" s="4" t="s">
        <v>1355</v>
      </c>
      <c r="C224" s="4" t="s">
        <v>1356</v>
      </c>
      <c r="D224" s="4" t="s">
        <v>1627</v>
      </c>
    </row>
    <row r="225" spans="1:4" x14ac:dyDescent="0.25">
      <c r="A225" s="4" t="s">
        <v>738</v>
      </c>
      <c r="B225" s="4" t="s">
        <v>1014</v>
      </c>
      <c r="C225" s="4" t="s">
        <v>1357</v>
      </c>
      <c r="D225" s="4" t="s">
        <v>1628</v>
      </c>
    </row>
    <row r="226" spans="1:4" x14ac:dyDescent="0.25">
      <c r="A226" s="4" t="s">
        <v>741</v>
      </c>
      <c r="B226" s="4" t="s">
        <v>1015</v>
      </c>
      <c r="C226" s="4" t="s">
        <v>1358</v>
      </c>
      <c r="D226" s="4" t="s">
        <v>1629</v>
      </c>
    </row>
    <row r="227" spans="1:4" x14ac:dyDescent="0.25">
      <c r="A227" s="4" t="s">
        <v>744</v>
      </c>
      <c r="B227" s="4" t="s">
        <v>1016</v>
      </c>
      <c r="C227" s="4" t="s">
        <v>1359</v>
      </c>
      <c r="D227" s="4" t="s">
        <v>1630</v>
      </c>
    </row>
    <row r="228" spans="1:4" x14ac:dyDescent="0.25">
      <c r="A228" s="4" t="s">
        <v>748</v>
      </c>
      <c r="B228" s="4" t="s">
        <v>1017</v>
      </c>
      <c r="C228" s="4" t="s">
        <v>1360</v>
      </c>
      <c r="D228" s="4" t="s">
        <v>1631</v>
      </c>
    </row>
    <row r="229" spans="1:4" x14ac:dyDescent="0.25">
      <c r="A229" s="4" t="s">
        <v>754</v>
      </c>
      <c r="B229" s="4" t="s">
        <v>1361</v>
      </c>
      <c r="C229" s="4" t="s">
        <v>1362</v>
      </c>
      <c r="D229" s="4" t="s">
        <v>1632</v>
      </c>
    </row>
    <row r="230" spans="1:4" x14ac:dyDescent="0.25">
      <c r="A230" s="4" t="s">
        <v>1363</v>
      </c>
      <c r="B230" s="4" t="s">
        <v>1018</v>
      </c>
      <c r="C230" s="4" t="s">
        <v>1364</v>
      </c>
      <c r="D230" s="4" t="s">
        <v>1633</v>
      </c>
    </row>
    <row r="231" spans="1:4" x14ac:dyDescent="0.25">
      <c r="A231" s="4" t="s">
        <v>1365</v>
      </c>
      <c r="B231" s="4" t="s">
        <v>1366</v>
      </c>
      <c r="C231" s="4" t="s">
        <v>1367</v>
      </c>
      <c r="D231" s="4" t="s">
        <v>1634</v>
      </c>
    </row>
    <row r="232" spans="1:4" x14ac:dyDescent="0.25">
      <c r="A232" s="4" t="s">
        <v>778</v>
      </c>
      <c r="B232" s="4" t="s">
        <v>1019</v>
      </c>
      <c r="C232" s="4" t="s">
        <v>1368</v>
      </c>
      <c r="D232" s="4" t="s">
        <v>1635</v>
      </c>
    </row>
    <row r="233" spans="1:4" x14ac:dyDescent="0.25">
      <c r="A233" s="4" t="s">
        <v>782</v>
      </c>
      <c r="B233" s="4" t="s">
        <v>1020</v>
      </c>
      <c r="C233" s="4" t="s">
        <v>1369</v>
      </c>
      <c r="D233" s="4" t="s">
        <v>1636</v>
      </c>
    </row>
    <row r="234" spans="1:4" x14ac:dyDescent="0.25">
      <c r="A234" s="4" t="s">
        <v>1370</v>
      </c>
      <c r="B234" s="4" t="s">
        <v>1021</v>
      </c>
      <c r="C234" s="4" t="s">
        <v>1371</v>
      </c>
      <c r="D234" s="4" t="s">
        <v>1637</v>
      </c>
    </row>
    <row r="235" spans="1:4" x14ac:dyDescent="0.25">
      <c r="A235" s="4" t="s">
        <v>1372</v>
      </c>
      <c r="B235" s="4" t="s">
        <v>1022</v>
      </c>
      <c r="C235" s="4" t="s">
        <v>1373</v>
      </c>
      <c r="D235" s="4" t="s">
        <v>1638</v>
      </c>
    </row>
    <row r="236" spans="1:4" x14ac:dyDescent="0.25">
      <c r="A236" s="4" t="s">
        <v>1374</v>
      </c>
      <c r="B236" s="4" t="s">
        <v>1375</v>
      </c>
      <c r="C236" s="4" t="s">
        <v>1376</v>
      </c>
      <c r="D236" s="4" t="s">
        <v>1639</v>
      </c>
    </row>
    <row r="237" spans="1:4" x14ac:dyDescent="0.25">
      <c r="A237" s="4" t="s">
        <v>1377</v>
      </c>
      <c r="B237" s="4" t="s">
        <v>1023</v>
      </c>
      <c r="C237" s="4" t="s">
        <v>767</v>
      </c>
      <c r="D237" s="4" t="s">
        <v>1640</v>
      </c>
    </row>
    <row r="238" spans="1:4" x14ac:dyDescent="0.25">
      <c r="A238" s="4" t="s">
        <v>786</v>
      </c>
      <c r="B238" s="4" t="s">
        <v>1024</v>
      </c>
      <c r="C238" s="4" t="s">
        <v>1378</v>
      </c>
      <c r="D238" s="4" t="s">
        <v>1641</v>
      </c>
    </row>
    <row r="239" spans="1:4" x14ac:dyDescent="0.25">
      <c r="A239" s="4" t="s">
        <v>790</v>
      </c>
      <c r="B239" s="4" t="s">
        <v>1025</v>
      </c>
      <c r="C239" s="4" t="s">
        <v>1379</v>
      </c>
      <c r="D239" s="4" t="s">
        <v>1642</v>
      </c>
    </row>
    <row r="240" spans="1:4" x14ac:dyDescent="0.25">
      <c r="A240" s="4" t="s">
        <v>795</v>
      </c>
      <c r="B240" s="4" t="s">
        <v>1026</v>
      </c>
      <c r="C240" s="4" t="s">
        <v>1380</v>
      </c>
      <c r="D240" s="4" t="s">
        <v>1643</v>
      </c>
    </row>
    <row r="241" spans="1:4" x14ac:dyDescent="0.25">
      <c r="A241" s="4" t="s">
        <v>1381</v>
      </c>
      <c r="B241" s="4" t="s">
        <v>1027</v>
      </c>
      <c r="C241" s="4" t="s">
        <v>1382</v>
      </c>
      <c r="D241" s="4" t="s">
        <v>1644</v>
      </c>
    </row>
    <row r="242" spans="1:4" x14ac:dyDescent="0.25">
      <c r="A242" s="4" t="s">
        <v>1383</v>
      </c>
      <c r="B242" s="4" t="s">
        <v>1028</v>
      </c>
      <c r="C242" s="4" t="s">
        <v>1384</v>
      </c>
      <c r="D242" s="4" t="s">
        <v>1645</v>
      </c>
    </row>
    <row r="243" spans="1:4" x14ac:dyDescent="0.25">
      <c r="A243" s="4" t="s">
        <v>1385</v>
      </c>
      <c r="B243" s="4" t="s">
        <v>844</v>
      </c>
      <c r="C243" s="4" t="s">
        <v>1386</v>
      </c>
      <c r="D243" s="4" t="s">
        <v>1646</v>
      </c>
    </row>
    <row r="244" spans="1:4" x14ac:dyDescent="0.25">
      <c r="A244" s="4" t="s">
        <v>1387</v>
      </c>
      <c r="B244" s="4" t="s">
        <v>1388</v>
      </c>
      <c r="C244" s="4" t="s">
        <v>1389</v>
      </c>
      <c r="D244" s="4" t="s">
        <v>1647</v>
      </c>
    </row>
    <row r="245" spans="1:4" x14ac:dyDescent="0.25">
      <c r="A245" s="4" t="s">
        <v>1390</v>
      </c>
      <c r="B245" s="4" t="s">
        <v>1391</v>
      </c>
      <c r="C245" s="4" t="s">
        <v>1392</v>
      </c>
      <c r="D245" s="4" t="s">
        <v>1648</v>
      </c>
    </row>
    <row r="246" spans="1:4" x14ac:dyDescent="0.25">
      <c r="A246" s="4" t="s">
        <v>1393</v>
      </c>
      <c r="B246" s="4" t="s">
        <v>1394</v>
      </c>
      <c r="C246" s="4" t="s">
        <v>1395</v>
      </c>
      <c r="D246" s="4" t="s">
        <v>1649</v>
      </c>
    </row>
    <row r="247" spans="1:4" x14ac:dyDescent="0.25">
      <c r="A247" s="4" t="s">
        <v>806</v>
      </c>
      <c r="B247" s="4" t="s">
        <v>1029</v>
      </c>
      <c r="C247" s="4" t="s">
        <v>1396</v>
      </c>
      <c r="D247" s="4" t="s">
        <v>1650</v>
      </c>
    </row>
    <row r="248" spans="1:4" x14ac:dyDescent="0.25">
      <c r="A248" s="4" t="s">
        <v>809</v>
      </c>
      <c r="B248" s="4" t="s">
        <v>1030</v>
      </c>
      <c r="C248" s="4" t="s">
        <v>1397</v>
      </c>
      <c r="D248" s="4" t="s">
        <v>1651</v>
      </c>
    </row>
    <row r="249" spans="1:4" x14ac:dyDescent="0.25">
      <c r="A249" s="4" t="s">
        <v>813</v>
      </c>
      <c r="B249" s="4" t="s">
        <v>1031</v>
      </c>
      <c r="C249" s="4" t="s">
        <v>1398</v>
      </c>
      <c r="D249" s="4" t="s">
        <v>1652</v>
      </c>
    </row>
    <row r="250" spans="1:4" x14ac:dyDescent="0.25">
      <c r="A250" s="4" t="s">
        <v>1399</v>
      </c>
      <c r="B250" s="4" t="s">
        <v>1400</v>
      </c>
      <c r="C250" s="4" t="s">
        <v>1401</v>
      </c>
      <c r="D250" s="4" t="s">
        <v>1653</v>
      </c>
    </row>
    <row r="251" spans="1:4" x14ac:dyDescent="0.25">
      <c r="A251" s="4" t="s">
        <v>388</v>
      </c>
      <c r="B251" s="4" t="s">
        <v>926</v>
      </c>
      <c r="C251" s="4" t="s">
        <v>1402</v>
      </c>
      <c r="D25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C25A32A03E7C4BBC94129288D8562F" ma:contentTypeVersion="0" ma:contentTypeDescription="Create a new document." ma:contentTypeScope="" ma:versionID="e8cb598fa2ee3b6fa6714dee4220197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B6D222B-6FAD-42DC-9003-A65354DA80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4DA68F-FF1E-4886-BCE3-EC1919D74FC4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1F7E405-1BD9-4084-A419-E872B5896A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8BF64B86-77D2-4291-B4A0-3184D93F84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Crodis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Cvetko</dc:creator>
  <cp:lastModifiedBy>Dominik Cvetko</cp:lastModifiedBy>
  <dcterms:created xsi:type="dcterms:W3CDTF">2026-03-19T09:55:58Z</dcterms:created>
  <dcterms:modified xsi:type="dcterms:W3CDTF">2026-06-01T14:27:46Z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b1ffe9-42de-443c-aef6-86a7b9ca47f5_Enabled">
    <vt:lpwstr>true</vt:lpwstr>
  </property>
  <property fmtid="{D5CDD505-2E9C-101B-9397-08002B2CF9AE}" pid="3" name="MSIP_Label_b8b1ffe9-42de-443c-aef6-86a7b9ca47f5_SetDate">
    <vt:lpwstr>2026-03-19T09:56:07Z</vt:lpwstr>
  </property>
  <property fmtid="{D5CDD505-2E9C-101B-9397-08002B2CF9AE}" pid="4" name="MSIP_Label_b8b1ffe9-42de-443c-aef6-86a7b9ca47f5_Method">
    <vt:lpwstr>Standard</vt:lpwstr>
  </property>
  <property fmtid="{D5CDD505-2E9C-101B-9397-08002B2CF9AE}" pid="5" name="MSIP_Label_b8b1ffe9-42de-443c-aef6-86a7b9ca47f5_Name">
    <vt:lpwstr>Internal</vt:lpwstr>
  </property>
  <property fmtid="{D5CDD505-2E9C-101B-9397-08002B2CF9AE}" pid="6" name="MSIP_Label_b8b1ffe9-42de-443c-aef6-86a7b9ca47f5_SiteId">
    <vt:lpwstr>70d04d7a-e805-459b-96ac-35bc9f7762b7</vt:lpwstr>
  </property>
  <property fmtid="{D5CDD505-2E9C-101B-9397-08002B2CF9AE}" pid="7" name="MSIP_Label_b8b1ffe9-42de-443c-aef6-86a7b9ca47f5_ActionId">
    <vt:lpwstr>af0023ae-f731-426e-a0fc-199d6484045b</vt:lpwstr>
  </property>
  <property fmtid="{D5CDD505-2E9C-101B-9397-08002B2CF9AE}" pid="8" name="MSIP_Label_b8b1ffe9-42de-443c-aef6-86a7b9ca47f5_ContentBits">
    <vt:lpwstr>0</vt:lpwstr>
  </property>
  <property fmtid="{D5CDD505-2E9C-101B-9397-08002B2CF9AE}" pid="9" name="MSIP_Label_b8b1ffe9-42de-443c-aef6-86a7b9ca47f5_Tag">
    <vt:lpwstr>10, 3, 0, 1</vt:lpwstr>
  </property>
  <property fmtid="{D5CDD505-2E9C-101B-9397-08002B2CF9AE}" pid="10" name="ContentTypeId">
    <vt:lpwstr>0x01010029C25A32A03E7C4BBC94129288D8562F</vt:lpwstr>
  </property>
</Properties>
</file>