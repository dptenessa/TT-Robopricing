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hrtelekom-my.sharepoint.com/personal/diego_deblock_t_ht_hr/Documents/Documents/Python/TT-Robopricing/inputs/"/>
    </mc:Choice>
  </mc:AlternateContent>
  <xr:revisionPtr revIDLastSave="1" documentId="13_ncr:1_{A5A8F757-258B-4327-B460-5DEBE93A519F}" xr6:coauthVersionLast="47" xr6:coauthVersionMax="47" xr10:uidLastSave="{63765A71-6B53-455A-8095-2E677D6E2672}"/>
  <bookViews>
    <workbookView xWindow="-120" yWindow="-120" windowWidth="38640" windowHeight="15720" activeTab="4" xr2:uid="{00000000-000D-0000-FFFF-FFFF00000000}"/>
  </bookViews>
  <sheets>
    <sheet name="Regions" sheetId="1" r:id="rId1"/>
    <sheet name="Codes" sheetId="2" r:id="rId2"/>
    <sheet name="Countries" sheetId="3" r:id="rId3"/>
    <sheet name="Countries_per_regions" sheetId="4" r:id="rId4"/>
    <sheet name="MappingTable" sheetId="5" r:id="rId5"/>
  </sheets>
  <definedNames>
    <definedName name="_xlnm._FilterDatabase" localSheetId="1" hidden="1">Codes!$O$1:$O$51</definedName>
    <definedName name="_xlnm._FilterDatabase" localSheetId="2" hidden="1">Countries!$L$1:$L$156</definedName>
    <definedName name="_xlnm._FilterDatabase" localSheetId="4" hidden="1">MappingTable!$A$1:$H$186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2" i="3"/>
  <c r="F2" i="4" l="1"/>
  <c r="F3" i="4" s="1" a="1"/>
  <c r="F3" i="4" s="1"/>
  <c r="D2" i="4" a="1"/>
  <c r="C190" i="3"/>
  <c r="D190" i="3"/>
  <c r="E190" i="3"/>
  <c r="F190" i="3"/>
  <c r="G190" i="3"/>
  <c r="H190" i="3"/>
  <c r="I190" i="3"/>
  <c r="C157" i="3"/>
  <c r="D157" i="3"/>
  <c r="E157" i="3"/>
  <c r="F157" i="3"/>
  <c r="G157" i="3"/>
  <c r="H157" i="3"/>
  <c r="I157" i="3"/>
  <c r="C158" i="3"/>
  <c r="D158" i="3"/>
  <c r="E158" i="3"/>
  <c r="F158" i="3"/>
  <c r="G158" i="3"/>
  <c r="H158" i="3"/>
  <c r="I158" i="3"/>
  <c r="C159" i="3"/>
  <c r="D159" i="3"/>
  <c r="E159" i="3"/>
  <c r="F159" i="3"/>
  <c r="G159" i="3"/>
  <c r="H159" i="3"/>
  <c r="I159" i="3"/>
  <c r="C160" i="3"/>
  <c r="D160" i="3"/>
  <c r="E160" i="3"/>
  <c r="F160" i="3"/>
  <c r="G160" i="3"/>
  <c r="H160" i="3"/>
  <c r="I160" i="3"/>
  <c r="C161" i="3"/>
  <c r="D161" i="3"/>
  <c r="E161" i="3"/>
  <c r="F161" i="3"/>
  <c r="G161" i="3"/>
  <c r="H161" i="3"/>
  <c r="I161" i="3"/>
  <c r="C162" i="3"/>
  <c r="D162" i="3"/>
  <c r="E162" i="3"/>
  <c r="F162" i="3"/>
  <c r="G162" i="3"/>
  <c r="H162" i="3"/>
  <c r="I162" i="3"/>
  <c r="C163" i="3"/>
  <c r="D163" i="3"/>
  <c r="E163" i="3"/>
  <c r="F163" i="3"/>
  <c r="G163" i="3"/>
  <c r="H163" i="3"/>
  <c r="I163" i="3"/>
  <c r="C164" i="3"/>
  <c r="D164" i="3"/>
  <c r="E164" i="3"/>
  <c r="F164" i="3"/>
  <c r="G164" i="3"/>
  <c r="H164" i="3"/>
  <c r="I164" i="3"/>
  <c r="C165" i="3"/>
  <c r="D165" i="3"/>
  <c r="E165" i="3"/>
  <c r="F165" i="3"/>
  <c r="G165" i="3"/>
  <c r="H165" i="3"/>
  <c r="I165" i="3"/>
  <c r="C166" i="3"/>
  <c r="D166" i="3"/>
  <c r="E166" i="3"/>
  <c r="F166" i="3"/>
  <c r="G166" i="3"/>
  <c r="H166" i="3"/>
  <c r="I166" i="3"/>
  <c r="C167" i="3"/>
  <c r="D167" i="3"/>
  <c r="E167" i="3"/>
  <c r="F167" i="3"/>
  <c r="G167" i="3"/>
  <c r="H167" i="3"/>
  <c r="I167" i="3"/>
  <c r="C168" i="3"/>
  <c r="D168" i="3"/>
  <c r="E168" i="3"/>
  <c r="F168" i="3"/>
  <c r="G168" i="3"/>
  <c r="H168" i="3"/>
  <c r="I168" i="3"/>
  <c r="C169" i="3"/>
  <c r="D169" i="3"/>
  <c r="E169" i="3"/>
  <c r="F169" i="3"/>
  <c r="G169" i="3"/>
  <c r="H169" i="3"/>
  <c r="I169" i="3"/>
  <c r="C170" i="3"/>
  <c r="D170" i="3"/>
  <c r="E170" i="3"/>
  <c r="F170" i="3"/>
  <c r="G170" i="3"/>
  <c r="H170" i="3"/>
  <c r="I170" i="3"/>
  <c r="C171" i="3"/>
  <c r="D171" i="3"/>
  <c r="E171" i="3"/>
  <c r="F171" i="3"/>
  <c r="G171" i="3"/>
  <c r="H171" i="3"/>
  <c r="I171" i="3"/>
  <c r="C172" i="3"/>
  <c r="D172" i="3"/>
  <c r="E172" i="3"/>
  <c r="F172" i="3"/>
  <c r="G172" i="3"/>
  <c r="H172" i="3"/>
  <c r="I172" i="3"/>
  <c r="C173" i="3"/>
  <c r="D173" i="3"/>
  <c r="E173" i="3"/>
  <c r="F173" i="3"/>
  <c r="G173" i="3"/>
  <c r="H173" i="3"/>
  <c r="I173" i="3"/>
  <c r="C174" i="3"/>
  <c r="D174" i="3"/>
  <c r="E174" i="3"/>
  <c r="F174" i="3"/>
  <c r="G174" i="3"/>
  <c r="H174" i="3"/>
  <c r="I174" i="3"/>
  <c r="C175" i="3"/>
  <c r="D175" i="3"/>
  <c r="E175" i="3"/>
  <c r="F175" i="3"/>
  <c r="G175" i="3"/>
  <c r="H175" i="3"/>
  <c r="I175" i="3"/>
  <c r="C176" i="3"/>
  <c r="D176" i="3"/>
  <c r="E176" i="3"/>
  <c r="F176" i="3"/>
  <c r="G176" i="3"/>
  <c r="H176" i="3"/>
  <c r="I176" i="3"/>
  <c r="C177" i="3"/>
  <c r="D177" i="3"/>
  <c r="E177" i="3"/>
  <c r="F177" i="3"/>
  <c r="G177" i="3"/>
  <c r="H177" i="3"/>
  <c r="I177" i="3"/>
  <c r="C178" i="3"/>
  <c r="D178" i="3"/>
  <c r="E178" i="3"/>
  <c r="F178" i="3"/>
  <c r="G178" i="3"/>
  <c r="H178" i="3"/>
  <c r="I178" i="3"/>
  <c r="C179" i="3"/>
  <c r="D179" i="3"/>
  <c r="E179" i="3"/>
  <c r="F179" i="3"/>
  <c r="G179" i="3"/>
  <c r="H179" i="3"/>
  <c r="I179" i="3"/>
  <c r="C180" i="3"/>
  <c r="D180" i="3"/>
  <c r="E180" i="3"/>
  <c r="F180" i="3"/>
  <c r="G180" i="3"/>
  <c r="H180" i="3"/>
  <c r="I180" i="3"/>
  <c r="C181" i="3"/>
  <c r="D181" i="3"/>
  <c r="E181" i="3"/>
  <c r="F181" i="3"/>
  <c r="G181" i="3"/>
  <c r="H181" i="3"/>
  <c r="I181" i="3"/>
  <c r="C182" i="3"/>
  <c r="D182" i="3"/>
  <c r="E182" i="3"/>
  <c r="F182" i="3"/>
  <c r="G182" i="3"/>
  <c r="H182" i="3"/>
  <c r="I182" i="3"/>
  <c r="C183" i="3"/>
  <c r="D183" i="3"/>
  <c r="E183" i="3"/>
  <c r="F183" i="3"/>
  <c r="G183" i="3"/>
  <c r="H183" i="3"/>
  <c r="I183" i="3"/>
  <c r="C184" i="3"/>
  <c r="D184" i="3"/>
  <c r="E184" i="3"/>
  <c r="F184" i="3"/>
  <c r="G184" i="3"/>
  <c r="H184" i="3"/>
  <c r="I184" i="3"/>
  <c r="C185" i="3"/>
  <c r="D185" i="3"/>
  <c r="E185" i="3"/>
  <c r="F185" i="3"/>
  <c r="G185" i="3"/>
  <c r="H185" i="3"/>
  <c r="I185" i="3"/>
  <c r="C186" i="3"/>
  <c r="D186" i="3"/>
  <c r="E186" i="3"/>
  <c r="F186" i="3"/>
  <c r="G186" i="3"/>
  <c r="H186" i="3"/>
  <c r="I186" i="3"/>
  <c r="C187" i="3"/>
  <c r="D187" i="3"/>
  <c r="E187" i="3"/>
  <c r="F187" i="3"/>
  <c r="G187" i="3"/>
  <c r="H187" i="3"/>
  <c r="I187" i="3"/>
  <c r="C188" i="3"/>
  <c r="D188" i="3"/>
  <c r="E188" i="3"/>
  <c r="F188" i="3"/>
  <c r="G188" i="3"/>
  <c r="H188" i="3"/>
  <c r="I188" i="3"/>
  <c r="C189" i="3"/>
  <c r="D189" i="3"/>
  <c r="E189" i="3"/>
  <c r="F189" i="3"/>
  <c r="G189" i="3"/>
  <c r="H189" i="3"/>
  <c r="I189" i="3"/>
  <c r="C2" i="4"/>
  <c r="I156" i="3"/>
  <c r="H156" i="3"/>
  <c r="G156" i="3"/>
  <c r="F156" i="3"/>
  <c r="E156" i="3"/>
  <c r="D156" i="3"/>
  <c r="C156" i="3"/>
  <c r="I155" i="3"/>
  <c r="H155" i="3"/>
  <c r="G155" i="3"/>
  <c r="F155" i="3"/>
  <c r="E155" i="3"/>
  <c r="D155" i="3"/>
  <c r="C155" i="3"/>
  <c r="I154" i="3"/>
  <c r="H154" i="3"/>
  <c r="G154" i="3"/>
  <c r="F154" i="3"/>
  <c r="E154" i="3"/>
  <c r="D154" i="3"/>
  <c r="C154" i="3"/>
  <c r="I153" i="3"/>
  <c r="H153" i="3"/>
  <c r="G153" i="3"/>
  <c r="F153" i="3"/>
  <c r="E153" i="3"/>
  <c r="D153" i="3"/>
  <c r="C153" i="3"/>
  <c r="I152" i="3"/>
  <c r="H152" i="3"/>
  <c r="G152" i="3"/>
  <c r="F152" i="3"/>
  <c r="E152" i="3"/>
  <c r="D152" i="3"/>
  <c r="C152" i="3"/>
  <c r="I151" i="3"/>
  <c r="H151" i="3"/>
  <c r="G151" i="3"/>
  <c r="F151" i="3"/>
  <c r="E151" i="3"/>
  <c r="D151" i="3"/>
  <c r="C151" i="3"/>
  <c r="I150" i="3"/>
  <c r="H150" i="3"/>
  <c r="G150" i="3"/>
  <c r="F150" i="3"/>
  <c r="E150" i="3"/>
  <c r="D150" i="3"/>
  <c r="C150" i="3"/>
  <c r="I149" i="3"/>
  <c r="H149" i="3"/>
  <c r="G149" i="3"/>
  <c r="F149" i="3"/>
  <c r="E149" i="3"/>
  <c r="D149" i="3"/>
  <c r="C149" i="3"/>
  <c r="I148" i="3"/>
  <c r="H148" i="3"/>
  <c r="G148" i="3"/>
  <c r="F148" i="3"/>
  <c r="E148" i="3"/>
  <c r="D148" i="3"/>
  <c r="C148" i="3"/>
  <c r="I147" i="3"/>
  <c r="H147" i="3"/>
  <c r="G147" i="3"/>
  <c r="F147" i="3"/>
  <c r="E147" i="3"/>
  <c r="D147" i="3"/>
  <c r="C147" i="3"/>
  <c r="I146" i="3"/>
  <c r="H146" i="3"/>
  <c r="G146" i="3"/>
  <c r="F146" i="3"/>
  <c r="E146" i="3"/>
  <c r="D146" i="3"/>
  <c r="C146" i="3"/>
  <c r="I145" i="3"/>
  <c r="H145" i="3"/>
  <c r="G145" i="3"/>
  <c r="F145" i="3"/>
  <c r="E145" i="3"/>
  <c r="D145" i="3"/>
  <c r="C145" i="3"/>
  <c r="I144" i="3"/>
  <c r="H144" i="3"/>
  <c r="G144" i="3"/>
  <c r="F144" i="3"/>
  <c r="E144" i="3"/>
  <c r="D144" i="3"/>
  <c r="C144" i="3"/>
  <c r="I143" i="3"/>
  <c r="H143" i="3"/>
  <c r="G143" i="3"/>
  <c r="F143" i="3"/>
  <c r="E143" i="3"/>
  <c r="D143" i="3"/>
  <c r="C143" i="3"/>
  <c r="I142" i="3"/>
  <c r="H142" i="3"/>
  <c r="G142" i="3"/>
  <c r="F142" i="3"/>
  <c r="E142" i="3"/>
  <c r="D142" i="3"/>
  <c r="C142" i="3"/>
  <c r="I141" i="3"/>
  <c r="H141" i="3"/>
  <c r="G141" i="3"/>
  <c r="F141" i="3"/>
  <c r="E141" i="3"/>
  <c r="D141" i="3"/>
  <c r="C141" i="3"/>
  <c r="I140" i="3"/>
  <c r="H140" i="3"/>
  <c r="G140" i="3"/>
  <c r="F140" i="3"/>
  <c r="E140" i="3"/>
  <c r="D140" i="3"/>
  <c r="C140" i="3"/>
  <c r="I139" i="3"/>
  <c r="H139" i="3"/>
  <c r="G139" i="3"/>
  <c r="F139" i="3"/>
  <c r="E139" i="3"/>
  <c r="D139" i="3"/>
  <c r="C139" i="3"/>
  <c r="I138" i="3"/>
  <c r="H138" i="3"/>
  <c r="G138" i="3"/>
  <c r="F138" i="3"/>
  <c r="E138" i="3"/>
  <c r="D138" i="3"/>
  <c r="C138" i="3"/>
  <c r="I137" i="3"/>
  <c r="H137" i="3"/>
  <c r="G137" i="3"/>
  <c r="F137" i="3"/>
  <c r="E137" i="3"/>
  <c r="D137" i="3"/>
  <c r="C137" i="3"/>
  <c r="I136" i="3"/>
  <c r="H136" i="3"/>
  <c r="G136" i="3"/>
  <c r="F136" i="3"/>
  <c r="E136" i="3"/>
  <c r="D136" i="3"/>
  <c r="C136" i="3"/>
  <c r="I135" i="3"/>
  <c r="H135" i="3"/>
  <c r="G135" i="3"/>
  <c r="F135" i="3"/>
  <c r="E135" i="3"/>
  <c r="D135" i="3"/>
  <c r="C135" i="3"/>
  <c r="I134" i="3"/>
  <c r="H134" i="3"/>
  <c r="G134" i="3"/>
  <c r="F134" i="3"/>
  <c r="E134" i="3"/>
  <c r="D134" i="3"/>
  <c r="C134" i="3"/>
  <c r="I133" i="3"/>
  <c r="H133" i="3"/>
  <c r="G133" i="3"/>
  <c r="F133" i="3"/>
  <c r="E133" i="3"/>
  <c r="D133" i="3"/>
  <c r="C133" i="3"/>
  <c r="I132" i="3"/>
  <c r="H132" i="3"/>
  <c r="G132" i="3"/>
  <c r="F132" i="3"/>
  <c r="E132" i="3"/>
  <c r="D132" i="3"/>
  <c r="C132" i="3"/>
  <c r="I131" i="3"/>
  <c r="H131" i="3"/>
  <c r="G131" i="3"/>
  <c r="F131" i="3"/>
  <c r="E131" i="3"/>
  <c r="D131" i="3"/>
  <c r="C131" i="3"/>
  <c r="I130" i="3"/>
  <c r="H130" i="3"/>
  <c r="G130" i="3"/>
  <c r="F130" i="3"/>
  <c r="E130" i="3"/>
  <c r="D130" i="3"/>
  <c r="C130" i="3"/>
  <c r="I129" i="3"/>
  <c r="H129" i="3"/>
  <c r="G129" i="3"/>
  <c r="F129" i="3"/>
  <c r="E129" i="3"/>
  <c r="D129" i="3"/>
  <c r="C129" i="3"/>
  <c r="I128" i="3"/>
  <c r="H128" i="3"/>
  <c r="G128" i="3"/>
  <c r="F128" i="3"/>
  <c r="E128" i="3"/>
  <c r="D128" i="3"/>
  <c r="C128" i="3"/>
  <c r="I127" i="3"/>
  <c r="H127" i="3"/>
  <c r="G127" i="3"/>
  <c r="F127" i="3"/>
  <c r="E127" i="3"/>
  <c r="D127" i="3"/>
  <c r="C127" i="3"/>
  <c r="I126" i="3"/>
  <c r="H126" i="3"/>
  <c r="G126" i="3"/>
  <c r="F126" i="3"/>
  <c r="E126" i="3"/>
  <c r="D126" i="3"/>
  <c r="C126" i="3"/>
  <c r="I125" i="3"/>
  <c r="H125" i="3"/>
  <c r="G125" i="3"/>
  <c r="F125" i="3"/>
  <c r="E125" i="3"/>
  <c r="D125" i="3"/>
  <c r="C125" i="3"/>
  <c r="I124" i="3"/>
  <c r="H124" i="3"/>
  <c r="G124" i="3"/>
  <c r="F124" i="3"/>
  <c r="E124" i="3"/>
  <c r="D124" i="3"/>
  <c r="C124" i="3"/>
  <c r="I123" i="3"/>
  <c r="H123" i="3"/>
  <c r="G123" i="3"/>
  <c r="F123" i="3"/>
  <c r="E123" i="3"/>
  <c r="D123" i="3"/>
  <c r="C123" i="3"/>
  <c r="I122" i="3"/>
  <c r="H122" i="3"/>
  <c r="G122" i="3"/>
  <c r="F122" i="3"/>
  <c r="E122" i="3"/>
  <c r="D122" i="3"/>
  <c r="C122" i="3"/>
  <c r="I121" i="3"/>
  <c r="H121" i="3"/>
  <c r="G121" i="3"/>
  <c r="F121" i="3"/>
  <c r="E121" i="3"/>
  <c r="D121" i="3"/>
  <c r="C121" i="3"/>
  <c r="I120" i="3"/>
  <c r="H120" i="3"/>
  <c r="G120" i="3"/>
  <c r="F120" i="3"/>
  <c r="E120" i="3"/>
  <c r="D120" i="3"/>
  <c r="C120" i="3"/>
  <c r="I119" i="3"/>
  <c r="H119" i="3"/>
  <c r="G119" i="3"/>
  <c r="F119" i="3"/>
  <c r="E119" i="3"/>
  <c r="D119" i="3"/>
  <c r="C119" i="3"/>
  <c r="I118" i="3"/>
  <c r="H118" i="3"/>
  <c r="G118" i="3"/>
  <c r="F118" i="3"/>
  <c r="E118" i="3"/>
  <c r="D118" i="3"/>
  <c r="C118" i="3"/>
  <c r="I117" i="3"/>
  <c r="H117" i="3"/>
  <c r="G117" i="3"/>
  <c r="F117" i="3"/>
  <c r="E117" i="3"/>
  <c r="D117" i="3"/>
  <c r="C117" i="3"/>
  <c r="I116" i="3"/>
  <c r="H116" i="3"/>
  <c r="G116" i="3"/>
  <c r="F116" i="3"/>
  <c r="E116" i="3"/>
  <c r="D116" i="3"/>
  <c r="C116" i="3"/>
  <c r="I115" i="3"/>
  <c r="H115" i="3"/>
  <c r="G115" i="3"/>
  <c r="F115" i="3"/>
  <c r="E115" i="3"/>
  <c r="D115" i="3"/>
  <c r="C115" i="3"/>
  <c r="I114" i="3"/>
  <c r="H114" i="3"/>
  <c r="G114" i="3"/>
  <c r="F114" i="3"/>
  <c r="E114" i="3"/>
  <c r="D114" i="3"/>
  <c r="C114" i="3"/>
  <c r="I113" i="3"/>
  <c r="H113" i="3"/>
  <c r="G113" i="3"/>
  <c r="F113" i="3"/>
  <c r="E113" i="3"/>
  <c r="D113" i="3"/>
  <c r="C113" i="3"/>
  <c r="I112" i="3"/>
  <c r="H112" i="3"/>
  <c r="G112" i="3"/>
  <c r="F112" i="3"/>
  <c r="E112" i="3"/>
  <c r="D112" i="3"/>
  <c r="C112" i="3"/>
  <c r="I111" i="3"/>
  <c r="H111" i="3"/>
  <c r="G111" i="3"/>
  <c r="F111" i="3"/>
  <c r="E111" i="3"/>
  <c r="D111" i="3"/>
  <c r="C111" i="3"/>
  <c r="I110" i="3"/>
  <c r="H110" i="3"/>
  <c r="G110" i="3"/>
  <c r="F110" i="3"/>
  <c r="E110" i="3"/>
  <c r="D110" i="3"/>
  <c r="C110" i="3"/>
  <c r="I109" i="3"/>
  <c r="H109" i="3"/>
  <c r="G109" i="3"/>
  <c r="F109" i="3"/>
  <c r="E109" i="3"/>
  <c r="D109" i="3"/>
  <c r="C109" i="3"/>
  <c r="I108" i="3"/>
  <c r="H108" i="3"/>
  <c r="G108" i="3"/>
  <c r="F108" i="3"/>
  <c r="E108" i="3"/>
  <c r="D108" i="3"/>
  <c r="C108" i="3"/>
  <c r="I107" i="3"/>
  <c r="H107" i="3"/>
  <c r="G107" i="3"/>
  <c r="F107" i="3"/>
  <c r="E107" i="3"/>
  <c r="D107" i="3"/>
  <c r="C107" i="3"/>
  <c r="I106" i="3"/>
  <c r="H106" i="3"/>
  <c r="G106" i="3"/>
  <c r="F106" i="3"/>
  <c r="E106" i="3"/>
  <c r="D106" i="3"/>
  <c r="C106" i="3"/>
  <c r="I105" i="3"/>
  <c r="H105" i="3"/>
  <c r="G105" i="3"/>
  <c r="F105" i="3"/>
  <c r="E105" i="3"/>
  <c r="D105" i="3"/>
  <c r="C105" i="3"/>
  <c r="I104" i="3"/>
  <c r="H104" i="3"/>
  <c r="G104" i="3"/>
  <c r="F104" i="3"/>
  <c r="E104" i="3"/>
  <c r="D104" i="3"/>
  <c r="C104" i="3"/>
  <c r="I103" i="3"/>
  <c r="H103" i="3"/>
  <c r="G103" i="3"/>
  <c r="F103" i="3"/>
  <c r="E103" i="3"/>
  <c r="D103" i="3"/>
  <c r="C103" i="3"/>
  <c r="I102" i="3"/>
  <c r="H102" i="3"/>
  <c r="G102" i="3"/>
  <c r="F102" i="3"/>
  <c r="E102" i="3"/>
  <c r="D102" i="3"/>
  <c r="C102" i="3"/>
  <c r="I101" i="3"/>
  <c r="H101" i="3"/>
  <c r="G101" i="3"/>
  <c r="F101" i="3"/>
  <c r="E101" i="3"/>
  <c r="D101" i="3"/>
  <c r="C101" i="3"/>
  <c r="I100" i="3"/>
  <c r="H100" i="3"/>
  <c r="G100" i="3"/>
  <c r="F100" i="3"/>
  <c r="E100" i="3"/>
  <c r="D100" i="3"/>
  <c r="C100" i="3"/>
  <c r="I99" i="3"/>
  <c r="H99" i="3"/>
  <c r="G99" i="3"/>
  <c r="F99" i="3"/>
  <c r="E99" i="3"/>
  <c r="D99" i="3"/>
  <c r="C99" i="3"/>
  <c r="I98" i="3"/>
  <c r="H98" i="3"/>
  <c r="G98" i="3"/>
  <c r="F98" i="3"/>
  <c r="E98" i="3"/>
  <c r="D98" i="3"/>
  <c r="C98" i="3"/>
  <c r="I97" i="3"/>
  <c r="H97" i="3"/>
  <c r="G97" i="3"/>
  <c r="F97" i="3"/>
  <c r="E97" i="3"/>
  <c r="D97" i="3"/>
  <c r="C97" i="3"/>
  <c r="I96" i="3"/>
  <c r="H96" i="3"/>
  <c r="G96" i="3"/>
  <c r="F96" i="3"/>
  <c r="E96" i="3"/>
  <c r="D96" i="3"/>
  <c r="C96" i="3"/>
  <c r="I95" i="3"/>
  <c r="H95" i="3"/>
  <c r="G95" i="3"/>
  <c r="F95" i="3"/>
  <c r="E95" i="3"/>
  <c r="D95" i="3"/>
  <c r="C95" i="3"/>
  <c r="I94" i="3"/>
  <c r="H94" i="3"/>
  <c r="G94" i="3"/>
  <c r="F94" i="3"/>
  <c r="E94" i="3"/>
  <c r="D94" i="3"/>
  <c r="C94" i="3"/>
  <c r="I93" i="3"/>
  <c r="H93" i="3"/>
  <c r="G93" i="3"/>
  <c r="F93" i="3"/>
  <c r="E93" i="3"/>
  <c r="D93" i="3"/>
  <c r="C93" i="3"/>
  <c r="I92" i="3"/>
  <c r="H92" i="3"/>
  <c r="G92" i="3"/>
  <c r="F92" i="3"/>
  <c r="E92" i="3"/>
  <c r="D92" i="3"/>
  <c r="C92" i="3"/>
  <c r="I91" i="3"/>
  <c r="H91" i="3"/>
  <c r="G91" i="3"/>
  <c r="F91" i="3"/>
  <c r="E91" i="3"/>
  <c r="D91" i="3"/>
  <c r="C91" i="3"/>
  <c r="I90" i="3"/>
  <c r="H90" i="3"/>
  <c r="G90" i="3"/>
  <c r="F90" i="3"/>
  <c r="E90" i="3"/>
  <c r="D90" i="3"/>
  <c r="C90" i="3"/>
  <c r="I89" i="3"/>
  <c r="H89" i="3"/>
  <c r="G89" i="3"/>
  <c r="F89" i="3"/>
  <c r="E89" i="3"/>
  <c r="D89" i="3"/>
  <c r="C89" i="3"/>
  <c r="I88" i="3"/>
  <c r="H88" i="3"/>
  <c r="G88" i="3"/>
  <c r="F88" i="3"/>
  <c r="E88" i="3"/>
  <c r="D88" i="3"/>
  <c r="C88" i="3"/>
  <c r="I87" i="3"/>
  <c r="H87" i="3"/>
  <c r="G87" i="3"/>
  <c r="F87" i="3"/>
  <c r="E87" i="3"/>
  <c r="D87" i="3"/>
  <c r="C87" i="3"/>
  <c r="I86" i="3"/>
  <c r="H86" i="3"/>
  <c r="G86" i="3"/>
  <c r="F86" i="3"/>
  <c r="E86" i="3"/>
  <c r="D86" i="3"/>
  <c r="C86" i="3"/>
  <c r="I85" i="3"/>
  <c r="H85" i="3"/>
  <c r="G85" i="3"/>
  <c r="F85" i="3"/>
  <c r="E85" i="3"/>
  <c r="D85" i="3"/>
  <c r="C85" i="3"/>
  <c r="I84" i="3"/>
  <c r="H84" i="3"/>
  <c r="G84" i="3"/>
  <c r="F84" i="3"/>
  <c r="E84" i="3"/>
  <c r="D84" i="3"/>
  <c r="C84" i="3"/>
  <c r="I83" i="3"/>
  <c r="H83" i="3"/>
  <c r="G83" i="3"/>
  <c r="F83" i="3"/>
  <c r="E83" i="3"/>
  <c r="D83" i="3"/>
  <c r="C83" i="3"/>
  <c r="I82" i="3"/>
  <c r="H82" i="3"/>
  <c r="G82" i="3"/>
  <c r="F82" i="3"/>
  <c r="E82" i="3"/>
  <c r="D82" i="3"/>
  <c r="C82" i="3"/>
  <c r="I81" i="3"/>
  <c r="H81" i="3"/>
  <c r="G81" i="3"/>
  <c r="F81" i="3"/>
  <c r="E81" i="3"/>
  <c r="D81" i="3"/>
  <c r="C81" i="3"/>
  <c r="I80" i="3"/>
  <c r="H80" i="3"/>
  <c r="G80" i="3"/>
  <c r="F80" i="3"/>
  <c r="E80" i="3"/>
  <c r="D80" i="3"/>
  <c r="C80" i="3"/>
  <c r="I79" i="3"/>
  <c r="H79" i="3"/>
  <c r="G79" i="3"/>
  <c r="F79" i="3"/>
  <c r="E79" i="3"/>
  <c r="D79" i="3"/>
  <c r="C79" i="3"/>
  <c r="I78" i="3"/>
  <c r="H78" i="3"/>
  <c r="G78" i="3"/>
  <c r="F78" i="3"/>
  <c r="E78" i="3"/>
  <c r="D78" i="3"/>
  <c r="C78" i="3"/>
  <c r="I77" i="3"/>
  <c r="H77" i="3"/>
  <c r="G77" i="3"/>
  <c r="F77" i="3"/>
  <c r="E77" i="3"/>
  <c r="D77" i="3"/>
  <c r="C77" i="3"/>
  <c r="I76" i="3"/>
  <c r="H76" i="3"/>
  <c r="G76" i="3"/>
  <c r="F76" i="3"/>
  <c r="E76" i="3"/>
  <c r="D76" i="3"/>
  <c r="C76" i="3"/>
  <c r="I75" i="3"/>
  <c r="H75" i="3"/>
  <c r="G75" i="3"/>
  <c r="F75" i="3"/>
  <c r="E75" i="3"/>
  <c r="D75" i="3"/>
  <c r="C75" i="3"/>
  <c r="I74" i="3"/>
  <c r="H74" i="3"/>
  <c r="G74" i="3"/>
  <c r="F74" i="3"/>
  <c r="E74" i="3"/>
  <c r="D74" i="3"/>
  <c r="C74" i="3"/>
  <c r="I73" i="3"/>
  <c r="H73" i="3"/>
  <c r="G73" i="3"/>
  <c r="F73" i="3"/>
  <c r="E73" i="3"/>
  <c r="D73" i="3"/>
  <c r="C73" i="3"/>
  <c r="I72" i="3"/>
  <c r="H72" i="3"/>
  <c r="G72" i="3"/>
  <c r="F72" i="3"/>
  <c r="E72" i="3"/>
  <c r="D72" i="3"/>
  <c r="C72" i="3"/>
  <c r="I71" i="3"/>
  <c r="H71" i="3"/>
  <c r="G71" i="3"/>
  <c r="F71" i="3"/>
  <c r="E71" i="3"/>
  <c r="D71" i="3"/>
  <c r="C71" i="3"/>
  <c r="I70" i="3"/>
  <c r="H70" i="3"/>
  <c r="G70" i="3"/>
  <c r="F70" i="3"/>
  <c r="E70" i="3"/>
  <c r="D70" i="3"/>
  <c r="C70" i="3"/>
  <c r="I69" i="3"/>
  <c r="H69" i="3"/>
  <c r="G69" i="3"/>
  <c r="F69" i="3"/>
  <c r="E69" i="3"/>
  <c r="D69" i="3"/>
  <c r="C69" i="3"/>
  <c r="I68" i="3"/>
  <c r="H68" i="3"/>
  <c r="G68" i="3"/>
  <c r="F68" i="3"/>
  <c r="E68" i="3"/>
  <c r="D68" i="3"/>
  <c r="C68" i="3"/>
  <c r="I67" i="3"/>
  <c r="H67" i="3"/>
  <c r="G67" i="3"/>
  <c r="F67" i="3"/>
  <c r="E67" i="3"/>
  <c r="D67" i="3"/>
  <c r="C67" i="3"/>
  <c r="I66" i="3"/>
  <c r="H66" i="3"/>
  <c r="G66" i="3"/>
  <c r="F66" i="3"/>
  <c r="E66" i="3"/>
  <c r="D66" i="3"/>
  <c r="C66" i="3"/>
  <c r="I65" i="3"/>
  <c r="H65" i="3"/>
  <c r="G65" i="3"/>
  <c r="F65" i="3"/>
  <c r="E65" i="3"/>
  <c r="D65" i="3"/>
  <c r="C65" i="3"/>
  <c r="I64" i="3"/>
  <c r="H64" i="3"/>
  <c r="G64" i="3"/>
  <c r="F64" i="3"/>
  <c r="E64" i="3"/>
  <c r="D64" i="3"/>
  <c r="C64" i="3"/>
  <c r="I63" i="3"/>
  <c r="H63" i="3"/>
  <c r="G63" i="3"/>
  <c r="F63" i="3"/>
  <c r="E63" i="3"/>
  <c r="D63" i="3"/>
  <c r="C63" i="3"/>
  <c r="I62" i="3"/>
  <c r="H62" i="3"/>
  <c r="G62" i="3"/>
  <c r="F62" i="3"/>
  <c r="E62" i="3"/>
  <c r="D62" i="3"/>
  <c r="C62" i="3"/>
  <c r="I61" i="3"/>
  <c r="H61" i="3"/>
  <c r="G61" i="3"/>
  <c r="F61" i="3"/>
  <c r="E61" i="3"/>
  <c r="D61" i="3"/>
  <c r="C61" i="3"/>
  <c r="I60" i="3"/>
  <c r="H60" i="3"/>
  <c r="G60" i="3"/>
  <c r="F60" i="3"/>
  <c r="E60" i="3"/>
  <c r="D60" i="3"/>
  <c r="C60" i="3"/>
  <c r="I59" i="3"/>
  <c r="H59" i="3"/>
  <c r="G59" i="3"/>
  <c r="F59" i="3"/>
  <c r="E59" i="3"/>
  <c r="D59" i="3"/>
  <c r="C59" i="3"/>
  <c r="I58" i="3"/>
  <c r="H58" i="3"/>
  <c r="G58" i="3"/>
  <c r="F58" i="3"/>
  <c r="E58" i="3"/>
  <c r="D58" i="3"/>
  <c r="C58" i="3"/>
  <c r="I57" i="3"/>
  <c r="H57" i="3"/>
  <c r="G57" i="3"/>
  <c r="F57" i="3"/>
  <c r="E57" i="3"/>
  <c r="D57" i="3"/>
  <c r="C57" i="3"/>
  <c r="I56" i="3"/>
  <c r="H56" i="3"/>
  <c r="G56" i="3"/>
  <c r="F56" i="3"/>
  <c r="E56" i="3"/>
  <c r="D56" i="3"/>
  <c r="C56" i="3"/>
  <c r="I55" i="3"/>
  <c r="H55" i="3"/>
  <c r="G55" i="3"/>
  <c r="F55" i="3"/>
  <c r="E55" i="3"/>
  <c r="D55" i="3"/>
  <c r="C55" i="3"/>
  <c r="I54" i="3"/>
  <c r="H54" i="3"/>
  <c r="G54" i="3"/>
  <c r="F54" i="3"/>
  <c r="E54" i="3"/>
  <c r="D54" i="3"/>
  <c r="C54" i="3"/>
  <c r="I53" i="3"/>
  <c r="H53" i="3"/>
  <c r="G53" i="3"/>
  <c r="F53" i="3"/>
  <c r="E53" i="3"/>
  <c r="D53" i="3"/>
  <c r="C53" i="3"/>
  <c r="I52" i="3"/>
  <c r="H52" i="3"/>
  <c r="G52" i="3"/>
  <c r="F52" i="3"/>
  <c r="E52" i="3"/>
  <c r="D52" i="3"/>
  <c r="C52" i="3"/>
  <c r="I51" i="3"/>
  <c r="H51" i="3"/>
  <c r="G51" i="3"/>
  <c r="F51" i="3"/>
  <c r="E51" i="3"/>
  <c r="D51" i="3"/>
  <c r="C51" i="3"/>
  <c r="I50" i="3"/>
  <c r="H50" i="3"/>
  <c r="G50" i="3"/>
  <c r="F50" i="3"/>
  <c r="E50" i="3"/>
  <c r="D50" i="3"/>
  <c r="C50" i="3"/>
  <c r="I49" i="3"/>
  <c r="H49" i="3"/>
  <c r="G49" i="3"/>
  <c r="F49" i="3"/>
  <c r="E49" i="3"/>
  <c r="D49" i="3"/>
  <c r="C49" i="3"/>
  <c r="I48" i="3"/>
  <c r="H48" i="3"/>
  <c r="G48" i="3"/>
  <c r="F48" i="3"/>
  <c r="E48" i="3"/>
  <c r="D48" i="3"/>
  <c r="C48" i="3"/>
  <c r="I47" i="3"/>
  <c r="H47" i="3"/>
  <c r="G47" i="3"/>
  <c r="F47" i="3"/>
  <c r="E47" i="3"/>
  <c r="D47" i="3"/>
  <c r="C47" i="3"/>
  <c r="I46" i="3"/>
  <c r="H46" i="3"/>
  <c r="G46" i="3"/>
  <c r="F46" i="3"/>
  <c r="E46" i="3"/>
  <c r="D46" i="3"/>
  <c r="C46" i="3"/>
  <c r="I45" i="3"/>
  <c r="H45" i="3"/>
  <c r="G45" i="3"/>
  <c r="F45" i="3"/>
  <c r="E45" i="3"/>
  <c r="D45" i="3"/>
  <c r="C45" i="3"/>
  <c r="I44" i="3"/>
  <c r="H44" i="3"/>
  <c r="G44" i="3"/>
  <c r="F44" i="3"/>
  <c r="E44" i="3"/>
  <c r="D44" i="3"/>
  <c r="C44" i="3"/>
  <c r="I43" i="3"/>
  <c r="H43" i="3"/>
  <c r="G43" i="3"/>
  <c r="F43" i="3"/>
  <c r="E43" i="3"/>
  <c r="D43" i="3"/>
  <c r="C43" i="3"/>
  <c r="I42" i="3"/>
  <c r="H42" i="3"/>
  <c r="G42" i="3"/>
  <c r="F42" i="3"/>
  <c r="E42" i="3"/>
  <c r="D42" i="3"/>
  <c r="C42" i="3"/>
  <c r="I41" i="3"/>
  <c r="H41" i="3"/>
  <c r="G41" i="3"/>
  <c r="F41" i="3"/>
  <c r="E41" i="3"/>
  <c r="D41" i="3"/>
  <c r="C41" i="3"/>
  <c r="I40" i="3"/>
  <c r="H40" i="3"/>
  <c r="G40" i="3"/>
  <c r="F40" i="3"/>
  <c r="E40" i="3"/>
  <c r="D40" i="3"/>
  <c r="C40" i="3"/>
  <c r="I39" i="3"/>
  <c r="H39" i="3"/>
  <c r="G39" i="3"/>
  <c r="F39" i="3"/>
  <c r="E39" i="3"/>
  <c r="D39" i="3"/>
  <c r="C39" i="3"/>
  <c r="I38" i="3"/>
  <c r="H38" i="3"/>
  <c r="G38" i="3"/>
  <c r="F38" i="3"/>
  <c r="E38" i="3"/>
  <c r="D38" i="3"/>
  <c r="C38" i="3"/>
  <c r="I37" i="3"/>
  <c r="H37" i="3"/>
  <c r="G37" i="3"/>
  <c r="F37" i="3"/>
  <c r="E37" i="3"/>
  <c r="D37" i="3"/>
  <c r="C37" i="3"/>
  <c r="I36" i="3"/>
  <c r="H36" i="3"/>
  <c r="G36" i="3"/>
  <c r="F36" i="3"/>
  <c r="E36" i="3"/>
  <c r="D36" i="3"/>
  <c r="C36" i="3"/>
  <c r="I35" i="3"/>
  <c r="H35" i="3"/>
  <c r="G35" i="3"/>
  <c r="F35" i="3"/>
  <c r="E35" i="3"/>
  <c r="D35" i="3"/>
  <c r="C35" i="3"/>
  <c r="I34" i="3"/>
  <c r="H34" i="3"/>
  <c r="G34" i="3"/>
  <c r="F34" i="3"/>
  <c r="E34" i="3"/>
  <c r="D34" i="3"/>
  <c r="C34" i="3"/>
  <c r="I33" i="3"/>
  <c r="H33" i="3"/>
  <c r="G33" i="3"/>
  <c r="F33" i="3"/>
  <c r="E33" i="3"/>
  <c r="D33" i="3"/>
  <c r="C33" i="3"/>
  <c r="I32" i="3"/>
  <c r="H32" i="3"/>
  <c r="G32" i="3"/>
  <c r="F32" i="3"/>
  <c r="E32" i="3"/>
  <c r="D32" i="3"/>
  <c r="C32" i="3"/>
  <c r="I31" i="3"/>
  <c r="H31" i="3"/>
  <c r="G31" i="3"/>
  <c r="F31" i="3"/>
  <c r="E31" i="3"/>
  <c r="D31" i="3"/>
  <c r="C31" i="3"/>
  <c r="I30" i="3"/>
  <c r="H30" i="3"/>
  <c r="G30" i="3"/>
  <c r="F30" i="3"/>
  <c r="E30" i="3"/>
  <c r="D30" i="3"/>
  <c r="C30" i="3"/>
  <c r="I29" i="3"/>
  <c r="H29" i="3"/>
  <c r="G29" i="3"/>
  <c r="F29" i="3"/>
  <c r="E29" i="3"/>
  <c r="D29" i="3"/>
  <c r="C29" i="3"/>
  <c r="I28" i="3"/>
  <c r="H28" i="3"/>
  <c r="G28" i="3"/>
  <c r="F28" i="3"/>
  <c r="E28" i="3"/>
  <c r="D28" i="3"/>
  <c r="C28" i="3"/>
  <c r="I27" i="3"/>
  <c r="H27" i="3"/>
  <c r="G27" i="3"/>
  <c r="F27" i="3"/>
  <c r="E27" i="3"/>
  <c r="D27" i="3"/>
  <c r="C27" i="3"/>
  <c r="I26" i="3"/>
  <c r="H26" i="3"/>
  <c r="G26" i="3"/>
  <c r="F26" i="3"/>
  <c r="E26" i="3"/>
  <c r="D26" i="3"/>
  <c r="C26" i="3"/>
  <c r="I25" i="3"/>
  <c r="H25" i="3"/>
  <c r="G25" i="3"/>
  <c r="F25" i="3"/>
  <c r="E25" i="3"/>
  <c r="D25" i="3"/>
  <c r="C25" i="3"/>
  <c r="I24" i="3"/>
  <c r="H24" i="3"/>
  <c r="G24" i="3"/>
  <c r="F24" i="3"/>
  <c r="E24" i="3"/>
  <c r="D24" i="3"/>
  <c r="C24" i="3"/>
  <c r="I23" i="3"/>
  <c r="H23" i="3"/>
  <c r="G23" i="3"/>
  <c r="F23" i="3"/>
  <c r="E23" i="3"/>
  <c r="D23" i="3"/>
  <c r="C23" i="3"/>
  <c r="I22" i="3"/>
  <c r="H22" i="3"/>
  <c r="G22" i="3"/>
  <c r="F22" i="3"/>
  <c r="E22" i="3"/>
  <c r="D22" i="3"/>
  <c r="C22" i="3"/>
  <c r="I21" i="3"/>
  <c r="H21" i="3"/>
  <c r="G21" i="3"/>
  <c r="F21" i="3"/>
  <c r="E21" i="3"/>
  <c r="D21" i="3"/>
  <c r="C21" i="3"/>
  <c r="I20" i="3"/>
  <c r="H20" i="3"/>
  <c r="G20" i="3"/>
  <c r="F20" i="3"/>
  <c r="E20" i="3"/>
  <c r="D20" i="3"/>
  <c r="C20" i="3"/>
  <c r="I19" i="3"/>
  <c r="H19" i="3"/>
  <c r="G19" i="3"/>
  <c r="F19" i="3"/>
  <c r="E19" i="3"/>
  <c r="D19" i="3"/>
  <c r="C19" i="3"/>
  <c r="I18" i="3"/>
  <c r="H18" i="3"/>
  <c r="G18" i="3"/>
  <c r="F18" i="3"/>
  <c r="E18" i="3"/>
  <c r="D18" i="3"/>
  <c r="C18" i="3"/>
  <c r="I17" i="3"/>
  <c r="H17" i="3"/>
  <c r="G17" i="3"/>
  <c r="F17" i="3"/>
  <c r="E17" i="3"/>
  <c r="D17" i="3"/>
  <c r="C17" i="3"/>
  <c r="I16" i="3"/>
  <c r="H16" i="3"/>
  <c r="G16" i="3"/>
  <c r="F16" i="3"/>
  <c r="E16" i="3"/>
  <c r="D16" i="3"/>
  <c r="C16" i="3"/>
  <c r="I15" i="3"/>
  <c r="H15" i="3"/>
  <c r="G15" i="3"/>
  <c r="F15" i="3"/>
  <c r="E15" i="3"/>
  <c r="D15" i="3"/>
  <c r="C15" i="3"/>
  <c r="I14" i="3"/>
  <c r="H14" i="3"/>
  <c r="G14" i="3"/>
  <c r="F14" i="3"/>
  <c r="E14" i="3"/>
  <c r="D14" i="3"/>
  <c r="C14" i="3"/>
  <c r="I13" i="3"/>
  <c r="H13" i="3"/>
  <c r="G13" i="3"/>
  <c r="F13" i="3"/>
  <c r="E13" i="3"/>
  <c r="D13" i="3"/>
  <c r="C13" i="3"/>
  <c r="I12" i="3"/>
  <c r="H12" i="3"/>
  <c r="G12" i="3"/>
  <c r="F12" i="3"/>
  <c r="E12" i="3"/>
  <c r="D12" i="3"/>
  <c r="C12" i="3"/>
  <c r="I11" i="3"/>
  <c r="H11" i="3"/>
  <c r="G11" i="3"/>
  <c r="F11" i="3"/>
  <c r="E11" i="3"/>
  <c r="D11" i="3"/>
  <c r="C11" i="3"/>
  <c r="I10" i="3"/>
  <c r="H10" i="3"/>
  <c r="G10" i="3"/>
  <c r="F10" i="3"/>
  <c r="E10" i="3"/>
  <c r="D10" i="3"/>
  <c r="C10" i="3"/>
  <c r="I9" i="3"/>
  <c r="H9" i="3"/>
  <c r="G9" i="3"/>
  <c r="F9" i="3"/>
  <c r="E9" i="3"/>
  <c r="D9" i="3"/>
  <c r="C9" i="3"/>
  <c r="I8" i="3"/>
  <c r="H8" i="3"/>
  <c r="G8" i="3"/>
  <c r="F8" i="3"/>
  <c r="E8" i="3"/>
  <c r="D8" i="3"/>
  <c r="C8" i="3"/>
  <c r="I7" i="3"/>
  <c r="H7" i="3"/>
  <c r="G7" i="3"/>
  <c r="F7" i="3"/>
  <c r="E7" i="3"/>
  <c r="D7" i="3"/>
  <c r="C7" i="3"/>
  <c r="I6" i="3"/>
  <c r="H6" i="3"/>
  <c r="G6" i="3"/>
  <c r="F6" i="3"/>
  <c r="E6" i="3"/>
  <c r="D6" i="3"/>
  <c r="C6" i="3"/>
  <c r="I5" i="3"/>
  <c r="H5" i="3"/>
  <c r="G5" i="3"/>
  <c r="F5" i="3"/>
  <c r="E5" i="3"/>
  <c r="D5" i="3"/>
  <c r="C5" i="3"/>
  <c r="I4" i="3"/>
  <c r="H4" i="3"/>
  <c r="G4" i="3"/>
  <c r="F4" i="3"/>
  <c r="E4" i="3"/>
  <c r="D4" i="3"/>
  <c r="C4" i="3"/>
  <c r="I3" i="3"/>
  <c r="H3" i="3"/>
  <c r="G3" i="3"/>
  <c r="F3" i="3"/>
  <c r="E3" i="3"/>
  <c r="D3" i="3"/>
  <c r="C3" i="3"/>
  <c r="I2" i="3"/>
  <c r="H2" i="3"/>
  <c r="G2" i="3"/>
  <c r="F2" i="3"/>
  <c r="E2" i="3"/>
  <c r="D2" i="3"/>
  <c r="C2" i="3"/>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A4" i="2"/>
  <c r="E3" i="2"/>
  <c r="A3" i="2"/>
  <c r="E2" i="2"/>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A36" i="2" s="1"/>
  <c r="D6" i="1"/>
  <c r="D5" i="1"/>
  <c r="A23" i="2" s="1"/>
  <c r="D4" i="1"/>
  <c r="D3" i="1"/>
  <c r="K2" i="1"/>
  <c r="D2" i="1"/>
  <c r="B2" i="4" s="1"/>
  <c r="D2" i="4" l="1"/>
  <c r="E2" i="4" s="1"/>
  <c r="B3" i="4"/>
  <c r="B4" i="4" s="1"/>
  <c r="B5" i="4" s="1"/>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C3" i="4"/>
  <c r="C4" i="4" s="1"/>
  <c r="C5" i="4" s="1"/>
  <c r="C6" i="4" s="1"/>
  <c r="C7" i="4" s="1"/>
  <c r="C8" i="4" s="1"/>
  <c r="C9" i="4" s="1"/>
  <c r="C10" i="4" s="1"/>
  <c r="C11" i="4" s="1"/>
  <c r="C12" i="4" s="1"/>
  <c r="C13" i="4" s="1"/>
  <c r="C14" i="4" s="1"/>
  <c r="C15" i="4" s="1"/>
  <c r="C16" i="4" s="1"/>
  <c r="C17" i="4" s="1"/>
  <c r="C18" i="4" s="1"/>
  <c r="C19" i="4" s="1"/>
  <c r="C20" i="4" s="1"/>
  <c r="C21" i="4" s="1"/>
  <c r="C22" i="4" s="1"/>
  <c r="C23" i="4" s="1"/>
  <c r="C24" i="4" s="1"/>
  <c r="C25" i="4" s="1"/>
  <c r="C26" i="4" s="1"/>
  <c r="C27" i="4" s="1"/>
  <c r="C28" i="4" s="1"/>
  <c r="C29" i="4" s="1"/>
  <c r="C30" i="4" s="1"/>
  <c r="C31" i="4" s="1"/>
  <c r="C32" i="4" s="1"/>
  <c r="C33" i="4" s="1"/>
  <c r="C34" i="4" s="1"/>
  <c r="C35" i="4" s="1"/>
  <c r="C36" i="4" s="1"/>
  <c r="C37" i="4" s="1"/>
  <c r="C38" i="4" s="1"/>
  <c r="C39" i="4" s="1"/>
  <c r="C40" i="4" s="1"/>
  <c r="C41" i="4" s="1"/>
  <c r="C42" i="4" s="1"/>
  <c r="C43" i="4" s="1"/>
  <c r="C44" i="4" s="1"/>
  <c r="C45" i="4" s="1"/>
  <c r="C46" i="4" s="1"/>
  <c r="C47" i="4" s="1"/>
  <c r="C48" i="4" s="1"/>
  <c r="C49" i="4" s="1"/>
  <c r="C50" i="4" s="1"/>
  <c r="C51" i="4" s="1"/>
  <c r="C52" i="4" s="1"/>
  <c r="C53" i="4" s="1"/>
  <c r="C54" i="4" s="1"/>
  <c r="C55" i="4" s="1"/>
  <c r="C56" i="4" s="1"/>
  <c r="C57" i="4" s="1"/>
  <c r="C58" i="4" s="1"/>
  <c r="C59" i="4" s="1"/>
  <c r="C60" i="4" s="1"/>
  <c r="C61" i="4" s="1"/>
  <c r="C62" i="4" s="1"/>
  <c r="C63" i="4" s="1"/>
  <c r="C64" i="4" s="1"/>
  <c r="C65" i="4" s="1"/>
  <c r="C66" i="4" s="1"/>
  <c r="C67" i="4" s="1"/>
  <c r="C68" i="4" s="1"/>
  <c r="C69" i="4" s="1"/>
  <c r="C70" i="4" s="1"/>
  <c r="C71" i="4" s="1"/>
  <c r="C72" i="4" s="1"/>
  <c r="C73" i="4" s="1"/>
  <c r="C74" i="4" s="1"/>
  <c r="C75" i="4" s="1"/>
  <c r="C76" i="4" s="1"/>
  <c r="C77" i="4" s="1"/>
  <c r="C78" i="4" s="1"/>
  <c r="C79" i="4" s="1"/>
  <c r="C80" i="4" s="1"/>
  <c r="C81" i="4" s="1"/>
  <c r="C82" i="4" s="1"/>
  <c r="C83" i="4" s="1"/>
  <c r="C84" i="4" s="1"/>
  <c r="C85" i="4" s="1"/>
  <c r="C86" i="4" s="1"/>
  <c r="C87" i="4" s="1"/>
  <c r="C88" i="4" s="1"/>
  <c r="C89" i="4" s="1"/>
  <c r="C90" i="4" s="1"/>
  <c r="C91" i="4" s="1"/>
  <c r="C92" i="4" s="1"/>
  <c r="C93" i="4" s="1"/>
  <c r="C94" i="4" s="1"/>
  <c r="C95" i="4" s="1"/>
  <c r="C96" i="4" s="1"/>
  <c r="C97" i="4" s="1"/>
  <c r="C98" i="4" s="1"/>
  <c r="C99" i="4" s="1"/>
  <c r="C100" i="4" s="1"/>
  <c r="C101" i="4" s="1"/>
  <c r="C102" i="4" s="1"/>
  <c r="C103" i="4" s="1"/>
  <c r="C104" i="4" s="1"/>
  <c r="C105" i="4" s="1"/>
  <c r="C106" i="4" s="1"/>
  <c r="C107" i="4" s="1"/>
  <c r="C108" i="4" s="1"/>
  <c r="C109" i="4" s="1"/>
  <c r="C110" i="4" s="1"/>
  <c r="C111" i="4" s="1"/>
  <c r="C112" i="4" s="1"/>
  <c r="C113" i="4" s="1"/>
  <c r="C114" i="4" s="1"/>
  <c r="C115" i="4" s="1"/>
  <c r="C116" i="4" s="1"/>
  <c r="C117" i="4" s="1"/>
  <c r="C118" i="4" s="1"/>
  <c r="C119" i="4" s="1"/>
  <c r="C120" i="4" s="1"/>
  <c r="C121" i="4" s="1"/>
  <c r="C122" i="4" s="1"/>
  <c r="C123" i="4" s="1"/>
  <c r="C124" i="4" s="1"/>
  <c r="C125" i="4" s="1"/>
  <c r="C126" i="4" s="1"/>
  <c r="C127" i="4" s="1"/>
  <c r="C128" i="4" s="1"/>
  <c r="C129" i="4" s="1"/>
  <c r="C130" i="4" s="1"/>
  <c r="C131" i="4" s="1"/>
  <c r="C132" i="4" s="1"/>
  <c r="C133" i="4" s="1"/>
  <c r="C134" i="4" s="1"/>
  <c r="C135" i="4" s="1"/>
  <c r="C136" i="4" s="1"/>
  <c r="C137" i="4" s="1"/>
  <c r="C138" i="4" s="1"/>
  <c r="C139" i="4" s="1"/>
  <c r="C140" i="4" s="1"/>
  <c r="C141" i="4" s="1"/>
  <c r="C142" i="4" s="1"/>
  <c r="C143" i="4" s="1"/>
  <c r="C144" i="4" s="1"/>
  <c r="C145" i="4" s="1"/>
  <c r="C146" i="4" s="1"/>
  <c r="C147" i="4" s="1"/>
  <c r="C148" i="4" s="1"/>
  <c r="C149" i="4" s="1"/>
  <c r="C150" i="4" s="1"/>
  <c r="C151" i="4" s="1"/>
  <c r="C152" i="4" s="1"/>
  <c r="C153" i="4" s="1"/>
  <c r="C154" i="4" s="1"/>
  <c r="C155" i="4" s="1"/>
  <c r="C156" i="4" s="1"/>
  <c r="C157" i="4" s="1"/>
  <c r="C158" i="4" s="1"/>
  <c r="C159" i="4" s="1"/>
  <c r="C160" i="4" s="1"/>
  <c r="C161" i="4" s="1"/>
  <c r="C162" i="4" s="1"/>
  <c r="C163" i="4" s="1"/>
  <c r="C164" i="4" s="1"/>
  <c r="C165" i="4" s="1"/>
  <c r="C166" i="4" s="1"/>
  <c r="C167" i="4" s="1"/>
  <c r="C168" i="4" s="1"/>
  <c r="C169" i="4" s="1"/>
  <c r="C170" i="4" s="1"/>
  <c r="C171" i="4" s="1"/>
  <c r="C172" i="4" s="1"/>
  <c r="C173" i="4" s="1"/>
  <c r="C174" i="4" s="1"/>
  <c r="C175" i="4" s="1"/>
  <c r="C176" i="4" s="1"/>
  <c r="C177" i="4" s="1"/>
  <c r="C178" i="4" s="1"/>
  <c r="C179" i="4" s="1"/>
  <c r="C180" i="4" s="1"/>
  <c r="C181" i="4" s="1"/>
  <c r="C182" i="4" s="1"/>
  <c r="C183" i="4" s="1"/>
  <c r="C184" i="4" s="1"/>
  <c r="C185" i="4" s="1"/>
  <c r="C186" i="4" s="1"/>
  <c r="C187" i="4" s="1"/>
  <c r="C188" i="4" s="1"/>
  <c r="C189" i="4" s="1"/>
  <c r="F4" i="4"/>
  <c r="F5" i="4" s="1"/>
  <c r="F6" i="4" s="1"/>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F34" i="4" s="1"/>
  <c r="F35" i="4" s="1"/>
  <c r="F36" i="4" s="1"/>
  <c r="F37" i="4" s="1"/>
  <c r="F38" i="4" s="1"/>
  <c r="F39" i="4" s="1"/>
  <c r="F40" i="4" s="1"/>
  <c r="F41" i="4" s="1"/>
  <c r="F42" i="4" s="1"/>
  <c r="F43" i="4" s="1"/>
  <c r="F44" i="4" s="1"/>
  <c r="F45" i="4" s="1"/>
  <c r="F46" i="4" s="1"/>
  <c r="F47" i="4" s="1"/>
  <c r="F48" i="4" s="1"/>
  <c r="F49" i="4" s="1"/>
  <c r="F50" i="4" s="1"/>
  <c r="F51" i="4" s="1"/>
  <c r="F52" i="4" s="1"/>
  <c r="F53" i="4" s="1"/>
  <c r="F54" i="4" s="1"/>
  <c r="F55" i="4" s="1"/>
  <c r="F56" i="4" s="1"/>
  <c r="F57" i="4" s="1"/>
  <c r="F58" i="4" s="1"/>
  <c r="F59" i="4" s="1"/>
  <c r="F60" i="4" s="1"/>
  <c r="F61" i="4" s="1"/>
  <c r="F62" i="4" s="1"/>
  <c r="F63" i="4" s="1"/>
  <c r="F64" i="4" s="1"/>
  <c r="F65" i="4" s="1"/>
  <c r="F66" i="4" s="1"/>
  <c r="F67" i="4" s="1"/>
  <c r="F68" i="4" s="1"/>
  <c r="F69" i="4" s="1"/>
  <c r="F70" i="4" s="1"/>
  <c r="F71" i="4" s="1"/>
  <c r="F72" i="4" s="1"/>
  <c r="F73" i="4" s="1"/>
  <c r="F74" i="4" s="1"/>
  <c r="F75" i="4" s="1"/>
  <c r="F76" i="4" s="1"/>
  <c r="F77" i="4" s="1"/>
  <c r="F78" i="4" s="1"/>
  <c r="F79" i="4" s="1"/>
  <c r="F80" i="4" s="1"/>
  <c r="F81" i="4" s="1"/>
  <c r="F82" i="4" s="1"/>
  <c r="F83" i="4" s="1"/>
  <c r="F84" i="4" s="1"/>
  <c r="F85" i="4" s="1"/>
  <c r="F86" i="4" s="1"/>
  <c r="F87" i="4" s="1"/>
  <c r="F88" i="4" s="1"/>
  <c r="F89" i="4" s="1"/>
  <c r="F90" i="4" s="1"/>
  <c r="F91" i="4" s="1"/>
  <c r="F92" i="4" s="1"/>
  <c r="F93" i="4" s="1"/>
  <c r="F94" i="4" s="1"/>
  <c r="F95" i="4" s="1"/>
  <c r="F96" i="4" s="1"/>
  <c r="F97" i="4" s="1"/>
  <c r="F98" i="4" s="1"/>
  <c r="F99" i="4" s="1"/>
  <c r="F100" i="4" s="1"/>
  <c r="F101" i="4" s="1"/>
  <c r="F102" i="4" s="1"/>
  <c r="F103" i="4" s="1"/>
  <c r="F104" i="4" s="1"/>
  <c r="F105" i="4" s="1"/>
  <c r="F106" i="4" s="1"/>
  <c r="F107" i="4" s="1"/>
  <c r="F108" i="4" s="1"/>
  <c r="F109" i="4" s="1"/>
  <c r="F110" i="4" s="1"/>
  <c r="F111" i="4" s="1"/>
  <c r="F112" i="4" s="1"/>
  <c r="F113" i="4" s="1"/>
  <c r="F114" i="4" s="1"/>
  <c r="F115" i="4" s="1"/>
  <c r="F116" i="4" s="1"/>
  <c r="F117" i="4" s="1"/>
  <c r="F118" i="4" s="1"/>
  <c r="F119" i="4" s="1"/>
  <c r="F120" i="4" s="1"/>
  <c r="F121" i="4" s="1"/>
  <c r="F122" i="4" s="1"/>
  <c r="F123" i="4" s="1"/>
  <c r="F124" i="4" s="1"/>
  <c r="F125" i="4" s="1"/>
  <c r="F126" i="4" s="1"/>
  <c r="F127" i="4" s="1"/>
  <c r="F128" i="4" s="1"/>
  <c r="F129" i="4" s="1"/>
  <c r="F130" i="4" s="1"/>
  <c r="F131" i="4" s="1"/>
  <c r="F132" i="4" s="1"/>
  <c r="F133" i="4" s="1"/>
  <c r="F134" i="4" s="1"/>
  <c r="F135" i="4" s="1"/>
  <c r="F136" i="4" s="1"/>
  <c r="F137" i="4" s="1"/>
  <c r="F138" i="4" s="1"/>
  <c r="F139" i="4" s="1"/>
  <c r="F140" i="4" s="1"/>
  <c r="F141" i="4" s="1"/>
  <c r="F142" i="4" s="1"/>
  <c r="F143" i="4" s="1"/>
  <c r="F144" i="4" s="1"/>
  <c r="F145" i="4" s="1"/>
  <c r="F146" i="4" s="1"/>
  <c r="F147" i="4" s="1"/>
  <c r="F148" i="4" s="1"/>
  <c r="F149" i="4" s="1"/>
  <c r="F150" i="4" s="1"/>
  <c r="F151" i="4" s="1"/>
  <c r="F152" i="4" s="1"/>
  <c r="F153" i="4" s="1"/>
  <c r="F154" i="4" s="1"/>
  <c r="F155" i="4" s="1"/>
  <c r="F156" i="4" s="1"/>
  <c r="F157" i="4" s="1"/>
  <c r="F158" i="4" s="1"/>
  <c r="F159" i="4" s="1"/>
  <c r="F160" i="4" s="1"/>
  <c r="F161" i="4" s="1"/>
  <c r="F162" i="4" s="1"/>
  <c r="F163" i="4" s="1"/>
  <c r="F164" i="4" s="1"/>
  <c r="F165" i="4" s="1"/>
  <c r="F166" i="4" s="1"/>
  <c r="F167" i="4" s="1"/>
  <c r="F168" i="4" s="1"/>
  <c r="F169" i="4" s="1"/>
  <c r="F170" i="4" s="1"/>
  <c r="F171" i="4" s="1"/>
  <c r="F172" i="4" s="1"/>
  <c r="F173" i="4" s="1"/>
  <c r="F174" i="4" s="1"/>
  <c r="F175" i="4" s="1"/>
  <c r="F176" i="4" s="1"/>
  <c r="F177" i="4" s="1"/>
  <c r="F178" i="4" s="1"/>
  <c r="F179" i="4" s="1"/>
  <c r="F180" i="4" s="1"/>
  <c r="F181" i="4" s="1"/>
  <c r="F182" i="4" s="1"/>
  <c r="F183" i="4" s="1"/>
  <c r="F184" i="4" s="1"/>
  <c r="F185" i="4" s="1"/>
  <c r="F186" i="4" s="1"/>
  <c r="F187" i="4" s="1"/>
  <c r="F188" i="4" s="1"/>
  <c r="F189" i="4" s="1"/>
  <c r="A3" i="4"/>
  <c r="E188" i="4"/>
  <c r="E187" i="4"/>
  <c r="E183" i="4"/>
  <c r="E179" i="4"/>
  <c r="E175" i="4"/>
  <c r="E171" i="4"/>
  <c r="E167" i="4"/>
  <c r="E163" i="4"/>
  <c r="E159" i="4"/>
  <c r="E186" i="4"/>
  <c r="E182" i="4"/>
  <c r="E178" i="4"/>
  <c r="E174" i="4"/>
  <c r="E170" i="4"/>
  <c r="E166" i="4"/>
  <c r="E162" i="4"/>
  <c r="E158" i="4"/>
  <c r="E184" i="4"/>
  <c r="E180" i="4"/>
  <c r="E176" i="4"/>
  <c r="E172" i="4"/>
  <c r="E168" i="4"/>
  <c r="E164" i="4"/>
  <c r="E160" i="4"/>
  <c r="E189" i="4"/>
  <c r="E185" i="4"/>
  <c r="E181" i="4"/>
  <c r="E177" i="4"/>
  <c r="E173" i="4"/>
  <c r="E169" i="4"/>
  <c r="E165" i="4"/>
  <c r="E161" i="4"/>
  <c r="E157" i="4"/>
  <c r="E130" i="4"/>
  <c r="E66" i="4"/>
  <c r="E122" i="4"/>
  <c r="E58" i="4"/>
  <c r="E114" i="4"/>
  <c r="E50" i="4"/>
  <c r="E106" i="4"/>
  <c r="E42" i="4"/>
  <c r="E98" i="4"/>
  <c r="E34" i="4"/>
  <c r="E154" i="4"/>
  <c r="E90" i="4"/>
  <c r="E26" i="4"/>
  <c r="E146" i="4"/>
  <c r="E82" i="4"/>
  <c r="E18" i="4"/>
  <c r="E138" i="4"/>
  <c r="E74" i="4"/>
  <c r="E10" i="4"/>
  <c r="E153" i="4"/>
  <c r="E145" i="4"/>
  <c r="E137" i="4"/>
  <c r="E129" i="4"/>
  <c r="E121" i="4"/>
  <c r="E113" i="4"/>
  <c r="E105" i="4"/>
  <c r="E97" i="4"/>
  <c r="E89" i="4"/>
  <c r="E81" i="4"/>
  <c r="E73" i="4"/>
  <c r="E65" i="4"/>
  <c r="E57" i="4"/>
  <c r="E49" i="4"/>
  <c r="E41" i="4"/>
  <c r="E33" i="4"/>
  <c r="E25" i="4"/>
  <c r="E17" i="4"/>
  <c r="E9" i="4"/>
  <c r="E152" i="4"/>
  <c r="E144" i="4"/>
  <c r="E136" i="4"/>
  <c r="E128" i="4"/>
  <c r="E120" i="4"/>
  <c r="E112" i="4"/>
  <c r="E104" i="4"/>
  <c r="E96" i="4"/>
  <c r="E88" i="4"/>
  <c r="E80" i="4"/>
  <c r="E72" i="4"/>
  <c r="E64" i="4"/>
  <c r="E56" i="4"/>
  <c r="E48" i="4"/>
  <c r="E40" i="4"/>
  <c r="E32" i="4"/>
  <c r="E24" i="4"/>
  <c r="E16" i="4"/>
  <c r="E8" i="4"/>
  <c r="E151" i="4"/>
  <c r="E135" i="4"/>
  <c r="E119" i="4"/>
  <c r="E103" i="4"/>
  <c r="E87" i="4"/>
  <c r="E71" i="4"/>
  <c r="E55" i="4"/>
  <c r="E39" i="4"/>
  <c r="E7" i="4"/>
  <c r="E142" i="4"/>
  <c r="E126" i="4"/>
  <c r="E110" i="4"/>
  <c r="E94" i="4"/>
  <c r="E86" i="4"/>
  <c r="E70" i="4"/>
  <c r="E62" i="4"/>
  <c r="E54" i="4"/>
  <c r="E46" i="4"/>
  <c r="E38" i="4"/>
  <c r="E30" i="4"/>
  <c r="E6" i="4"/>
  <c r="E149" i="4"/>
  <c r="E141" i="4"/>
  <c r="E133" i="4"/>
  <c r="E125" i="4"/>
  <c r="E117" i="4"/>
  <c r="E109" i="4"/>
  <c r="E101" i="4"/>
  <c r="E93" i="4"/>
  <c r="E85" i="4"/>
  <c r="E77" i="4"/>
  <c r="E69" i="4"/>
  <c r="E61" i="4"/>
  <c r="E53" i="4"/>
  <c r="E45" i="4"/>
  <c r="E37" i="4"/>
  <c r="E29" i="4"/>
  <c r="E21" i="4"/>
  <c r="E13" i="4"/>
  <c r="E5" i="4"/>
  <c r="E22" i="4"/>
  <c r="E156" i="4"/>
  <c r="E148" i="4"/>
  <c r="E140" i="4"/>
  <c r="E132" i="4"/>
  <c r="E124" i="4"/>
  <c r="E116" i="4"/>
  <c r="E108" i="4"/>
  <c r="E100" i="4"/>
  <c r="E92" i="4"/>
  <c r="E84" i="4"/>
  <c r="E76" i="4"/>
  <c r="E68" i="4"/>
  <c r="E60" i="4"/>
  <c r="E52" i="4"/>
  <c r="E44" i="4"/>
  <c r="E36" i="4"/>
  <c r="E28" i="4"/>
  <c r="E20" i="4"/>
  <c r="E12" i="4"/>
  <c r="E4" i="4"/>
  <c r="E143" i="4"/>
  <c r="E127" i="4"/>
  <c r="E111" i="4"/>
  <c r="E95" i="4"/>
  <c r="E79" i="4"/>
  <c r="E63" i="4"/>
  <c r="E47" i="4"/>
  <c r="E31" i="4"/>
  <c r="E23" i="4"/>
  <c r="E15" i="4"/>
  <c r="E150" i="4"/>
  <c r="E134" i="4"/>
  <c r="E118" i="4"/>
  <c r="E102" i="4"/>
  <c r="E78" i="4"/>
  <c r="E14" i="4"/>
  <c r="E155" i="4"/>
  <c r="E147" i="4"/>
  <c r="E139" i="4"/>
  <c r="E131" i="4"/>
  <c r="E123" i="4"/>
  <c r="E115" i="4"/>
  <c r="E107" i="4"/>
  <c r="E99" i="4"/>
  <c r="E91" i="4"/>
  <c r="E83" i="4"/>
  <c r="E75" i="4"/>
  <c r="E67" i="4"/>
  <c r="E59" i="4"/>
  <c r="E51" i="4"/>
  <c r="E43" i="4"/>
  <c r="E35" i="4"/>
  <c r="E27" i="4"/>
  <c r="E19" i="4"/>
  <c r="E11" i="4"/>
  <c r="E3" i="4"/>
  <c r="A13" i="2"/>
  <c r="A27" i="2"/>
  <c r="A45" i="2"/>
  <c r="A12" i="2"/>
  <c r="A21" i="2"/>
  <c r="A35" i="2"/>
  <c r="A44" i="2"/>
  <c r="A49" i="2"/>
  <c r="A8" i="2"/>
  <c r="A17" i="2"/>
  <c r="A31" i="2"/>
  <c r="A40" i="2"/>
  <c r="A41" i="2"/>
  <c r="A50" i="2"/>
  <c r="A46" i="2"/>
  <c r="A42" i="2"/>
  <c r="A38" i="2"/>
  <c r="A34" i="2"/>
  <c r="A30" i="2"/>
  <c r="A26" i="2"/>
  <c r="A22" i="2"/>
  <c r="A18" i="2"/>
  <c r="A14" i="2"/>
  <c r="A10" i="2"/>
  <c r="A6" i="2"/>
  <c r="A2" i="2"/>
  <c r="A48" i="2"/>
  <c r="A19" i="2"/>
  <c r="A32" i="2"/>
  <c r="A51" i="2"/>
  <c r="A5" i="2"/>
  <c r="A28" i="2"/>
  <c r="A37" i="2"/>
  <c r="A15" i="2"/>
  <c r="A24" i="2"/>
  <c r="A33" i="2"/>
  <c r="A47" i="2"/>
  <c r="A9" i="2"/>
  <c r="A11" i="2"/>
  <c r="A29" i="2"/>
  <c r="A43" i="2"/>
  <c r="A20" i="2"/>
  <c r="A7" i="2"/>
  <c r="A16" i="2"/>
  <c r="A25" i="2"/>
  <c r="A39" i="2"/>
  <c r="A4" i="4" l="1"/>
  <c r="A5" i="4" l="1"/>
  <c r="A6" i="4" l="1"/>
  <c r="A7" i="4" l="1"/>
  <c r="A8" i="4" l="1"/>
  <c r="A9" i="4" l="1"/>
  <c r="A10" i="4" l="1"/>
  <c r="A11" i="4" l="1"/>
  <c r="A12" i="4" l="1"/>
  <c r="A13" i="4" l="1"/>
  <c r="A14" i="4" l="1"/>
  <c r="A15" i="4" l="1"/>
  <c r="A16" i="4" l="1"/>
  <c r="A17" i="4" l="1"/>
  <c r="A18" i="4" l="1"/>
  <c r="A19" i="4" l="1"/>
  <c r="A20" i="4" l="1"/>
  <c r="A21" i="4" l="1"/>
  <c r="A22" i="4" l="1"/>
  <c r="A23" i="4" l="1"/>
  <c r="A24" i="4" l="1"/>
  <c r="A25" i="4" l="1"/>
  <c r="A26" i="4" l="1"/>
  <c r="A27" i="4" l="1"/>
  <c r="A28" i="4" l="1"/>
  <c r="A29" i="4" l="1"/>
  <c r="A30" i="4" l="1"/>
  <c r="A31" i="4" l="1"/>
  <c r="A32" i="4" l="1"/>
  <c r="A33" i="4" l="1"/>
  <c r="A34" i="4" l="1"/>
  <c r="A35" i="4" l="1"/>
  <c r="A36" i="4" l="1"/>
  <c r="A37" i="4" l="1"/>
  <c r="A38" i="4" l="1"/>
  <c r="A39" i="4" l="1"/>
  <c r="A40" i="4" l="1"/>
  <c r="A41" i="4" l="1"/>
  <c r="A42" i="4" l="1"/>
  <c r="A43" i="4" l="1"/>
  <c r="A44" i="4" l="1"/>
  <c r="A45" i="4" l="1"/>
  <c r="A46" i="4" l="1"/>
  <c r="A47" i="4" l="1"/>
  <c r="A48" i="4" l="1"/>
  <c r="A49" i="4" l="1"/>
  <c r="A50" i="4" l="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Dominik Cvetko</author>
  </authors>
  <commentList>
    <comment ref="A2" authorId="0" shapeId="0" xr:uid="{00000000-0006-0000-0300-000001000000}">
      <text>
        <r>
          <rPr>
            <sz val="11"/>
            <color theme="1"/>
            <rFont val="Aptos Narrow"/>
            <family val="2"/>
            <charset val="238"/>
            <scheme val="minor"/>
          </rPr>
          <t>Dominik Cvetko:
Type region number  from Region sheet to get list of the countries!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<sst xmlns="http://schemas.openxmlformats.org/spreadsheetml/2006/main" count="3078" uniqueCount="1876">
  <si>
    <t>ISO_2</t>
  </si>
  <si>
    <t>en</t>
  </si>
  <si>
    <t>hr</t>
  </si>
  <si>
    <t>de</t>
  </si>
  <si>
    <t>fr</t>
  </si>
  <si>
    <t>ja</t>
  </si>
  <si>
    <t>it</t>
  </si>
  <si>
    <t>es</t>
  </si>
  <si>
    <t>pt</t>
  </si>
  <si>
    <t>AD</t>
  </si>
  <si>
    <t>Andorra</t>
  </si>
  <si>
    <t>Andora</t>
  </si>
  <si>
    <t>Andorre</t>
  </si>
  <si>
    <t>アンドラ</t>
  </si>
  <si>
    <t>AE</t>
  </si>
  <si>
    <t>United Arab Emirates</t>
  </si>
  <si>
    <t>Ujedinjeni Arapski Emirati</t>
  </si>
  <si>
    <t>Vereinigte Arabische Emirate</t>
  </si>
  <si>
    <t>Émirats Arabes Unis</t>
  </si>
  <si>
    <t>アラブ首長国連邦</t>
  </si>
  <si>
    <t>Emirati Arabi Uniti</t>
  </si>
  <si>
    <t>Emiratos Árabes Unidos</t>
  </si>
  <si>
    <t>Emirados Árabes Unidos</t>
  </si>
  <si>
    <t>AF</t>
  </si>
  <si>
    <t>Afghanistan</t>
  </si>
  <si>
    <t>Afganistan</t>
  </si>
  <si>
    <t>アフガニスタン</t>
  </si>
  <si>
    <t>Afganistán</t>
  </si>
  <si>
    <t>Afeganistão</t>
  </si>
  <si>
    <t>AG</t>
  </si>
  <si>
    <t>Antigua and Barbuda</t>
  </si>
  <si>
    <t>Antigva i Barbuda</t>
  </si>
  <si>
    <t>Antigua und Barbuda</t>
  </si>
  <si>
    <t>Antigua-et-Barbuda</t>
  </si>
  <si>
    <t>アンティグア・バーブーダ</t>
  </si>
  <si>
    <t>Antigua e Barbuda</t>
  </si>
  <si>
    <t>Antigua y Barbuda</t>
  </si>
  <si>
    <t>Antígua e Barbuda</t>
  </si>
  <si>
    <t>AI</t>
  </si>
  <si>
    <t>Anguilla</t>
  </si>
  <si>
    <t>Angvila</t>
  </si>
  <si>
    <t>アンギラ</t>
  </si>
  <si>
    <t>Anguila</t>
  </si>
  <si>
    <t>AL</t>
  </si>
  <si>
    <t>Albania</t>
  </si>
  <si>
    <t>Albanija</t>
  </si>
  <si>
    <t>Albanien</t>
  </si>
  <si>
    <t>Albanie</t>
  </si>
  <si>
    <t>アルバニア</t>
  </si>
  <si>
    <t>Albânia</t>
  </si>
  <si>
    <t>AM</t>
  </si>
  <si>
    <t>Armenia</t>
  </si>
  <si>
    <t>Armenija</t>
  </si>
  <si>
    <t>Armenien</t>
  </si>
  <si>
    <t>Arménie</t>
  </si>
  <si>
    <t>アルメニア</t>
  </si>
  <si>
    <t>Armênia</t>
  </si>
  <si>
    <t>AO</t>
  </si>
  <si>
    <t>Angola</t>
  </si>
  <si>
    <t>アンゴラ</t>
  </si>
  <si>
    <t>AR</t>
  </si>
  <si>
    <t>Argentina</t>
  </si>
  <si>
    <t>Argentinien</t>
  </si>
  <si>
    <t>Argentine</t>
  </si>
  <si>
    <t>アルゼンチン</t>
  </si>
  <si>
    <t>AT</t>
  </si>
  <si>
    <t>Austria</t>
  </si>
  <si>
    <t>Austrija</t>
  </si>
  <si>
    <t>Österreich</t>
  </si>
  <si>
    <t>Autriche</t>
  </si>
  <si>
    <t>オーストリア</t>
  </si>
  <si>
    <t>Áustria</t>
  </si>
  <si>
    <t>AU</t>
  </si>
  <si>
    <t>Australia</t>
  </si>
  <si>
    <t>Australija</t>
  </si>
  <si>
    <t>Australien</t>
  </si>
  <si>
    <t>Australie</t>
  </si>
  <si>
    <t>オーストラリア</t>
  </si>
  <si>
    <t>Austrália</t>
  </si>
  <si>
    <t>AW</t>
  </si>
  <si>
    <t>Aruba</t>
  </si>
  <si>
    <t>アルバ</t>
  </si>
  <si>
    <t>AZ</t>
  </si>
  <si>
    <t>Azerbaijan</t>
  </si>
  <si>
    <t>Azerbajdžan</t>
  </si>
  <si>
    <t>Aserbaidschan</t>
  </si>
  <si>
    <t>Azerbaïdjan</t>
  </si>
  <si>
    <t>アゼルバイジャン</t>
  </si>
  <si>
    <t>Azerbaigian</t>
  </si>
  <si>
    <t>Azerbaiyán</t>
  </si>
  <si>
    <t>Azerbaijão</t>
  </si>
  <si>
    <t>BA</t>
  </si>
  <si>
    <t>Bosnia and Herzegovina</t>
  </si>
  <si>
    <t>Bosna i Hercegovina</t>
  </si>
  <si>
    <t>Bosnien und Herzegowina</t>
  </si>
  <si>
    <t>Bosnie-Herzégovine</t>
  </si>
  <si>
    <t>ボスニア・ヘルツェゴビナ</t>
  </si>
  <si>
    <t>Bosnia ed Erzegovina</t>
  </si>
  <si>
    <t>Bosnia y Herzegovina</t>
  </si>
  <si>
    <t>Bósnia e Herzegovina</t>
  </si>
  <si>
    <t>BB</t>
  </si>
  <si>
    <t>Barbados</t>
  </si>
  <si>
    <t>Barbade</t>
  </si>
  <si>
    <t>バルバドス</t>
  </si>
  <si>
    <t>BD</t>
  </si>
  <si>
    <t>Bangladesh</t>
  </si>
  <si>
    <t>Bangladeš</t>
  </si>
  <si>
    <t>Bangladesch</t>
  </si>
  <si>
    <t>バングラデシュ</t>
  </si>
  <si>
    <t>BE</t>
  </si>
  <si>
    <t>Belgium</t>
  </si>
  <si>
    <t>Belgija</t>
  </si>
  <si>
    <t>Belgien</t>
  </si>
  <si>
    <t>Belgique</t>
  </si>
  <si>
    <t>ベルギー</t>
  </si>
  <si>
    <t>Belgio</t>
  </si>
  <si>
    <t>Bélgica</t>
  </si>
  <si>
    <t>BF</t>
  </si>
  <si>
    <t>Burkina Faso</t>
  </si>
  <si>
    <t>ブルキナファソ</t>
  </si>
  <si>
    <t>Burquina Faso</t>
  </si>
  <si>
    <t>BG</t>
  </si>
  <si>
    <t>Bulgaria</t>
  </si>
  <si>
    <t>Bugarska</t>
  </si>
  <si>
    <t>Bulgarien</t>
  </si>
  <si>
    <t>Bulgarie</t>
  </si>
  <si>
    <t>ブルガリア</t>
  </si>
  <si>
    <t>Bulgária</t>
  </si>
  <si>
    <t>BH</t>
  </si>
  <si>
    <t>Bahrain</t>
  </si>
  <si>
    <t>Bahrein</t>
  </si>
  <si>
    <t>Bahreïn</t>
  </si>
  <si>
    <t>バーレーン</t>
  </si>
  <si>
    <t>BJ</t>
  </si>
  <si>
    <t>Benin</t>
  </si>
  <si>
    <t>Bénin</t>
  </si>
  <si>
    <t>ベナン</t>
  </si>
  <si>
    <t>BM</t>
  </si>
  <si>
    <t>Bermuda</t>
  </si>
  <si>
    <t>Bermudes</t>
  </si>
  <si>
    <t>バミューダ</t>
  </si>
  <si>
    <t>Bermudas</t>
  </si>
  <si>
    <t>BO</t>
  </si>
  <si>
    <t>Bolivia</t>
  </si>
  <si>
    <t>Bolivija</t>
  </si>
  <si>
    <t>Bolivien</t>
  </si>
  <si>
    <t>Bolivie</t>
  </si>
  <si>
    <t>ボリビア多民族国</t>
  </si>
  <si>
    <t>Bolívia</t>
  </si>
  <si>
    <t>BQ</t>
  </si>
  <si>
    <t>Bonaire, Sint Eustatius and Saba</t>
  </si>
  <si>
    <t>Bonaire, Sveti Eustahije i Saba</t>
  </si>
  <si>
    <t>Bonaire</t>
  </si>
  <si>
    <t>Bonaire, Saint-Eustache et Saba</t>
  </si>
  <si>
    <t>ボネール、シント・ユースタティウスおよびサバ</t>
  </si>
  <si>
    <t>Isole BES</t>
  </si>
  <si>
    <t>Bonaire, San Eustaquio y Saba</t>
  </si>
  <si>
    <t>Bonaire, Santo Eustáquio e Saba</t>
  </si>
  <si>
    <t>BR</t>
  </si>
  <si>
    <t>Brazil</t>
  </si>
  <si>
    <t>Brasilien</t>
  </si>
  <si>
    <t>Brésil</t>
  </si>
  <si>
    <t>ブラジル</t>
  </si>
  <si>
    <t>Brasile</t>
  </si>
  <si>
    <t>Brasil</t>
  </si>
  <si>
    <t>BS</t>
  </si>
  <si>
    <t>Bahamas</t>
  </si>
  <si>
    <t>Bahami</t>
  </si>
  <si>
    <t>バハマ</t>
  </si>
  <si>
    <t>BW</t>
  </si>
  <si>
    <t>Botswana</t>
  </si>
  <si>
    <t>Bocvana</t>
  </si>
  <si>
    <t>ボツワナ</t>
  </si>
  <si>
    <t>Botsuana</t>
  </si>
  <si>
    <t>BY</t>
  </si>
  <si>
    <t>Belarus</t>
  </si>
  <si>
    <t>Bjelorusija</t>
  </si>
  <si>
    <t>Biélorussie</t>
  </si>
  <si>
    <t>ベラルーシ</t>
  </si>
  <si>
    <t>Bielorussia</t>
  </si>
  <si>
    <t>Bielorrusia</t>
  </si>
  <si>
    <t>Bielorrússia</t>
  </si>
  <si>
    <t>BZ</t>
  </si>
  <si>
    <t>Belize</t>
  </si>
  <si>
    <t>ベリーズ</t>
  </si>
  <si>
    <t>Belice</t>
  </si>
  <si>
    <t>CA</t>
  </si>
  <si>
    <t>Canada</t>
  </si>
  <si>
    <t>Kanada</t>
  </si>
  <si>
    <t>カナダ</t>
  </si>
  <si>
    <t>Canadá</t>
  </si>
  <si>
    <t>CD</t>
  </si>
  <si>
    <t>Congo Kinshasa</t>
  </si>
  <si>
    <t>Kongo Kinshasa</t>
  </si>
  <si>
    <t>Kongo</t>
  </si>
  <si>
    <t>République démocratique du Congo</t>
  </si>
  <si>
    <t>コンゴ民主共和国</t>
  </si>
  <si>
    <t>Repubblica Democratica del Congo</t>
  </si>
  <si>
    <t>Congo (República Democrática del)</t>
  </si>
  <si>
    <t>Congo-Kinshasa</t>
  </si>
  <si>
    <t>CH</t>
  </si>
  <si>
    <t>Switzerland</t>
  </si>
  <si>
    <t>Švicarska</t>
  </si>
  <si>
    <t>Schweiz</t>
  </si>
  <si>
    <t>Suisse</t>
  </si>
  <si>
    <t>スイス</t>
  </si>
  <si>
    <t>Svizzera</t>
  </si>
  <si>
    <t>Suiza</t>
  </si>
  <si>
    <t>Suíça</t>
  </si>
  <si>
    <t>CI</t>
  </si>
  <si>
    <t>Cote d'Ivoire</t>
  </si>
  <si>
    <t>Obala Bjelokosti</t>
  </si>
  <si>
    <t>Elfenbeinküste</t>
  </si>
  <si>
    <t>Côte-d'Ivoire</t>
  </si>
  <si>
    <t>コートジボワール</t>
  </si>
  <si>
    <t>Costa d'Avorio</t>
  </si>
  <si>
    <t>Costa de Marfil</t>
  </si>
  <si>
    <t>Costa do Marfim</t>
  </si>
  <si>
    <t>CL</t>
  </si>
  <si>
    <t>Chile</t>
  </si>
  <si>
    <t>Čile</t>
  </si>
  <si>
    <t>Chili</t>
  </si>
  <si>
    <t>チリ</t>
  </si>
  <si>
    <t>Cile</t>
  </si>
  <si>
    <t>CM</t>
  </si>
  <si>
    <t>Cameron</t>
  </si>
  <si>
    <t>Kamerun</t>
  </si>
  <si>
    <t>Cameroun</t>
  </si>
  <si>
    <t>カメルーン</t>
  </si>
  <si>
    <t>Camerun</t>
  </si>
  <si>
    <t>Camerún</t>
  </si>
  <si>
    <t>Camarões</t>
  </si>
  <si>
    <t>CN</t>
  </si>
  <si>
    <t>China</t>
  </si>
  <si>
    <t>Kina</t>
  </si>
  <si>
    <t>Chine</t>
  </si>
  <si>
    <t>中華人民共和国</t>
  </si>
  <si>
    <t>Cina</t>
  </si>
  <si>
    <t>CO</t>
  </si>
  <si>
    <t>Colombia</t>
  </si>
  <si>
    <t>Kolumbija</t>
  </si>
  <si>
    <t>Kolumbien</t>
  </si>
  <si>
    <t>Colombie</t>
  </si>
  <si>
    <t>コロンビア</t>
  </si>
  <si>
    <t>Colômbia</t>
  </si>
  <si>
    <t>CR</t>
  </si>
  <si>
    <t>Costa Rica</t>
  </si>
  <si>
    <t>Kostarika</t>
  </si>
  <si>
    <t>コスタリカ</t>
  </si>
  <si>
    <t>CU</t>
  </si>
  <si>
    <t>Cuba</t>
  </si>
  <si>
    <t>Kuba</t>
  </si>
  <si>
    <t>キューバ</t>
  </si>
  <si>
    <t>CV</t>
  </si>
  <si>
    <t>Cape Verde</t>
  </si>
  <si>
    <t>Zelenortska Republika</t>
  </si>
  <si>
    <t>Kap Verde</t>
  </si>
  <si>
    <t>Cap-Vert</t>
  </si>
  <si>
    <t>カーボベルデ</t>
  </si>
  <si>
    <t>Capo Verde</t>
  </si>
  <si>
    <t>Cabo Verde</t>
  </si>
  <si>
    <t>CY</t>
  </si>
  <si>
    <t>Cyprus</t>
  </si>
  <si>
    <t>Cipar</t>
  </si>
  <si>
    <t>Zypern</t>
  </si>
  <si>
    <t>Chypre</t>
  </si>
  <si>
    <t>キプロス</t>
  </si>
  <si>
    <t>Cipro</t>
  </si>
  <si>
    <t>Chipre</t>
  </si>
  <si>
    <t>CZ</t>
  </si>
  <si>
    <t>Czech Republic</t>
  </si>
  <si>
    <t>Češka</t>
  </si>
  <si>
    <t>Tschechische Republik</t>
  </si>
  <si>
    <t>République Tchèque</t>
  </si>
  <si>
    <t>チェコ</t>
  </si>
  <si>
    <t>Repubblica Ceca</t>
  </si>
  <si>
    <t>República Checa</t>
  </si>
  <si>
    <t>Chéquia</t>
  </si>
  <si>
    <t>DE</t>
  </si>
  <si>
    <t>Germany</t>
  </si>
  <si>
    <t>Njemačka</t>
  </si>
  <si>
    <t>Deutschland</t>
  </si>
  <si>
    <t>Allemagne</t>
  </si>
  <si>
    <t>ドイツ</t>
  </si>
  <si>
    <t>Germania</t>
  </si>
  <si>
    <t>Alemania</t>
  </si>
  <si>
    <t>Alemanha</t>
  </si>
  <si>
    <t>DK</t>
  </si>
  <si>
    <t>Denmark</t>
  </si>
  <si>
    <t>Danska</t>
  </si>
  <si>
    <t>Dänemark</t>
  </si>
  <si>
    <t>Danemark</t>
  </si>
  <si>
    <t>デンマーク</t>
  </si>
  <si>
    <t>Danimarca</t>
  </si>
  <si>
    <t>Dinamarca</t>
  </si>
  <si>
    <t>DM</t>
  </si>
  <si>
    <t>Dominica</t>
  </si>
  <si>
    <t>Dominika</t>
  </si>
  <si>
    <t>Dominique</t>
  </si>
  <si>
    <t>ドミニカ国</t>
  </si>
  <si>
    <t>DO</t>
  </si>
  <si>
    <t>Dominican Republic</t>
  </si>
  <si>
    <t>Dominikanska Republika</t>
  </si>
  <si>
    <t>Dominikanische Republik</t>
  </si>
  <si>
    <t>République Dominicaine</t>
  </si>
  <si>
    <t>ドミニカ共和国</t>
  </si>
  <si>
    <t>Repubblica Dominicana</t>
  </si>
  <si>
    <t>República Dominicana</t>
  </si>
  <si>
    <t>DZ</t>
  </si>
  <si>
    <t>Algeria</t>
  </si>
  <si>
    <t>Alžir</t>
  </si>
  <si>
    <t>Algerien</t>
  </si>
  <si>
    <t>Algérie</t>
  </si>
  <si>
    <t>アルジェリア</t>
  </si>
  <si>
    <t>Argelia</t>
  </si>
  <si>
    <t>Argélia</t>
  </si>
  <si>
    <t>EC</t>
  </si>
  <si>
    <t>Ecuador</t>
  </si>
  <si>
    <t>Ekvador</t>
  </si>
  <si>
    <t>Équateur</t>
  </si>
  <si>
    <t>エクアドル</t>
  </si>
  <si>
    <t>Equador</t>
  </si>
  <si>
    <t>EE</t>
  </si>
  <si>
    <t>Estonia</t>
  </si>
  <si>
    <t>Estonija</t>
  </si>
  <si>
    <t>Estland</t>
  </si>
  <si>
    <t>Estonie</t>
  </si>
  <si>
    <t>エストニア</t>
  </si>
  <si>
    <t>Estônia</t>
  </si>
  <si>
    <t>EG</t>
  </si>
  <si>
    <t>Egypt</t>
  </si>
  <si>
    <t>Egipat</t>
  </si>
  <si>
    <t>Ägypten</t>
  </si>
  <si>
    <t>Égypte</t>
  </si>
  <si>
    <t>エジプト</t>
  </si>
  <si>
    <t>Egitto</t>
  </si>
  <si>
    <t>Egipto</t>
  </si>
  <si>
    <t>Egito</t>
  </si>
  <si>
    <t>ES</t>
  </si>
  <si>
    <t>Spain</t>
  </si>
  <si>
    <t>Španjolska</t>
  </si>
  <si>
    <t>Spanien</t>
  </si>
  <si>
    <t>Espagne</t>
  </si>
  <si>
    <t>スペイン</t>
  </si>
  <si>
    <t>Spagna</t>
  </si>
  <si>
    <t>España</t>
  </si>
  <si>
    <t>Espanha</t>
  </si>
  <si>
    <t>ET</t>
  </si>
  <si>
    <t>Ethiopia</t>
  </si>
  <si>
    <t>Etiopija</t>
  </si>
  <si>
    <t>Äthiopien</t>
  </si>
  <si>
    <t>Éthiopie</t>
  </si>
  <si>
    <t>エチオピア</t>
  </si>
  <si>
    <t>Etiopia</t>
  </si>
  <si>
    <t>Etiopía</t>
  </si>
  <si>
    <t>Etiópia</t>
  </si>
  <si>
    <t>FI</t>
  </si>
  <si>
    <t>Finland</t>
  </si>
  <si>
    <t>Finska</t>
  </si>
  <si>
    <t>Finnland</t>
  </si>
  <si>
    <t>Finlande</t>
  </si>
  <si>
    <t>フィンランド</t>
  </si>
  <si>
    <t>Finlandia</t>
  </si>
  <si>
    <t>Finlândia</t>
  </si>
  <si>
    <t>FJ</t>
  </si>
  <si>
    <t>Fiji</t>
  </si>
  <si>
    <t>Fidži</t>
  </si>
  <si>
    <t>Fidschi</t>
  </si>
  <si>
    <t>Fidji</t>
  </si>
  <si>
    <t>フィジー</t>
  </si>
  <si>
    <t>Figi</t>
  </si>
  <si>
    <t>FO</t>
  </si>
  <si>
    <t>Faroe Islands</t>
  </si>
  <si>
    <t>Farski otoci</t>
  </si>
  <si>
    <t>Färöer</t>
  </si>
  <si>
    <t>Îles Féroé</t>
  </si>
  <si>
    <t>フェロー諸島</t>
  </si>
  <si>
    <t>Isole Fær Øer</t>
  </si>
  <si>
    <t>Islas Feroe</t>
  </si>
  <si>
    <t>Ilhas Faroé</t>
  </si>
  <si>
    <t>FR</t>
  </si>
  <si>
    <t>France</t>
  </si>
  <si>
    <t>Francuska</t>
  </si>
  <si>
    <t>Frankreich</t>
  </si>
  <si>
    <t>フランス</t>
  </si>
  <si>
    <t>Francia</t>
  </si>
  <si>
    <t>França</t>
  </si>
  <si>
    <t>GA</t>
  </si>
  <si>
    <t>Gabon</t>
  </si>
  <si>
    <t>Gabun</t>
  </si>
  <si>
    <t>ガボン</t>
  </si>
  <si>
    <t>Gabón</t>
  </si>
  <si>
    <t>Gabão</t>
  </si>
  <si>
    <t>GB</t>
  </si>
  <si>
    <t>United Kingdom</t>
  </si>
  <si>
    <t>Ujedinjeno Kraljevstvo</t>
  </si>
  <si>
    <t>Vereinigtes Königreich</t>
  </si>
  <si>
    <t>Royaume-Uni</t>
  </si>
  <si>
    <t>イギリス</t>
  </si>
  <si>
    <t>Regno Unito</t>
  </si>
  <si>
    <t>Reino Unido</t>
  </si>
  <si>
    <t>GD</t>
  </si>
  <si>
    <t>Grenada</t>
  </si>
  <si>
    <t>Grenade</t>
  </si>
  <si>
    <t>グレナダ</t>
  </si>
  <si>
    <t>Granada</t>
  </si>
  <si>
    <t>GE</t>
  </si>
  <si>
    <t>Georgia</t>
  </si>
  <si>
    <t>Gruzija</t>
  </si>
  <si>
    <t>Georgien</t>
  </si>
  <si>
    <t>Géorgie</t>
  </si>
  <si>
    <t>ジョージア</t>
  </si>
  <si>
    <t>Geórgia</t>
  </si>
  <si>
    <t>GG</t>
  </si>
  <si>
    <t>Guernsey</t>
  </si>
  <si>
    <t>Guernesey</t>
  </si>
  <si>
    <t>ガーンジー</t>
  </si>
  <si>
    <t>GH</t>
  </si>
  <si>
    <t>Ghana</t>
  </si>
  <si>
    <t>Gana</t>
  </si>
  <si>
    <t>ガーナ</t>
  </si>
  <si>
    <t>GI</t>
  </si>
  <si>
    <t>Gibraltar</t>
  </si>
  <si>
    <t>ジブラルタル</t>
  </si>
  <si>
    <t>Gibilterra</t>
  </si>
  <si>
    <t>GL</t>
  </si>
  <si>
    <t>Greenland</t>
  </si>
  <si>
    <t>Grenland</t>
  </si>
  <si>
    <t>Grönland</t>
  </si>
  <si>
    <t>Groenland</t>
  </si>
  <si>
    <t>グリーンランド</t>
  </si>
  <si>
    <t>Groenlandia</t>
  </si>
  <si>
    <t>Groenlândia</t>
  </si>
  <si>
    <t>GM</t>
  </si>
  <si>
    <t>Gambia</t>
  </si>
  <si>
    <t>Gambija</t>
  </si>
  <si>
    <t>Gambie</t>
  </si>
  <si>
    <t>ガンビア</t>
  </si>
  <si>
    <t>Gâmbia</t>
  </si>
  <si>
    <t>GN</t>
  </si>
  <si>
    <t>Guinea</t>
  </si>
  <si>
    <t>Gvineja</t>
  </si>
  <si>
    <t>Guinée</t>
  </si>
  <si>
    <t>ギニア</t>
  </si>
  <si>
    <t>Guiné</t>
  </si>
  <si>
    <t>GP</t>
  </si>
  <si>
    <t>Guadeloupe</t>
  </si>
  <si>
    <t>Guadalupe</t>
  </si>
  <si>
    <t>グアドループ</t>
  </si>
  <si>
    <t>Guadalupa</t>
  </si>
  <si>
    <t>GR</t>
  </si>
  <si>
    <t>Greece</t>
  </si>
  <si>
    <t>Grčka</t>
  </si>
  <si>
    <t>Griechenland</t>
  </si>
  <si>
    <t>Grèce</t>
  </si>
  <si>
    <t>ギリシャ</t>
  </si>
  <si>
    <t>Grecia</t>
  </si>
  <si>
    <t>Grécia</t>
  </si>
  <si>
    <t>GT</t>
  </si>
  <si>
    <t>Guatemala</t>
  </si>
  <si>
    <t>Gvatemala</t>
  </si>
  <si>
    <t>グアテマラ</t>
  </si>
  <si>
    <t>GY</t>
  </si>
  <si>
    <t>Guyana</t>
  </si>
  <si>
    <t>Gvajana</t>
  </si>
  <si>
    <t>ガイアナ</t>
  </si>
  <si>
    <t>Guiana</t>
  </si>
  <si>
    <t>HK</t>
  </si>
  <si>
    <t>Hong Kong</t>
  </si>
  <si>
    <t>Hongkong</t>
  </si>
  <si>
    <t>香港</t>
  </si>
  <si>
    <t>HR</t>
  </si>
  <si>
    <t>Croatia</t>
  </si>
  <si>
    <t>Hrvatska</t>
  </si>
  <si>
    <t>Kroatien</t>
  </si>
  <si>
    <t>Croatie</t>
  </si>
  <si>
    <t>クロアチア</t>
  </si>
  <si>
    <t>Croazia</t>
  </si>
  <si>
    <t>Croacia</t>
  </si>
  <si>
    <t>Croácia</t>
  </si>
  <si>
    <t>HT</t>
  </si>
  <si>
    <t>Haiti</t>
  </si>
  <si>
    <t>Haïti</t>
  </si>
  <si>
    <t>ハイチ</t>
  </si>
  <si>
    <t>Haití</t>
  </si>
  <si>
    <t>HU</t>
  </si>
  <si>
    <t>Hungary</t>
  </si>
  <si>
    <t>Mađarska</t>
  </si>
  <si>
    <t>Ungarn</t>
  </si>
  <si>
    <t>Hongrie</t>
  </si>
  <si>
    <t>ハンガリー</t>
  </si>
  <si>
    <t>Ungheria</t>
  </si>
  <si>
    <t>Hungría</t>
  </si>
  <si>
    <t>Hungria</t>
  </si>
  <si>
    <t>ID</t>
  </si>
  <si>
    <t>Indonesia</t>
  </si>
  <si>
    <t>Indonezija</t>
  </si>
  <si>
    <t>Indonesien</t>
  </si>
  <si>
    <t>Indonésie</t>
  </si>
  <si>
    <t>インドネシア</t>
  </si>
  <si>
    <t>Indonésia</t>
  </si>
  <si>
    <t>IE</t>
  </si>
  <si>
    <t>Ireland</t>
  </si>
  <si>
    <t>Irska</t>
  </si>
  <si>
    <t>Irland</t>
  </si>
  <si>
    <t>Irlande</t>
  </si>
  <si>
    <t>アイルランド</t>
  </si>
  <si>
    <t>Irlanda</t>
  </si>
  <si>
    <t>IL</t>
  </si>
  <si>
    <t>Israel</t>
  </si>
  <si>
    <t>Izrael</t>
  </si>
  <si>
    <t>Israël</t>
  </si>
  <si>
    <t>イスラエル</t>
  </si>
  <si>
    <t>Israele</t>
  </si>
  <si>
    <t>IM</t>
  </si>
  <si>
    <t>Isle of Man</t>
  </si>
  <si>
    <t>Otok Man</t>
  </si>
  <si>
    <t>Insel Man</t>
  </si>
  <si>
    <t>Île de Man</t>
  </si>
  <si>
    <t>マン島</t>
  </si>
  <si>
    <t>Isola di Man</t>
  </si>
  <si>
    <t>Isla de Man</t>
  </si>
  <si>
    <t>IN</t>
  </si>
  <si>
    <t>India</t>
  </si>
  <si>
    <t>Indija</t>
  </si>
  <si>
    <t>Indien</t>
  </si>
  <si>
    <t>Inde</t>
  </si>
  <si>
    <t>インド</t>
  </si>
  <si>
    <t>Índia</t>
  </si>
  <si>
    <t>IQ</t>
  </si>
  <si>
    <t>Iraq</t>
  </si>
  <si>
    <t>Irak</t>
  </si>
  <si>
    <t>イラク</t>
  </si>
  <si>
    <t>Iraque</t>
  </si>
  <si>
    <t>IR</t>
  </si>
  <si>
    <t>Iran</t>
  </si>
  <si>
    <t>イラン・イスラム共和国</t>
  </si>
  <si>
    <t>Irán</t>
  </si>
  <si>
    <t>Irã</t>
  </si>
  <si>
    <t>IS</t>
  </si>
  <si>
    <t>Iceland</t>
  </si>
  <si>
    <t>Island</t>
  </si>
  <si>
    <t>Islande</t>
  </si>
  <si>
    <t>アイスランド</t>
  </si>
  <si>
    <t>Islanda</t>
  </si>
  <si>
    <t>Islandia</t>
  </si>
  <si>
    <t>Islândia</t>
  </si>
  <si>
    <t>IT</t>
  </si>
  <si>
    <t>Italy</t>
  </si>
  <si>
    <t>Italija</t>
  </si>
  <si>
    <t>Italien</t>
  </si>
  <si>
    <t>Italie</t>
  </si>
  <si>
    <t>イタリア</t>
  </si>
  <si>
    <t>Italia</t>
  </si>
  <si>
    <t>Itália</t>
  </si>
  <si>
    <t>JE</t>
  </si>
  <si>
    <t>Jersey</t>
  </si>
  <si>
    <t>ジャージー</t>
  </si>
  <si>
    <t>JM</t>
  </si>
  <si>
    <t>Jamaica</t>
  </si>
  <si>
    <t>Jamajka</t>
  </si>
  <si>
    <t>Jamaika</t>
  </si>
  <si>
    <t>Jamaïque</t>
  </si>
  <si>
    <t>ジャマイカ</t>
  </si>
  <si>
    <t>Giamaica</t>
  </si>
  <si>
    <t>JO</t>
  </si>
  <si>
    <t>Jordan</t>
  </si>
  <si>
    <t>Jordanien</t>
  </si>
  <si>
    <t>Jordanie</t>
  </si>
  <si>
    <t>ヨルダン</t>
  </si>
  <si>
    <t>Giordania</t>
  </si>
  <si>
    <t>Jordania</t>
  </si>
  <si>
    <t>Jordânia</t>
  </si>
  <si>
    <t>JP</t>
  </si>
  <si>
    <t>Japan</t>
  </si>
  <si>
    <t>Japon</t>
  </si>
  <si>
    <t>日本</t>
  </si>
  <si>
    <t>Giappone</t>
  </si>
  <si>
    <t>Japón</t>
  </si>
  <si>
    <t>Japão</t>
  </si>
  <si>
    <t>KE</t>
  </si>
  <si>
    <t>Kenya</t>
  </si>
  <si>
    <t>Kenija</t>
  </si>
  <si>
    <t>Kenia</t>
  </si>
  <si>
    <t>ケニア</t>
  </si>
  <si>
    <t>Quênia</t>
  </si>
  <si>
    <t>KG</t>
  </si>
  <si>
    <t>Kyrgyzstan</t>
  </si>
  <si>
    <t>Kirgistan</t>
  </si>
  <si>
    <t>Kirgisistan</t>
  </si>
  <si>
    <t>Kirghizistan</t>
  </si>
  <si>
    <t>キルギス</t>
  </si>
  <si>
    <t>Kirguistán</t>
  </si>
  <si>
    <t>Quirguistão</t>
  </si>
  <si>
    <t>KH</t>
  </si>
  <si>
    <t>Cambodia</t>
  </si>
  <si>
    <t>Kambodža</t>
  </si>
  <si>
    <t>Kambodscha</t>
  </si>
  <si>
    <t>Cambodge</t>
  </si>
  <si>
    <t>カンボジア</t>
  </si>
  <si>
    <t>Cambogia</t>
  </si>
  <si>
    <t>Camboya</t>
  </si>
  <si>
    <t>Camboja</t>
  </si>
  <si>
    <t>KN</t>
  </si>
  <si>
    <t>Saint Kitts and Nevis</t>
  </si>
  <si>
    <t>Sveti Kristofor i Nevis</t>
  </si>
  <si>
    <t>St. Kitts und Nevis</t>
  </si>
  <si>
    <t>Saint-Christophe-et-Niévès</t>
  </si>
  <si>
    <t>セントクリストファー・ネイビス</t>
  </si>
  <si>
    <t>Saint Kitts e Nevis</t>
  </si>
  <si>
    <t>Saint Kitts y Nevis</t>
  </si>
  <si>
    <t>São Cristóvão e Nevis</t>
  </si>
  <si>
    <t>KR</t>
  </si>
  <si>
    <t>South Korea</t>
  </si>
  <si>
    <t>Južna Koreja</t>
  </si>
  <si>
    <t>Südkorea</t>
  </si>
  <si>
    <t>Corée du Sud</t>
  </si>
  <si>
    <t>大韓民国</t>
  </si>
  <si>
    <t>Corea del Sud</t>
  </si>
  <si>
    <t>República de Corea</t>
  </si>
  <si>
    <t>Coreia do Sul</t>
  </si>
  <si>
    <t>KW</t>
  </si>
  <si>
    <t>Kuwait</t>
  </si>
  <si>
    <t>Kuvajt</t>
  </si>
  <si>
    <t>Koweït</t>
  </si>
  <si>
    <t>クウェート</t>
  </si>
  <si>
    <t>KY</t>
  </si>
  <si>
    <t>Cayman Islands</t>
  </si>
  <si>
    <t>Kajmanski otoci</t>
  </si>
  <si>
    <t>Kaimaninseln</t>
  </si>
  <si>
    <t>Îles Caïmans</t>
  </si>
  <si>
    <t>ケイマン諸島</t>
  </si>
  <si>
    <t>Isole Cayman</t>
  </si>
  <si>
    <t>Islas Caimán</t>
  </si>
  <si>
    <t>Ilhas Cayman</t>
  </si>
  <si>
    <t>KZ</t>
  </si>
  <si>
    <t>Kazakhstan</t>
  </si>
  <si>
    <t>Kazahstan</t>
  </si>
  <si>
    <t>Kasachstan</t>
  </si>
  <si>
    <t>カザフスタン</t>
  </si>
  <si>
    <t>Kazakistan</t>
  </si>
  <si>
    <t>Kazajistán</t>
  </si>
  <si>
    <t>Cazaquistão</t>
  </si>
  <si>
    <t>LA</t>
  </si>
  <si>
    <t>Laos</t>
  </si>
  <si>
    <t>ラオス人民民主共和国</t>
  </si>
  <si>
    <t>República Democrática Popular de Lao</t>
  </si>
  <si>
    <t>LB</t>
  </si>
  <si>
    <t>Lebanon</t>
  </si>
  <si>
    <t>Libanon</t>
  </si>
  <si>
    <t>Liban</t>
  </si>
  <si>
    <t>レバノン</t>
  </si>
  <si>
    <t>Libano</t>
  </si>
  <si>
    <t>Líbano</t>
  </si>
  <si>
    <t>LC</t>
  </si>
  <si>
    <t>Saint Lucia</t>
  </si>
  <si>
    <t>Sveta Lucija</t>
  </si>
  <si>
    <t>St. Lucia</t>
  </si>
  <si>
    <t>Sainte-Lucie</t>
  </si>
  <si>
    <t>セントルシア</t>
  </si>
  <si>
    <t>Santa Lucia</t>
  </si>
  <si>
    <t>Santa Lucía</t>
  </si>
  <si>
    <t>Santa Lúcia</t>
  </si>
  <si>
    <t>LI</t>
  </si>
  <si>
    <t>Liechtenstein</t>
  </si>
  <si>
    <t>Lihtenštajn</t>
  </si>
  <si>
    <t>リヒテンシュタイン</t>
  </si>
  <si>
    <t>LK</t>
  </si>
  <si>
    <t>Sri Lanka</t>
  </si>
  <si>
    <t>Šri Lanka</t>
  </si>
  <si>
    <t>スリランカ</t>
  </si>
  <si>
    <t>LR</t>
  </si>
  <si>
    <t>Liberia</t>
  </si>
  <si>
    <t>Liberija</t>
  </si>
  <si>
    <t>Libéria</t>
  </si>
  <si>
    <t>リベリア</t>
  </si>
  <si>
    <t>LS</t>
  </si>
  <si>
    <t>Lesotho</t>
  </si>
  <si>
    <t>Lesoto</t>
  </si>
  <si>
    <t>レソト</t>
  </si>
  <si>
    <t>LT</t>
  </si>
  <si>
    <t>Lithuania</t>
  </si>
  <si>
    <t>Litva</t>
  </si>
  <si>
    <t>Litauen</t>
  </si>
  <si>
    <t>Lituanie</t>
  </si>
  <si>
    <t>リトアニア</t>
  </si>
  <si>
    <t>Lituania</t>
  </si>
  <si>
    <t>Lituânia</t>
  </si>
  <si>
    <t>LU</t>
  </si>
  <si>
    <t>Luxembourg</t>
  </si>
  <si>
    <t>Luksemburg</t>
  </si>
  <si>
    <t>Luxemburg</t>
  </si>
  <si>
    <t>ルクセンブルク</t>
  </si>
  <si>
    <t>Lussemburgo</t>
  </si>
  <si>
    <t>Luxemburgo</t>
  </si>
  <si>
    <t>LV</t>
  </si>
  <si>
    <t>Latvia</t>
  </si>
  <si>
    <t>Latvija</t>
  </si>
  <si>
    <t>Lettland</t>
  </si>
  <si>
    <t>Lettonie</t>
  </si>
  <si>
    <t>ラトビア</t>
  </si>
  <si>
    <t>Lettonia</t>
  </si>
  <si>
    <t>Letonia</t>
  </si>
  <si>
    <t>Letônia</t>
  </si>
  <si>
    <t>LY</t>
  </si>
  <si>
    <t>Libya</t>
  </si>
  <si>
    <t>Libija</t>
  </si>
  <si>
    <t>Libyen</t>
  </si>
  <si>
    <t>Libye</t>
  </si>
  <si>
    <t>リビア</t>
  </si>
  <si>
    <t>Libia</t>
  </si>
  <si>
    <t>Líbia</t>
  </si>
  <si>
    <t>MA</t>
  </si>
  <si>
    <t>Morocco</t>
  </si>
  <si>
    <t>Maroko</t>
  </si>
  <si>
    <t>Marokko</t>
  </si>
  <si>
    <t>Maroc</t>
  </si>
  <si>
    <t>モロッコ</t>
  </si>
  <si>
    <t>Marocco</t>
  </si>
  <si>
    <t>Marruecos</t>
  </si>
  <si>
    <t>Marrocos</t>
  </si>
  <si>
    <t>MC</t>
  </si>
  <si>
    <t>Monaco</t>
  </si>
  <si>
    <t>Monako</t>
  </si>
  <si>
    <t>モナコ</t>
  </si>
  <si>
    <t>Mónaco</t>
  </si>
  <si>
    <t>Mônaco</t>
  </si>
  <si>
    <t>MD</t>
  </si>
  <si>
    <t>Moldova</t>
  </si>
  <si>
    <t>Moldavija</t>
  </si>
  <si>
    <t>Moldawien</t>
  </si>
  <si>
    <t>Moldavie</t>
  </si>
  <si>
    <t>モルドバ共和国</t>
  </si>
  <si>
    <t>Moldavia</t>
  </si>
  <si>
    <t>Moldávia</t>
  </si>
  <si>
    <t>ME</t>
  </si>
  <si>
    <t>Montenegro</t>
  </si>
  <si>
    <t>Crna Gora</t>
  </si>
  <si>
    <t>Monténégro</t>
  </si>
  <si>
    <t>モンテネグロ</t>
  </si>
  <si>
    <t>MG</t>
  </si>
  <si>
    <t>Madagascar</t>
  </si>
  <si>
    <t>Madagaskar</t>
  </si>
  <si>
    <t>マダガスカル</t>
  </si>
  <si>
    <t>MK</t>
  </si>
  <si>
    <t>North Macedonia</t>
  </si>
  <si>
    <t>Sjeverna Makedonija</t>
  </si>
  <si>
    <t>Nordmazedonien</t>
  </si>
  <si>
    <t>Macédoine du Nord</t>
  </si>
  <si>
    <t>北マケドニア</t>
  </si>
  <si>
    <t>Macedonia del Nord</t>
  </si>
  <si>
    <t>Macedonia del Norte</t>
  </si>
  <si>
    <t>Macedônia do Norte</t>
  </si>
  <si>
    <t>ML</t>
  </si>
  <si>
    <t>Mali</t>
  </si>
  <si>
    <t>マリ</t>
  </si>
  <si>
    <t>Malí</t>
  </si>
  <si>
    <t>MN</t>
  </si>
  <si>
    <t>Mongolia</t>
  </si>
  <si>
    <t>Mongolija</t>
  </si>
  <si>
    <t>Mongolei</t>
  </si>
  <si>
    <t>Mongolie</t>
  </si>
  <si>
    <t>モンゴル</t>
  </si>
  <si>
    <t>Mongólia</t>
  </si>
  <si>
    <t>MO</t>
  </si>
  <si>
    <t>Macao</t>
  </si>
  <si>
    <t>Makao</t>
  </si>
  <si>
    <t>マカオ</t>
  </si>
  <si>
    <t>Macau</t>
  </si>
  <si>
    <t>MR</t>
  </si>
  <si>
    <t>Mauritania</t>
  </si>
  <si>
    <t>Mauretanija</t>
  </si>
  <si>
    <t>Mauretanien</t>
  </si>
  <si>
    <t>Mauritanie</t>
  </si>
  <si>
    <t>モーリタニア</t>
  </si>
  <si>
    <t>Mauritânia</t>
  </si>
  <si>
    <t>MS</t>
  </si>
  <si>
    <t>Montserrat</t>
  </si>
  <si>
    <t>モントセラト</t>
  </si>
  <si>
    <t>MT</t>
  </si>
  <si>
    <t>Malta</t>
  </si>
  <si>
    <t>Malte</t>
  </si>
  <si>
    <t>マルタ</t>
  </si>
  <si>
    <t>MU</t>
  </si>
  <si>
    <t>Mauritius</t>
  </si>
  <si>
    <t>Mauricijus</t>
  </si>
  <si>
    <t>Maurice</t>
  </si>
  <si>
    <t>モーリシャス</t>
  </si>
  <si>
    <t>Mauricio</t>
  </si>
  <si>
    <t>Maurício</t>
  </si>
  <si>
    <t>MV</t>
  </si>
  <si>
    <t>Maldives</t>
  </si>
  <si>
    <t>Maldivi</t>
  </si>
  <si>
    <t>Malediven</t>
  </si>
  <si>
    <t>モルディブ</t>
  </si>
  <si>
    <t>Maldive</t>
  </si>
  <si>
    <t>Maldivas</t>
  </si>
  <si>
    <t>MX</t>
  </si>
  <si>
    <t>Mexico</t>
  </si>
  <si>
    <t>Meksiko</t>
  </si>
  <si>
    <t>Mexiko</t>
  </si>
  <si>
    <t>Mexique</t>
  </si>
  <si>
    <t>メキシコ</t>
  </si>
  <si>
    <t>Messico</t>
  </si>
  <si>
    <t>México</t>
  </si>
  <si>
    <t>MY</t>
  </si>
  <si>
    <t>Malaysia</t>
  </si>
  <si>
    <t>Malezija</t>
  </si>
  <si>
    <t>Malaisie</t>
  </si>
  <si>
    <t>マレーシア</t>
  </si>
  <si>
    <t>Malesia</t>
  </si>
  <si>
    <t>Malasia</t>
  </si>
  <si>
    <t>Malásia</t>
  </si>
  <si>
    <t>MZ</t>
  </si>
  <si>
    <t>Mozambique</t>
  </si>
  <si>
    <t>Mozambik</t>
  </si>
  <si>
    <t>Mosambik</t>
  </si>
  <si>
    <t>モザンビーク</t>
  </si>
  <si>
    <t>Mozambico</t>
  </si>
  <si>
    <t>Moçambique</t>
  </si>
  <si>
    <t>NA</t>
  </si>
  <si>
    <t>Namibia</t>
  </si>
  <si>
    <t>Namibija</t>
  </si>
  <si>
    <t>Namibie</t>
  </si>
  <si>
    <t>ナミビア</t>
  </si>
  <si>
    <t>Namíbia</t>
  </si>
  <si>
    <t>NG</t>
  </si>
  <si>
    <t>Nigeria</t>
  </si>
  <si>
    <t>Nigerija</t>
  </si>
  <si>
    <t>Nigéria</t>
  </si>
  <si>
    <t>ナイジェリア</t>
  </si>
  <si>
    <t>NI</t>
  </si>
  <si>
    <t>Nicaragua</t>
  </si>
  <si>
    <t>Nikaragva</t>
  </si>
  <si>
    <t>ニカラグア</t>
  </si>
  <si>
    <t>Nicarágua</t>
  </si>
  <si>
    <t>NL</t>
  </si>
  <si>
    <t>Netherlands</t>
  </si>
  <si>
    <t>Nizozemska</t>
  </si>
  <si>
    <t>Niederlande</t>
  </si>
  <si>
    <t>Pays-Bas</t>
  </si>
  <si>
    <t>オランダ</t>
  </si>
  <si>
    <t>Paesi Bassi</t>
  </si>
  <si>
    <t>Países Bajos</t>
  </si>
  <si>
    <t>Países Baixos</t>
  </si>
  <si>
    <t>NO</t>
  </si>
  <si>
    <t>Norway</t>
  </si>
  <si>
    <t>Norveška</t>
  </si>
  <si>
    <t>Norwegen</t>
  </si>
  <si>
    <t>Norvège</t>
  </si>
  <si>
    <t>ノルウェー</t>
  </si>
  <si>
    <t>Norvegia</t>
  </si>
  <si>
    <t>Noruega</t>
  </si>
  <si>
    <t>NP</t>
  </si>
  <si>
    <t>Nepal</t>
  </si>
  <si>
    <t>Népal</t>
  </si>
  <si>
    <t>ネパール</t>
  </si>
  <si>
    <t>NZ</t>
  </si>
  <si>
    <t>New Zealand</t>
  </si>
  <si>
    <t>Novi Zeland</t>
  </si>
  <si>
    <t>Neuseeland</t>
  </si>
  <si>
    <t>Nouvelle-Zélande</t>
  </si>
  <si>
    <t>ニュージーランド</t>
  </si>
  <si>
    <t>Nuova Zelanda</t>
  </si>
  <si>
    <t>Nueva Zelanda</t>
  </si>
  <si>
    <t>Nova Zelândia</t>
  </si>
  <si>
    <t>OM</t>
  </si>
  <si>
    <t>Oman</t>
  </si>
  <si>
    <t>オマーン</t>
  </si>
  <si>
    <t>Omán</t>
  </si>
  <si>
    <t>Omã</t>
  </si>
  <si>
    <t>PA</t>
  </si>
  <si>
    <t>Panama</t>
  </si>
  <si>
    <t>パナマ</t>
  </si>
  <si>
    <t>Panamá</t>
  </si>
  <si>
    <t>PE</t>
  </si>
  <si>
    <t>Peru</t>
  </si>
  <si>
    <t>Pérou</t>
  </si>
  <si>
    <t>ペルー</t>
  </si>
  <si>
    <t>Perù</t>
  </si>
  <si>
    <t>Perú</t>
  </si>
  <si>
    <t>PF</t>
  </si>
  <si>
    <t>French Polynesia</t>
  </si>
  <si>
    <t>Francuska Polinezija</t>
  </si>
  <si>
    <t>Französisch-Polynesien</t>
  </si>
  <si>
    <t>Polynésie française</t>
  </si>
  <si>
    <t>フランス領ポリネシア</t>
  </si>
  <si>
    <t>Polinesia Francese</t>
  </si>
  <si>
    <t>Polinesia Francesa</t>
  </si>
  <si>
    <t>Polinésia Francesa</t>
  </si>
  <si>
    <t>PG</t>
  </si>
  <si>
    <t>Papua New Guinea</t>
  </si>
  <si>
    <t>Papua Nova Gvineja</t>
  </si>
  <si>
    <t>Papua-Neuguinea</t>
  </si>
  <si>
    <t>Papouasie-Nouvelle-Guinée</t>
  </si>
  <si>
    <t>パプアニューギニア</t>
  </si>
  <si>
    <t>Papua Nuova Guinea</t>
  </si>
  <si>
    <t>Papua Nueva Guinea</t>
  </si>
  <si>
    <t>Papua-Nova Guiné</t>
  </si>
  <si>
    <t>PH</t>
  </si>
  <si>
    <t>Philippines</t>
  </si>
  <si>
    <t>Filipini</t>
  </si>
  <si>
    <t>Philippinen</t>
  </si>
  <si>
    <t>フィリピン</t>
  </si>
  <si>
    <t>Filippine</t>
  </si>
  <si>
    <t>Filipinas</t>
  </si>
  <si>
    <t>PK</t>
  </si>
  <si>
    <t>Pakistan</t>
  </si>
  <si>
    <t>パキスタン</t>
  </si>
  <si>
    <t>Pakistán</t>
  </si>
  <si>
    <t>Paquistão</t>
  </si>
  <si>
    <t>PL</t>
  </si>
  <si>
    <t>Poland</t>
  </si>
  <si>
    <t>Poljska</t>
  </si>
  <si>
    <t>Polen</t>
  </si>
  <si>
    <t>Pologne</t>
  </si>
  <si>
    <t>ポーランド</t>
  </si>
  <si>
    <t>Polonia</t>
  </si>
  <si>
    <t>Polônia</t>
  </si>
  <si>
    <t>PR</t>
  </si>
  <si>
    <t>Puerto Rico</t>
  </si>
  <si>
    <t>Portoriko</t>
  </si>
  <si>
    <t>Porto Rico</t>
  </si>
  <si>
    <t>プエルトリコ</t>
  </si>
  <si>
    <t>PS</t>
  </si>
  <si>
    <t>State of Palestine</t>
  </si>
  <si>
    <t>Palestinsko Područje</t>
  </si>
  <si>
    <t>Staat Palästina</t>
  </si>
  <si>
    <t>Palestine</t>
  </si>
  <si>
    <t>パレスチナ</t>
  </si>
  <si>
    <t>Stato di Palestina</t>
  </si>
  <si>
    <t>Palestina</t>
  </si>
  <si>
    <t>Estado da Palestina</t>
  </si>
  <si>
    <t>PT</t>
  </si>
  <si>
    <t>Portugal</t>
  </si>
  <si>
    <t>ポルトガル</t>
  </si>
  <si>
    <t>Portogallo</t>
  </si>
  <si>
    <t>PW</t>
  </si>
  <si>
    <t>Palau</t>
  </si>
  <si>
    <t>Palaos</t>
  </si>
  <si>
    <t>パラオ</t>
  </si>
  <si>
    <t>PY</t>
  </si>
  <si>
    <t>Paraguay</t>
  </si>
  <si>
    <t>Paragvaj</t>
  </si>
  <si>
    <t>パラグアイ</t>
  </si>
  <si>
    <t>Paraguai</t>
  </si>
  <si>
    <t>QA</t>
  </si>
  <si>
    <t>Qatar</t>
  </si>
  <si>
    <t>Katar</t>
  </si>
  <si>
    <t>カタール</t>
  </si>
  <si>
    <t>Catar</t>
  </si>
  <si>
    <t>RE</t>
  </si>
  <si>
    <t>Reunion</t>
  </si>
  <si>
    <t>Réunion</t>
  </si>
  <si>
    <t>レユニオン</t>
  </si>
  <si>
    <t>Reunión</t>
  </si>
  <si>
    <t>Reunião</t>
  </si>
  <si>
    <t>RO</t>
  </si>
  <si>
    <t>Romania</t>
  </si>
  <si>
    <t>Rumunjska</t>
  </si>
  <si>
    <t>Rumänien</t>
  </si>
  <si>
    <t>Roumanie</t>
  </si>
  <si>
    <t>ルーマニア</t>
  </si>
  <si>
    <t>Rumanía</t>
  </si>
  <si>
    <t>Romênia</t>
  </si>
  <si>
    <t>RS</t>
  </si>
  <si>
    <t>Serbia</t>
  </si>
  <si>
    <t>Srbija</t>
  </si>
  <si>
    <t>Serbien</t>
  </si>
  <si>
    <t>Serbie</t>
  </si>
  <si>
    <t>セルビア</t>
  </si>
  <si>
    <t>Sérvia</t>
  </si>
  <si>
    <t>RU</t>
  </si>
  <si>
    <t>Russia</t>
  </si>
  <si>
    <t>Rusija</t>
  </si>
  <si>
    <t>Russische Föderation</t>
  </si>
  <si>
    <t>Russie</t>
  </si>
  <si>
    <t>ロシア連邦</t>
  </si>
  <si>
    <t>Rusia</t>
  </si>
  <si>
    <t>Rússia</t>
  </si>
  <si>
    <t>RW</t>
  </si>
  <si>
    <t>Rwanda</t>
  </si>
  <si>
    <t>Ruanda</t>
  </si>
  <si>
    <t>ルワンダ</t>
  </si>
  <si>
    <t>SA</t>
  </si>
  <si>
    <t>Saudi Arabia</t>
  </si>
  <si>
    <t>Saudijska Arabija</t>
  </si>
  <si>
    <t>Saudi-Arabien</t>
  </si>
  <si>
    <t>Arabie Saoudite</t>
  </si>
  <si>
    <t>サウジアラビア</t>
  </si>
  <si>
    <t>Arabia Saudita</t>
  </si>
  <si>
    <t>Arábia Saudita</t>
  </si>
  <si>
    <t>SC</t>
  </si>
  <si>
    <t>Seychelles</t>
  </si>
  <si>
    <t>Sejšeli</t>
  </si>
  <si>
    <t>Seychellen</t>
  </si>
  <si>
    <t>セーシェル</t>
  </si>
  <si>
    <t>Seicheles</t>
  </si>
  <si>
    <t>SD</t>
  </si>
  <si>
    <t>Sudan</t>
  </si>
  <si>
    <t>Soudan</t>
  </si>
  <si>
    <t>スーダン</t>
  </si>
  <si>
    <t>Sudán</t>
  </si>
  <si>
    <t>Sudão</t>
  </si>
  <si>
    <t>SE</t>
  </si>
  <si>
    <t>Sweden</t>
  </si>
  <si>
    <t>Švedska</t>
  </si>
  <si>
    <t>Schweden</t>
  </si>
  <si>
    <t>Suède</t>
  </si>
  <si>
    <t>スウェーデン</t>
  </si>
  <si>
    <t>Svezia</t>
  </si>
  <si>
    <t>Suecia</t>
  </si>
  <si>
    <t>Suécia</t>
  </si>
  <si>
    <t>SG</t>
  </si>
  <si>
    <t>Singapore</t>
  </si>
  <si>
    <t>Singapur</t>
  </si>
  <si>
    <t>Singapour</t>
  </si>
  <si>
    <t>シンガポール</t>
  </si>
  <si>
    <t>Singapura</t>
  </si>
  <si>
    <t>SI</t>
  </si>
  <si>
    <t>Slovenia</t>
  </si>
  <si>
    <t>Slovenija</t>
  </si>
  <si>
    <t>Slowenien</t>
  </si>
  <si>
    <t>Slovénie</t>
  </si>
  <si>
    <t>スロベニア</t>
  </si>
  <si>
    <t>Eslovenia</t>
  </si>
  <si>
    <t>Eslovênia</t>
  </si>
  <si>
    <t>SK</t>
  </si>
  <si>
    <t>Slovakia</t>
  </si>
  <si>
    <t>Slovačka</t>
  </si>
  <si>
    <t>Slowakei</t>
  </si>
  <si>
    <t>Slovaquie</t>
  </si>
  <si>
    <t>スロバキア</t>
  </si>
  <si>
    <t>Slovacchia</t>
  </si>
  <si>
    <t>Eslovaquia</t>
  </si>
  <si>
    <t>Eslováquia</t>
  </si>
  <si>
    <t>SL</t>
  </si>
  <si>
    <t>Sierra Leone</t>
  </si>
  <si>
    <t>Sijera Leone</t>
  </si>
  <si>
    <t>シエラレオネ</t>
  </si>
  <si>
    <t>Sierra Leona</t>
  </si>
  <si>
    <t>Serra Leoa</t>
  </si>
  <si>
    <t>SN</t>
  </si>
  <si>
    <t>Senegal</t>
  </si>
  <si>
    <t>Sénégal</t>
  </si>
  <si>
    <t>セネガル</t>
  </si>
  <si>
    <t>SR</t>
  </si>
  <si>
    <t>Suriname</t>
  </si>
  <si>
    <t>Surinam</t>
  </si>
  <si>
    <t>スリナム</t>
  </si>
  <si>
    <t>ST</t>
  </si>
  <si>
    <t>Sao Tome and Principe</t>
  </si>
  <si>
    <t>Sveti Toma i Princip</t>
  </si>
  <si>
    <t>São Tomé und Príncipe</t>
  </si>
  <si>
    <t>São Tomé-et-Principe</t>
  </si>
  <si>
    <t>サントメ・プリンシペ</t>
  </si>
  <si>
    <t>São Tomé e Príncipe</t>
  </si>
  <si>
    <t>Santo Tomé y Príncipe</t>
  </si>
  <si>
    <t>SV</t>
  </si>
  <si>
    <t>El Salvador</t>
  </si>
  <si>
    <t>Salvador</t>
  </si>
  <si>
    <t>エルサルバドル</t>
  </si>
  <si>
    <t>TC</t>
  </si>
  <si>
    <t>Turks and Caicos Islands</t>
  </si>
  <si>
    <t>Otoci Turks i Caicos</t>
  </si>
  <si>
    <t>Turks- und Caicosinseln</t>
  </si>
  <si>
    <t>Îles Turques-et-Caïques</t>
  </si>
  <si>
    <t>タークス・カイコス諸島</t>
  </si>
  <si>
    <t>Isole Turks e Caicos</t>
  </si>
  <si>
    <t>Islas Turcas y Caicos</t>
  </si>
  <si>
    <t>Ilhas Turks e Caicos</t>
  </si>
  <si>
    <t>TD</t>
  </si>
  <si>
    <t>Chad</t>
  </si>
  <si>
    <t>Čad</t>
  </si>
  <si>
    <t>Tschad</t>
  </si>
  <si>
    <t>Tchad</t>
  </si>
  <si>
    <t>チャド</t>
  </si>
  <si>
    <t>Ciad</t>
  </si>
  <si>
    <t>Chade</t>
  </si>
  <si>
    <t>TG</t>
  </si>
  <si>
    <t>Togo</t>
  </si>
  <si>
    <t>トーゴ</t>
  </si>
  <si>
    <t>TH</t>
  </si>
  <si>
    <t>Thailand</t>
  </si>
  <si>
    <t>Tajland</t>
  </si>
  <si>
    <t>Thaïlande</t>
  </si>
  <si>
    <t>タイ</t>
  </si>
  <si>
    <t>Thailandia</t>
  </si>
  <si>
    <t>Tailandia</t>
  </si>
  <si>
    <t>Tailândia</t>
  </si>
  <si>
    <t>TJ</t>
  </si>
  <si>
    <t>Tajikistan</t>
  </si>
  <si>
    <t>Tadžikistan</t>
  </si>
  <si>
    <t>Tadschikistan</t>
  </si>
  <si>
    <t>Tadjikistan</t>
  </si>
  <si>
    <t>タジキスタン</t>
  </si>
  <si>
    <t>Tagikistan</t>
  </si>
  <si>
    <t>Tayikistán</t>
  </si>
  <si>
    <t>Tajiquistão</t>
  </si>
  <si>
    <t>TL</t>
  </si>
  <si>
    <t>Timor-Leste</t>
  </si>
  <si>
    <t>Osttimor</t>
  </si>
  <si>
    <t>東ティモール</t>
  </si>
  <si>
    <t>Timor Est</t>
  </si>
  <si>
    <t>TN</t>
  </si>
  <si>
    <t>Tunisia</t>
  </si>
  <si>
    <t>Tunis</t>
  </si>
  <si>
    <t>Tunesien</t>
  </si>
  <si>
    <t>Tunisie</t>
  </si>
  <si>
    <t>チュニジア</t>
  </si>
  <si>
    <t>Túnez</t>
  </si>
  <si>
    <t>Tunísia</t>
  </si>
  <si>
    <t>TO</t>
  </si>
  <si>
    <t>Tonga</t>
  </si>
  <si>
    <t>トンガ</t>
  </si>
  <si>
    <t>TR</t>
  </si>
  <si>
    <t>Türkiye</t>
  </si>
  <si>
    <t>Turska</t>
  </si>
  <si>
    <t>Türkei</t>
  </si>
  <si>
    <t>Turquie</t>
  </si>
  <si>
    <t>トルコ</t>
  </si>
  <si>
    <t>Turchia</t>
  </si>
  <si>
    <t>Turquía</t>
  </si>
  <si>
    <t>Turquia</t>
  </si>
  <si>
    <t>TW</t>
  </si>
  <si>
    <t>Taiwan</t>
  </si>
  <si>
    <t>Tajvan</t>
  </si>
  <si>
    <t>Taïwan</t>
  </si>
  <si>
    <t>台湾</t>
  </si>
  <si>
    <t>Repubblica di Cina</t>
  </si>
  <si>
    <t>Taiwán</t>
  </si>
  <si>
    <t>TZ</t>
  </si>
  <si>
    <t>Tanzania</t>
  </si>
  <si>
    <t>Tanzanija</t>
  </si>
  <si>
    <t>Tansania, Vereinigte Republik</t>
  </si>
  <si>
    <t>République unie de Tanzanie</t>
  </si>
  <si>
    <t>タンザニア</t>
  </si>
  <si>
    <t>Tanzânia</t>
  </si>
  <si>
    <t>UA</t>
  </si>
  <si>
    <t>Ukraine</t>
  </si>
  <si>
    <t>Ukrajina</t>
  </si>
  <si>
    <t>ウクライナ</t>
  </si>
  <si>
    <t>Ucraina</t>
  </si>
  <si>
    <t>Ucrania</t>
  </si>
  <si>
    <t>Ucrânia</t>
  </si>
  <si>
    <t>UG</t>
  </si>
  <si>
    <t>Uganda</t>
  </si>
  <si>
    <t>Ouganda</t>
  </si>
  <si>
    <t>ウガンダ</t>
  </si>
  <si>
    <t>US</t>
  </si>
  <si>
    <t>USA</t>
  </si>
  <si>
    <t>Sjedinjene Američke Države</t>
  </si>
  <si>
    <t>Vereinigte Staaten von Amerika</t>
  </si>
  <si>
    <t>États-Unis d'Amérique</t>
  </si>
  <si>
    <t>アメリカ合衆国</t>
  </si>
  <si>
    <t>Stati Uniti d'America</t>
  </si>
  <si>
    <t>Estados Unidos</t>
  </si>
  <si>
    <t>UY</t>
  </si>
  <si>
    <t>Uruguay</t>
  </si>
  <si>
    <t>Urugvaj</t>
  </si>
  <si>
    <t>ウルグアイ</t>
  </si>
  <si>
    <t>Uruguai</t>
  </si>
  <si>
    <t>UZ</t>
  </si>
  <si>
    <t>Uzbekistan</t>
  </si>
  <si>
    <t>Usbekistan</t>
  </si>
  <si>
    <t>Ouzbékistan</t>
  </si>
  <si>
    <t>ウズベキスタン</t>
  </si>
  <si>
    <t>Uzbekistán</t>
  </si>
  <si>
    <t>Uzbequistão</t>
  </si>
  <si>
    <t>VC</t>
  </si>
  <si>
    <t>Saint Vincent and the Grenadines</t>
  </si>
  <si>
    <t>Sveti Vincent i Grenadini</t>
  </si>
  <si>
    <t>St. Vincent und die Grenadinen</t>
  </si>
  <si>
    <t>Saint-Vincent-et-les-Grenadines</t>
  </si>
  <si>
    <t>セントビンセントおよびグレナディーン諸島</t>
  </si>
  <si>
    <t>Saint Vincent e Grenadine</t>
  </si>
  <si>
    <t>San Vicente y las Granadinas</t>
  </si>
  <si>
    <t>São Vicente e Granadinas</t>
  </si>
  <si>
    <t>VE</t>
  </si>
  <si>
    <t>Venezuela</t>
  </si>
  <si>
    <t>ベネズエラ・ボリバル共和国</t>
  </si>
  <si>
    <t>VG</t>
  </si>
  <si>
    <t>British Virgin Islands</t>
  </si>
  <si>
    <t>Britanski Djevičanski otoci</t>
  </si>
  <si>
    <t>Britische Jungferninseln</t>
  </si>
  <si>
    <t>Îles vierges britanniques</t>
  </si>
  <si>
    <t>イギリス領ヴァージン諸島</t>
  </si>
  <si>
    <t>Isole Vergini Britanniche</t>
  </si>
  <si>
    <t>Islas Vírgenes británicas</t>
  </si>
  <si>
    <t>Ilhas Virgens Britânicas</t>
  </si>
  <si>
    <t>VN</t>
  </si>
  <si>
    <t>Vietnam</t>
  </si>
  <si>
    <t>Vijetnam</t>
  </si>
  <si>
    <t>ベトナム</t>
  </si>
  <si>
    <t>Vietnã</t>
  </si>
  <si>
    <t>WS</t>
  </si>
  <si>
    <t>Samoa</t>
  </si>
  <si>
    <t>サモア</t>
  </si>
  <si>
    <t>XK</t>
  </si>
  <si>
    <t>Kosovo</t>
  </si>
  <si>
    <t>コソボ</t>
  </si>
  <si>
    <t>ZA</t>
  </si>
  <si>
    <t>South Africa</t>
  </si>
  <si>
    <t>Južnoafrička Republika</t>
  </si>
  <si>
    <t>Südafrika</t>
  </si>
  <si>
    <t>Afrique du Sud</t>
  </si>
  <si>
    <t>南アフリカ</t>
  </si>
  <si>
    <t>Sudafrica</t>
  </si>
  <si>
    <t>Sudáfrica</t>
  </si>
  <si>
    <t>África do Sul</t>
  </si>
  <si>
    <t>ZW</t>
  </si>
  <si>
    <t>Zimbabwe</t>
  </si>
  <si>
    <t>Zimbabve</t>
  </si>
  <si>
    <t>Simbabwe</t>
  </si>
  <si>
    <t>ジンバブエ</t>
  </si>
  <si>
    <t>Zimbabue</t>
  </si>
  <si>
    <t>Zimbábue</t>
  </si>
  <si>
    <t>No</t>
  </si>
  <si>
    <t>Category</t>
  </si>
  <si>
    <t>Region_tech_name</t>
  </si>
  <si>
    <t>Region_Code</t>
  </si>
  <si>
    <t>Region product name</t>
  </si>
  <si>
    <t>Country_Count</t>
  </si>
  <si>
    <t>Countries_ISO2</t>
  </si>
  <si>
    <t>Countries</t>
  </si>
  <si>
    <t>Short_Explanation</t>
  </si>
  <si>
    <t>TOTAL</t>
  </si>
  <si>
    <t>Main region</t>
  </si>
  <si>
    <t>GLOBAL</t>
  </si>
  <si>
    <t>Global</t>
  </si>
  <si>
    <t>AD, AE, AF, AG, AI, AL, AM, AO, AR, AT, AU, AZ, BA, BB, BE, BG, BH, BM, BQ, BR, BS, BZ, BW, BY, CA, CD, CH, CL, CN, CO, CR, CU, CV, CY, CZ, DE, DK, DZ, EC, EE, EG, ES, ET, FI, FJ, FO, FR, GB, GE, GG, GH, GL, GM, GP, GR, GT, HK, HR, HU, ID, IE, IL, IN, IQ, IR, IS, IT, JE, JM, JO, JP, KE, KG, KH, KN, KR, KW, KY, KZ, LA, LB, LC, LI, LK, LR, LS, LT, LU, LV, LY, MA, MC, MD, ME, MK, ML, MO, MT, MU, MV, MX, MY, NG, NI, NL, NO, NP, NZ, OM, PA, PE, PF, PG, PH, PK, PL, PR, PT, PY, QA, RE, RO, RS, RU, RW, SA, SD, SE, SG, SI, SK, SL, SN, SR, SV, TC, TD, TG, TH, TJ, TN, TO, TR, TW, TZ, UA, US, UY, UZ, VE, VG, VN, XK, ZA, PW, AW, BD, BF, BJ, BN, BO, CI, CK, CM, DM, DO, GA, GD, GI, GN, GY, HT, MG, MN, MQ, MR, MS, MW, MZ, NA, PS, SC, ST, TL, UG, VC, WS, ZW</t>
  </si>
  <si>
    <t>Andorra, UAE, Afghanistan, Antigua and Barbuda, Anguilla, Albania, Armenia, Angola, Argentina, Austria, Australia, Azerbaijan, Bosnia and Herzegovina, Barbados, Belgium, Bulgaria, Bahrain, Bermuda, Netherlands Antilles, Brazil, Bahamas, Botswana, Belarus, Belize, Canada, Congo Kinshasa, Switzerland, Chile, China, Colombia, Costa Rica, Cuba, Cape Verde, Cyprus, Czech Republic, Germany, Denmark, Algeria, Ecuador, Estonia, Egypt, Spain, Ethiopia, Finland, Fiji, Faroe Islands, France, UK, Georgia, Channel Islands, Ghana, Greenland, Gambia, French West Indies, Greece, Guatemala, Hong Kong, Croatia, Hungary, Indonesia, Ireland, Israel, India, Iraq, Iran, Iceland, Italy, Channel Islands, Jamaica, Jordan, Japan, Kenya, Kyrgyzstan, Cambodia, Saint Kitts and Nevis, South Korea, Kuwait, Cayman Islands, Kazakhstan, Laos, Lebanon, Saint Lucia, Liechtenstein, Sri Lanka, Liberia, Lesotho, Lithuania, Luxembourg, Latvia, Libya, Morocco, Monaco, Moldova, Montenegro, North Macedonia, Mali, Macao, Malta, Mauritius, Maldives, Mexico, Malaysia, Nigeria, Nicaragua, Netherlands, Norway, Nepal, New Zealand, Oman, Panama, Peru, French Polynesia, Papua New Guinea, Philippines, Pakistan, Poland, Puerto Rico, Portugal, Paraguay, Qatar, Reunion, Romania, Serbia, Russia, Rwanda, Saudi Arabia, Sudan, Sweden, Singapore, Slovenia, Slovak Republic, Sierra Leone, Senegal, El Salvador, Turks and Caicos Islands, Chad, Togo, Thailand, Tajikistan, Tunisia, Tonga, Turkey, Taiwan, Tanzania, Ukraine, USA, Uruguay, Uzbekistan, Venezuela, British Virgin Islands, Vietnam, Kosovo, South Africa, Suriname, Palau, Aruba, Bangladesh, Burkina Faso, Benin, Brunei Darussalam, Bolivia, Cote d'Ivoire, Cook Islands, Cameroon, Dominica, Dominican Republic, Gabon, Grenada, Gibraltar, Guinea, Guyana, Haiti, Madagascar, Mongolia, Martinique, Mauritania, Montserrat, Malawi, Mozambique, Namibia, State of Palestine, Seychelles, Sao Tome and Principe, Timor-Leste, Uganda, Saint Vincent and the Grenadines, Samoa, Zimbabwe</t>
  </si>
  <si>
    <t>All available countries and territories from the restricted source list.</t>
  </si>
  <si>
    <t>EUROPA</t>
  </si>
  <si>
    <t>Europe</t>
  </si>
  <si>
    <t>AD, AL, AT, BA, BE, BG, BY, CH, CY, CZ, DE, DK, EE, ES, FI, FO, FR, GB, GG, GR, HR, HU, IE, IS, IT, JE, LI, LT, LU, LV, MC, MD, ME, MK, MT, NL, NO, PL, PT, RO, RS, RU, SE, SI, SK, TR, UA, XK, GI</t>
  </si>
  <si>
    <t>Andorra, Albania, Austria, Bosnia and Herzegovina, Belgium, Bulgaria, Belarus, Switzerland, Cyprus, Czech Republic, Germany, Denmark, Estonia, Spain, Finland, Faroe Islands, France, UK, Channel Islands, Greece, Croatia, Hungary, Ireland, Iceland, Italy, Channel Islands, Liechtenstein, Lithuania, Luxembourg, Latvia, Monaco, Moldova, Montenegro, North Macedonia, Malta, Netherlands, Norway, Poland, Portugal, Romania, Serbia, Russia, Sweden, Slovenia, Slovak Republic, Turkey, Ukraine, Kosovo, Gibraltar</t>
  </si>
  <si>
    <t>Broad Europe package adapted to the restricted source list.</t>
  </si>
  <si>
    <t>EU_UK_NOR</t>
  </si>
  <si>
    <t>EU, UK &amp; Norway</t>
  </si>
  <si>
    <t>AT, BE, BG, HR, CY, CZ, DK, EE, FI, FR, DE, GR, HU, IE, IT, LV, LT, LU, MT, NL, PL, PT, RO, SK, SI, ES, SE, NO, GB</t>
  </si>
  <si>
    <t>Austria, Belgium, Bulgaria, Croatia, Cyprus, Czech Republic, Denmark, Estonia, Finland, France, Germany, Greece, Hungary, Ireland, Italy, Latvia, Lithuania, Luxembourg, Malta, Netherlands, Poland, Portugal, Romania, Slovak Republic, Slovenia, Spain, Sweden, Norway, UK</t>
  </si>
  <si>
    <t>EU-style regional bundle with United Kingdom and Norway.</t>
  </si>
  <si>
    <t>NORTH_AMERICA</t>
  </si>
  <si>
    <t>North America</t>
  </si>
  <si>
    <t>CA, MX, US</t>
  </si>
  <si>
    <t>Canada, Mexico, USA</t>
  </si>
  <si>
    <t>Broad North America package.</t>
  </si>
  <si>
    <t>MENA</t>
  </si>
  <si>
    <t>Middle East &amp; North Africa</t>
  </si>
  <si>
    <t>AE, BH, EG, IQ, IL, IR, JO, KW, LB, LY, MA, OM, QA, SA, TN, PS</t>
  </si>
  <si>
    <t>UAE, Bahrain, Egypt, Iraq, Israel, Iran, Jordan, Kuwait, Lebanon, Libya, Morocco, Oman, Qatar, Saudi Arabia, Tunisia, State of Palestine</t>
  </si>
  <si>
    <t>Middle East and North Africa bundle using only available countries.</t>
  </si>
  <si>
    <t>AFRICA</t>
  </si>
  <si>
    <t>Africa</t>
  </si>
  <si>
    <t>AO, BW, CD, CV, DZ, EG, ET, GH, GM, KE, LR, LS, LY, MA, ML, MU, NG, RE, RW, SD, SL, SN, TD, TG, TN, TZ, ZA, BF, BJ, CI, CM, GA, GN, MG, MR, MW, MZ, NA, SC, ST, UG, ZW</t>
  </si>
  <si>
    <t>Angola, Botswana, Congo Kinshasa, Cape Verde, Algeria, Egypt, Ethiopia, Ghana, Gambia, Kenya, Liberia, Lesotho, Libya, Morocco, Mali, Mauritius, Nigeria, Reunion, Rwanda, Sudan, Sierra Leone, Senegal, Chad, Togo, Tunisia, Tanzania, South Africa, Burkina Faso, Benin, Cote d'Ivoire, Cameroon, Gabon, Guinea, Madagascar, Mauritania, Malawi, Mozambique, Namibia, Seychelles, Sao Tome and Principe, Uganda, Zimbabwe</t>
  </si>
  <si>
    <t>Broad Africa package using the available restricted country list.</t>
  </si>
  <si>
    <t>LATAM</t>
  </si>
  <si>
    <t>Latin America</t>
  </si>
  <si>
    <t>AR, BR, CL, CO, CR, CU, EC, GT, MX, NI, PA, PE, PY, SV, UY, VE, SR, BZ, BO, GY</t>
  </si>
  <si>
    <t>Argentina, Brazil, Chile, Colombia, Costa Rica, Cuba, Ecuador, Guatemala, Mexico, Nicaragua, Panama, Peru, Paraguay, El Salvador, Uruguay, Venezuela, Suriname, Belize, Bolivia, Guyana</t>
  </si>
  <si>
    <t>Latin America / LATAM extended bundle; Mexico is kept here as a commercial LATAM variant.</t>
  </si>
  <si>
    <t>OCEANIA</t>
  </si>
  <si>
    <t>Oceania &amp; Pacific</t>
  </si>
  <si>
    <t>AU, FJ, NZ, PF, PG, TO, PW, CK, WS</t>
  </si>
  <si>
    <t>Australia, Fiji, New Zealand, French Polynesia, Papua New Guinea, Tonga, Palau, Cook Islands, Samoa</t>
  </si>
  <si>
    <t>Broad Oceania and Pacific package based on the source list.</t>
  </si>
  <si>
    <t>ASIA</t>
  </si>
  <si>
    <t>Asia</t>
  </si>
  <si>
    <t>AF, AM, AZ, CN, GE, HK, ID, IN, IR, IQ, JP, KG, KH, KR, KZ, LA, LK, MO, MY, NP, PH, PK, SG, TH, TJ, TW, UZ, VN, BD, BN, MN, TL</t>
  </si>
  <si>
    <t>Afghanistan, Armenia, Azerbaijan, China, Georgia, Hong Kong, Indonesia, India, Iran, Iraq, Japan, Kyrgyzstan, Cambodia, South Korea, Kazakhstan, Laos, Sri Lanka, Macao, Malaysia, Nepal, Philippines, Pakistan, Singapore, Thailand, Tajikistan, Taiwan, Uzbekistan, Vietnam, Bangladesh, Brunei Darussalam, Mongolia, Timor-Leste</t>
  </si>
  <si>
    <t>Broad Asia package using available countries.</t>
  </si>
  <si>
    <t>CARIBBEAN</t>
  </si>
  <si>
    <t>Caribbean</t>
  </si>
  <si>
    <t>AG, AI, BB, BM, BQ, BS, CU, GP, JM, KN, KY, LC, PR, TC, SR, VG, BZ, AW, DM, DO, GD, HT, MQ, MS, VC</t>
  </si>
  <si>
    <t>Antigua and Barbuda, Anguilla, Barbados, Bermuda, Netherlands Antilles, Bahamas, Cuba, French West Indies, Jamaica, Saint Kitts and Nevis, Cayman Islands, Saint Lucia, Puerto Rico, Turks and Caicos Islands, British Virgin Islands, Suriname, Belize, Aruba, Dominica, Dominican Republic, Grenada, Haiti, Martinique, Montserrat, Saint Vincent and the Grenadines</t>
  </si>
  <si>
    <t>Caribbean and nearby island markets available in the restricted list.</t>
  </si>
  <si>
    <t>Additional Europe travel region</t>
  </si>
  <si>
    <t>SE_EUROPE</t>
  </si>
  <si>
    <t>Southeast Europe</t>
  </si>
  <si>
    <t>GR, RO, BG, HR, RS, BA, AL, ME, MK, XK</t>
  </si>
  <si>
    <t>Greece, Romania, Bulgaria, Croatia, Serbia, Bosnia and Herzegovina, Albania, Montenegro, North Macedonia, Kosovo</t>
  </si>
  <si>
    <t>Wider Southeast Europe bundle including EU and non-EU Balkan markets.</t>
  </si>
  <si>
    <t>WEST_BALKANS</t>
  </si>
  <si>
    <t>Western Balkans</t>
  </si>
  <si>
    <t>HR, BA, RS, ME, AL, MK, XK</t>
  </si>
  <si>
    <t>Croatia, Bosnia and Herzegovina, Serbia, Montenegro, Albania, North Macedonia, Kosovo</t>
  </si>
  <si>
    <t>Western Balkans cluster without Greece, Romania and Bulgaria.</t>
  </si>
  <si>
    <t>ADRIATIC</t>
  </si>
  <si>
    <t>Adriatic Coast</t>
  </si>
  <si>
    <t>IT, SI, HR, ME, AL</t>
  </si>
  <si>
    <t>Italy, Slovenia, Croatia, Montenegro, Albania</t>
  </si>
  <si>
    <t>Adriatic coast holiday, road-trip and cruise corridor.</t>
  </si>
  <si>
    <t>WEST_EUROPE</t>
  </si>
  <si>
    <t>Western Europe</t>
  </si>
  <si>
    <t>FR, ES, PT, AD, MC, GI</t>
  </si>
  <si>
    <t>France, Spain, Portugal, Andorra, Monaco, Gibraltar</t>
  </si>
  <si>
    <t>Western Europe leisure corridor: Iberia, France, Andorra and Monaco.</t>
  </si>
  <si>
    <t>BRITISH_ISLES_IR</t>
  </si>
  <si>
    <t>UK &amp; Ireland</t>
  </si>
  <si>
    <t>GB, IE, GG, JE</t>
  </si>
  <si>
    <t>UK, Ireland, Channel Islands, Channel Islands</t>
  </si>
  <si>
    <t>UK, Ireland and Channel Islands travel cluster.</t>
  </si>
  <si>
    <t>CENTRAL_EUROPE</t>
  </si>
  <si>
    <t>Central Europe</t>
  </si>
  <si>
    <t>DE, AT, CH, CZ, SK, HU, PL</t>
  </si>
  <si>
    <t>Germany, Austria, Switzerland, Czech Republic, Slovak Republic, Hungary, Poland</t>
  </si>
  <si>
    <t>Central Europe business and leisure travel corridor.</t>
  </si>
  <si>
    <t>NORDICS</t>
  </si>
  <si>
    <t>Nordics</t>
  </si>
  <si>
    <t>DK, SE, NO, FI, IS, FO, GL</t>
  </si>
  <si>
    <t>Denmark, Sweden, Norway, Finland, Iceland, Faroe Islands, Greenland</t>
  </si>
  <si>
    <t>Nordic and North Atlantic travel region.</t>
  </si>
  <si>
    <t>BALTICS_FI</t>
  </si>
  <si>
    <t>Baltics &amp; Finland</t>
  </si>
  <si>
    <t>EE, LV, LT, FI</t>
  </si>
  <si>
    <t>Estonia, Latvia, Lithuania, Finland</t>
  </si>
  <si>
    <t>Baltics plus Finland due to geographic and travel proximity.</t>
  </si>
  <si>
    <t>BENELUX_FR</t>
  </si>
  <si>
    <t>Benelux &amp; France</t>
  </si>
  <si>
    <t>BE, NL, LU, FR</t>
  </si>
  <si>
    <t>Belgium, Netherlands, Luxembourg, France</t>
  </si>
  <si>
    <t>Benelux expanded with France for western European travel.</t>
  </si>
  <si>
    <t>MEDITERRANEAN</t>
  </si>
  <si>
    <t>Mediterranean Europe</t>
  </si>
  <si>
    <t>ES, FR, IT, HR, GR, MT, CY, TR, ME, AL, MC, GI</t>
  </si>
  <si>
    <t>Spain, France, Italy, Croatia, Greece, Malta, Cyprus, Turkey, Montenegro, Albania, Monaco, Gibraltar</t>
  </si>
  <si>
    <t>Holiday-focused Mediterranean Europe bundle.</t>
  </si>
  <si>
    <t>EAST_EUROPE</t>
  </si>
  <si>
    <t>Eastern Europe</t>
  </si>
  <si>
    <t>PL, CZ, SK, HU, RO, BG, MD, UA</t>
  </si>
  <si>
    <t>Poland, Czech Republic, Slovak Republic, Hungary, Romania, Bulgaria, Moldova, Ukraine</t>
  </si>
  <si>
    <t>Central and Eastern Europe travel corridor, useful for road, rail and regional business travel.</t>
  </si>
  <si>
    <t>ALPINE_REGION</t>
  </si>
  <si>
    <t>Alpine Europe</t>
  </si>
  <si>
    <t>AT, CH, LI, SI, IT, FR, DE</t>
  </si>
  <si>
    <t>Austria, Switzerland, Liechtenstein, Slovenia, Italy, France, Germany</t>
  </si>
  <si>
    <t>Alpine and nearby cross-border travel region covering Austria, Switzerland, Liechtenstein and surrounding markets.</t>
  </si>
  <si>
    <t>Additional Asia / MENA travel region</t>
  </si>
  <si>
    <t>GULF_TRAVEL</t>
  </si>
  <si>
    <t>Gulf Countries</t>
  </si>
  <si>
    <t>AE, BH, KW, OM, QA, SA</t>
  </si>
  <si>
    <t>UAE, Bahrain, Kuwait, Oman, Qatar, Saudi Arabia</t>
  </si>
  <si>
    <t>Gulf travel bundle with available GCC markets.</t>
  </si>
  <si>
    <t>LEVANT</t>
  </si>
  <si>
    <t>Levant</t>
  </si>
  <si>
    <t>IL, JO, LB, PS</t>
  </si>
  <si>
    <t>Israel, Jordan, Lebanon, State of Palestine</t>
  </si>
  <si>
    <t>Compact Levant travel cluster using available countries.</t>
  </si>
  <si>
    <t>CAUCASUS</t>
  </si>
  <si>
    <t>Caucasus</t>
  </si>
  <si>
    <t>AM, AZ, GE</t>
  </si>
  <si>
    <t>Armenia, Azerbaijan, Georgia</t>
  </si>
  <si>
    <t>Caucasus regional travel bundle.</t>
  </si>
  <si>
    <t>CENTRAL_ASIA</t>
  </si>
  <si>
    <t>Central Asia</t>
  </si>
  <si>
    <t>KZ, KG, TJ, UZ</t>
  </si>
  <si>
    <t>Kazakhstan, Kyrgyzstan, Tajikistan, Uzbekistan</t>
  </si>
  <si>
    <t>Central Asia / Silk Road travel corridor.</t>
  </si>
  <si>
    <t>INDOCHINA</t>
  </si>
  <si>
    <t>Indochina</t>
  </si>
  <si>
    <t>TH, VN, KH, LA</t>
  </si>
  <si>
    <t>Thailand, Vietnam, Cambodia, Laos</t>
  </si>
  <si>
    <t>Thailand, Vietnam, Cambodia and Laos tourism corridor.</t>
  </si>
  <si>
    <t>SOUTHEAST_ASIA</t>
  </si>
  <si>
    <t>Southeast Asia</t>
  </si>
  <si>
    <t>SG, MY, TH, ID, VN, PH, BN, TL</t>
  </si>
  <si>
    <t>Singapore, Malaysia, Thailand, Indonesia, Vietnam, Philippines, Brunei Darussalam, Timor-Leste</t>
  </si>
  <si>
    <t>Core Southeast Asia multi-country travel bundle.</t>
  </si>
  <si>
    <t>ISLAND_SE_ASIA</t>
  </si>
  <si>
    <t>Island Southeast Asia</t>
  </si>
  <si>
    <t>SG, MY, ID, PH, BN, TL</t>
  </si>
  <si>
    <t>Singapore, Malaysia, Indonesia, Philippines, Brunei Darussalam, Timor-Leste</t>
  </si>
  <si>
    <t>Southeast Asia island and regional flight-hub bundle.</t>
  </si>
  <si>
    <t>EAST_ASIA_PLUS</t>
  </si>
  <si>
    <t>China, Hong Kong, Macao &amp; Taiwan</t>
  </si>
  <si>
    <t>CN, HK, MO, TW</t>
  </si>
  <si>
    <t>China, Hong Kong, Macao, Taiwan</t>
  </si>
  <si>
    <t>Commercial travel bundle covering China, Hong Kong, Macao and Taiwan. The grouping is for product/pricing purposes only and does not imply any political status position</t>
  </si>
  <si>
    <t>JP_KR_TW</t>
  </si>
  <si>
    <t>Japan, South Korea &amp; Taiwan</t>
  </si>
  <si>
    <t>JP, KR, TW</t>
  </si>
  <si>
    <t>Japan, South Korea, Taiwan</t>
  </si>
  <si>
    <t>Popular Northeast Asia tourism route.</t>
  </si>
  <si>
    <t>SUBCONTINENT</t>
  </si>
  <si>
    <t>Indian Subcontinent</t>
  </si>
  <si>
    <t>IN, PK, LK, NP, BD</t>
  </si>
  <si>
    <t>India, Pakistan, Sri Lanka, Nepal, Bangladesh</t>
  </si>
  <si>
    <t>South Asia travel bundle using available countries.</t>
  </si>
  <si>
    <t>Additional Africa travel region</t>
  </si>
  <si>
    <t>NORTH_AFRICA</t>
  </si>
  <si>
    <t>North Africa</t>
  </si>
  <si>
    <t>MA, DZ, TN, EG, LY</t>
  </si>
  <si>
    <t>Morocco, Algeria, Tunisia, Egypt, Libya</t>
  </si>
  <si>
    <t>North Africa tourism and regional travel cluster.</t>
  </si>
  <si>
    <t>EAST_AFRICA</t>
  </si>
  <si>
    <t>East Africa</t>
  </si>
  <si>
    <t>KE, TZ, RW, ET, UG</t>
  </si>
  <si>
    <t>Kenya, Tanzania, Rwanda, Ethiopia, Uganda</t>
  </si>
  <si>
    <t>East Africa travel corridor using available countries.</t>
  </si>
  <si>
    <t>SOUTHERN_AFRICA</t>
  </si>
  <si>
    <t>Southern Africa</t>
  </si>
  <si>
    <t>ZA, BW, LS, MW, MZ, NA, ZW</t>
  </si>
  <si>
    <t>South Africa, Botswana, Lesotho, Malawi, Mozambique, Namibia, Zimbabwe</t>
  </si>
  <si>
    <t>Southern Africa travel and safari-oriented cluster.</t>
  </si>
  <si>
    <t>WEST_AFRICA</t>
  </si>
  <si>
    <t>West Africa</t>
  </si>
  <si>
    <t>GH, SN, NG, GM, SL, TG, ML, LR, BF, BJ, CI, GN, MR</t>
  </si>
  <si>
    <t>Ghana, Senegal, Nigeria, Gambia, Sierra Leone, Togo, Mali, Liberia, Burkina Faso, Benin, Cote d'Ivoire, Guinea, Mauritania</t>
  </si>
  <si>
    <t>West Africa regional travel cluster.</t>
  </si>
  <si>
    <t>AFRICA_SAFARI</t>
  </si>
  <si>
    <t>African Safari</t>
  </si>
  <si>
    <t>KE, TZ, ZA, BW, RW, UG, NA, ZW</t>
  </si>
  <si>
    <t>Kenya, Tanzania, South Africa, Botswana, Rwanda, Uganda, Namibia, Zimbabwe</t>
  </si>
  <si>
    <t>Thematic safari-oriented travel bundle.</t>
  </si>
  <si>
    <t>INDIAN_OCEAN</t>
  </si>
  <si>
    <t>Indian Ocean Islands</t>
  </si>
  <si>
    <t>MU, RE, MV, MG, SC</t>
  </si>
  <si>
    <t>Mauritius, Reunion, Maldives, Madagascar, Seychelles</t>
  </si>
  <si>
    <t>Indian Ocean holiday islands, combining available African and Asian island destinations.</t>
  </si>
  <si>
    <t>CENTRAL_AFRICA</t>
  </si>
  <si>
    <t>Central Africa</t>
  </si>
  <si>
    <t>AO, CD, TD, CM, GA, ST</t>
  </si>
  <si>
    <t>Angola, Congo Kinshasa, Chad, Cameroon, Gabon, Sao Tome and Principe</t>
  </si>
  <si>
    <t>Central Africa regional bundle based on available markets.</t>
  </si>
  <si>
    <t>Additional Americas / Caribbean travel region</t>
  </si>
  <si>
    <t>CENTRAL_AMERICA</t>
  </si>
  <si>
    <t>Central America</t>
  </si>
  <si>
    <t>MX, GT, SV, NI, CR, PA, BZ</t>
  </si>
  <si>
    <t>Mexico, Guatemala, El Salvador, Nicaragua, Costa Rica, Panama, Belize</t>
  </si>
  <si>
    <t>Mexico-to-Panama Central America travel corridor.</t>
  </si>
  <si>
    <t>SOUTH_AMERICA</t>
  </si>
  <si>
    <t>South America</t>
  </si>
  <si>
    <t>AR, BR, CL, CO, EC, PE, PY, UY, VE, SR, BO, GY</t>
  </si>
  <si>
    <t>Argentina, Brazil, Chile, Colombia, Ecuador, Peru, Paraguay, Uruguay, Venezuela, Suriname, Bolivia, Guyana</t>
  </si>
  <si>
    <t>Clean South America region without Mexico.</t>
  </si>
  <si>
    <t>ANDEAN</t>
  </si>
  <si>
    <t>Andean Region</t>
  </si>
  <si>
    <t>CO, EC, PE, CL, BO</t>
  </si>
  <si>
    <t>Colombia, Ecuador, Peru, Chile, Bolivia</t>
  </si>
  <si>
    <t>Andean / western South America route.</t>
  </si>
  <si>
    <t>SOUTH_CONE</t>
  </si>
  <si>
    <t>Southern South America</t>
  </si>
  <si>
    <t>BR, AR, CL, UY, PY</t>
  </si>
  <si>
    <t>Brazil, Argentina, Chile, Uruguay, Paraguay</t>
  </si>
  <si>
    <t>Southern South America plus Brazil.</t>
  </si>
  <si>
    <t>CARIBBEAN_CRUISE</t>
  </si>
  <si>
    <t>Caribbean Cruise</t>
  </si>
  <si>
    <t>BS, JM, KY, TC, AG, BB, LC, KN, PR, BZ, AW, DM, DO, GD, HT, MQ, MS, VC</t>
  </si>
  <si>
    <t>Bahamas, Jamaica, Cayman Islands, Turks and Caicos Islands, Antigua and Barbuda, Barbados, Saint Lucia, Saint Kitts and Nevis, Puerto Rico, Belize, Aruba, Dominica, Dominican Republic, Grenada, Haiti, Martinique, Montserrat, Saint Vincent and the Grenadines</t>
  </si>
  <si>
    <t>Cruise and island-hopping Caribbean bundle.</t>
  </si>
  <si>
    <t>LESSER_ANTILLES</t>
  </si>
  <si>
    <t>Lesser Antilles</t>
  </si>
  <si>
    <t>AG, AI, BB, BQ, GP, KN, LC, VG, AW, DM, GD, MQ, MS, VC</t>
  </si>
  <si>
    <t>Antigua and Barbuda, Anguilla, Barbados, Netherlands Antilles, French West Indies, Saint Kitts and Nevis, Saint Lucia, British Virgin Islands, Aruba, Dominica, Grenada, Martinique, Montserrat, Saint Vincent and the Grenadines</t>
  </si>
  <si>
    <t>Lesser Antilles island cluster.</t>
  </si>
  <si>
    <t>NORTH_ATLANTIC_ISLANDS</t>
  </si>
  <si>
    <t>North Atlantic Islands</t>
  </si>
  <si>
    <t>BM, BS, TC, PR, DO, HT</t>
  </si>
  <si>
    <t>Bermuda, Bahamas, Turks and Caicos Islands, Puerto Rico, Dominican Republic, Haiti</t>
  </si>
  <si>
    <t>North Atlantic and northern Caribbean island bundle.</t>
  </si>
  <si>
    <t>USA_CANADA</t>
  </si>
  <si>
    <t>USA &amp; Canada</t>
  </si>
  <si>
    <t>US, CA</t>
  </si>
  <si>
    <t>USA, Canada</t>
  </si>
  <si>
    <t>Standalone US and Canada travel bundle.</t>
  </si>
  <si>
    <t>Additional Oceania travel region</t>
  </si>
  <si>
    <t>AUS_NZ</t>
  </si>
  <si>
    <t>Australia &amp; New Zealand</t>
  </si>
  <si>
    <t>AU, NZ</t>
  </si>
  <si>
    <t>Australia, New Zealand</t>
  </si>
  <si>
    <t>Natural Australia and New Zealand standalone product.</t>
  </si>
  <si>
    <t>SOUTH_PACIFIC</t>
  </si>
  <si>
    <t>South Pacific</t>
  </si>
  <si>
    <t>FJ, PG, PF, TO, PW, CK, WS</t>
  </si>
  <si>
    <t>Fiji, Papua New Guinea, French Polynesia, Tonga, Palau, Cook Islands, Samoa</t>
  </si>
  <si>
    <t>Pacific island travel bundle excluding Australia and New Zealand.</t>
  </si>
  <si>
    <t>PACIFIC_LONG_HAUL</t>
  </si>
  <si>
    <t>Pacific Explorer</t>
  </si>
  <si>
    <t>AU, NZ, FJ, PF, PG, TO, PW, CK, WS</t>
  </si>
  <si>
    <t>Australia, New Zealand, Fiji, French Polynesia, Papua New Guinea, Tonga, Palau, Cook Islands, Samoa</t>
  </si>
  <si>
    <t>Long-haul Oceania and Pacific travel bundle.</t>
  </si>
  <si>
    <t>Region_Codes</t>
  </si>
  <si>
    <t>region_type</t>
  </si>
  <si>
    <t>Check</t>
  </si>
  <si>
    <t>GLBL</t>
  </si>
  <si>
    <t>Monde</t>
  </si>
  <si>
    <t>グローバル</t>
  </si>
  <si>
    <t>Globale</t>
  </si>
  <si>
    <t>EURP</t>
  </si>
  <si>
    <t>LARGE_REGION</t>
  </si>
  <si>
    <t>Europa</t>
  </si>
  <si>
    <t>ヨーロッパ</t>
  </si>
  <si>
    <t>EUNR</t>
  </si>
  <si>
    <t>EU, UK i Norveška</t>
  </si>
  <si>
    <t>EU, UK &amp; Norwegen</t>
  </si>
  <si>
    <t>UE, Royaume-Uni et Norvège</t>
  </si>
  <si>
    <t>EU・英国・ノルウェー</t>
  </si>
  <si>
    <t>UE, Regno Unito e Norvegia</t>
  </si>
  <si>
    <t>UE, Reino Unido y Noruega</t>
  </si>
  <si>
    <t>UE, Reino Unido e Noruega</t>
  </si>
  <si>
    <t>NOAM</t>
  </si>
  <si>
    <t>Sjeverna Amerika</t>
  </si>
  <si>
    <t>Nordamerika</t>
  </si>
  <si>
    <t>Amérique du Nord</t>
  </si>
  <si>
    <t>北アメリカ</t>
  </si>
  <si>
    <t>Nord America</t>
  </si>
  <si>
    <t>Norteamérica</t>
  </si>
  <si>
    <t>América do Norte</t>
  </si>
  <si>
    <t>Bliski istok i Sjeverna Afrika</t>
  </si>
  <si>
    <t>Naher Osten &amp; Nordafrika</t>
  </si>
  <si>
    <t>Moyen-Orient et Afrique du Nord</t>
  </si>
  <si>
    <t>中東・北アフリカ</t>
  </si>
  <si>
    <t>Medio Oriente e Nord Africa</t>
  </si>
  <si>
    <t>Oriente Medio y Norte de África</t>
  </si>
  <si>
    <t>Oriente Médio e Norte da África</t>
  </si>
  <si>
    <t>AFRI</t>
  </si>
  <si>
    <t>Afrika</t>
  </si>
  <si>
    <t>Afrique</t>
  </si>
  <si>
    <t>アフリカ</t>
  </si>
  <si>
    <t>África</t>
  </si>
  <si>
    <t>LATM</t>
  </si>
  <si>
    <t>Latinska Amerika</t>
  </si>
  <si>
    <t>Lateinamerika</t>
  </si>
  <si>
    <t>Amérique latine</t>
  </si>
  <si>
    <t>ラテンアメリカ</t>
  </si>
  <si>
    <t>America Latina</t>
  </si>
  <si>
    <t>América Latina</t>
  </si>
  <si>
    <t>OCEA</t>
  </si>
  <si>
    <t>Oceanija i Pacifik</t>
  </si>
  <si>
    <t>Ozeanien &amp; Pazifik</t>
  </si>
  <si>
    <t>Océanie et Pacifique</t>
  </si>
  <si>
    <t>オセアニア・太平洋</t>
  </si>
  <si>
    <t>Oceania e Pacifico</t>
  </si>
  <si>
    <t>Oceanía y Pacífico</t>
  </si>
  <si>
    <t>Oceania e Pacífico</t>
  </si>
  <si>
    <t>Azija</t>
  </si>
  <si>
    <t>Asien</t>
  </si>
  <si>
    <t>Asie</t>
  </si>
  <si>
    <t>アジア</t>
  </si>
  <si>
    <t>Ásia</t>
  </si>
  <si>
    <t>CARB</t>
  </si>
  <si>
    <t>Karibi</t>
  </si>
  <si>
    <t>Karibik</t>
  </si>
  <si>
    <t>Caraïbes</t>
  </si>
  <si>
    <t>カリブ海</t>
  </si>
  <si>
    <t>Caraibi</t>
  </si>
  <si>
    <t>Caribe</t>
  </si>
  <si>
    <t>SEEU</t>
  </si>
  <si>
    <t>MEDIUM_REGION</t>
  </si>
  <si>
    <t>Jugoistočna Europa</t>
  </si>
  <si>
    <t>Südosteuropa</t>
  </si>
  <si>
    <t>Europe du Sud-Est</t>
  </si>
  <si>
    <t>南東ヨーロッパ</t>
  </si>
  <si>
    <t>Europa sud-orientale</t>
  </si>
  <si>
    <t>Europa sudoriental</t>
  </si>
  <si>
    <t>Sudeste da Europa</t>
  </si>
  <si>
    <t>WBAL</t>
  </si>
  <si>
    <t>Zapadni Balkan</t>
  </si>
  <si>
    <t>Westbalkan</t>
  </si>
  <si>
    <t>Balkans occidentaux</t>
  </si>
  <si>
    <t>西バルカン</t>
  </si>
  <si>
    <t>Balcani occidentali</t>
  </si>
  <si>
    <t>Balcanes occidentales</t>
  </si>
  <si>
    <t>Balcãs Ocidentais</t>
  </si>
  <si>
    <t>ADRI</t>
  </si>
  <si>
    <t>Jadranska obala</t>
  </si>
  <si>
    <t>Adriaküste</t>
  </si>
  <si>
    <t>Côte adriatique</t>
  </si>
  <si>
    <t>アドリア海沿岸</t>
  </si>
  <si>
    <t>Costa adriatica</t>
  </si>
  <si>
    <t>Costa adriática</t>
  </si>
  <si>
    <t>Costa do Adriático</t>
  </si>
  <si>
    <t>WEUR</t>
  </si>
  <si>
    <t>Zapadna Europa</t>
  </si>
  <si>
    <t>Westeuropa</t>
  </si>
  <si>
    <t>Europe de l'Ouest</t>
  </si>
  <si>
    <t>西ヨーロッパ</t>
  </si>
  <si>
    <t>Europa occidentale</t>
  </si>
  <si>
    <t>Europa occidental</t>
  </si>
  <si>
    <t>Europa Ocidental</t>
  </si>
  <si>
    <t>UKIR</t>
  </si>
  <si>
    <t>UK i Irska</t>
  </si>
  <si>
    <t>UK &amp; Irland</t>
  </si>
  <si>
    <t>Royaume-Uni et Irlande</t>
  </si>
  <si>
    <t>英国・アイルランド</t>
  </si>
  <si>
    <t>Regno Unito e Irlanda</t>
  </si>
  <si>
    <t>Reino Unido e Irlanda</t>
  </si>
  <si>
    <t>CEUR</t>
  </si>
  <si>
    <t>Srednja Europa</t>
  </si>
  <si>
    <t>Mitteleuropa</t>
  </si>
  <si>
    <t>Europe centrale</t>
  </si>
  <si>
    <t>中央ヨーロッパ</t>
  </si>
  <si>
    <t>Europa centrale</t>
  </si>
  <si>
    <t>Europa Central</t>
  </si>
  <si>
    <t>NORD</t>
  </si>
  <si>
    <t>Nordijske zemlje</t>
  </si>
  <si>
    <t>Nordische Länder</t>
  </si>
  <si>
    <t>Pays nordiques</t>
  </si>
  <si>
    <t>北欧諸国</t>
  </si>
  <si>
    <t>Paesi nordici</t>
  </si>
  <si>
    <t>Países nórdicos</t>
  </si>
  <si>
    <t>Países Nórdicos</t>
  </si>
  <si>
    <t>BAFI</t>
  </si>
  <si>
    <t>Baltik i Finska</t>
  </si>
  <si>
    <t>Baltikum &amp; Finnland</t>
  </si>
  <si>
    <t>Pays baltes et Finlande</t>
  </si>
  <si>
    <t>バルト諸国・フィンランド</t>
  </si>
  <si>
    <t>Paesi baltici e Finlandia</t>
  </si>
  <si>
    <t>Países bálticos y Finlandia</t>
  </si>
  <si>
    <t>Países Bálticos e Finlândia</t>
  </si>
  <si>
    <t>BEFR</t>
  </si>
  <si>
    <t>Beneluks i Francuska</t>
  </si>
  <si>
    <t>Benelux &amp; Frankreich</t>
  </si>
  <si>
    <t>Benelux et France</t>
  </si>
  <si>
    <t>ベネルクス・フランス</t>
  </si>
  <si>
    <t>Benelux e Francia</t>
  </si>
  <si>
    <t>Benelux y Francia</t>
  </si>
  <si>
    <t>Benelux e França</t>
  </si>
  <si>
    <t>MEDI</t>
  </si>
  <si>
    <t>Mediteranska Europa</t>
  </si>
  <si>
    <t>Mediterranes Europa</t>
  </si>
  <si>
    <t>Europe méditerranéenne</t>
  </si>
  <si>
    <t>地中海ヨーロッパ</t>
  </si>
  <si>
    <t>Europa mediterranea</t>
  </si>
  <si>
    <t>Europa mediterránea</t>
  </si>
  <si>
    <t>Europa Mediterrânea</t>
  </si>
  <si>
    <t>EEUR</t>
  </si>
  <si>
    <t>Istočna Europa</t>
  </si>
  <si>
    <t>Osteuropa</t>
  </si>
  <si>
    <t>Europe de l’Est</t>
  </si>
  <si>
    <t>東ヨーロッパ</t>
  </si>
  <si>
    <t>Europa orientale</t>
  </si>
  <si>
    <t>Europa del Este</t>
  </si>
  <si>
    <t>Europa Oriental</t>
  </si>
  <si>
    <t>ALPN</t>
  </si>
  <si>
    <t>Alpska Europa</t>
  </si>
  <si>
    <t>Alpenregion</t>
  </si>
  <si>
    <t>Europe alpine</t>
  </si>
  <si>
    <t>アルプス地域</t>
  </si>
  <si>
    <t>Europa alpina</t>
  </si>
  <si>
    <t>Europa Alpina</t>
  </si>
  <si>
    <t>GULF</t>
  </si>
  <si>
    <t>Zaljevske zemlje</t>
  </si>
  <si>
    <t>Golfstaaten</t>
  </si>
  <si>
    <t>Pays du Golfe</t>
  </si>
  <si>
    <t>湾岸諸国</t>
  </si>
  <si>
    <t>Paesi del Golfo</t>
  </si>
  <si>
    <t>Países del Golfo</t>
  </si>
  <si>
    <t>Países do Golfo</t>
  </si>
  <si>
    <t>LEVA</t>
  </si>
  <si>
    <t>Levante</t>
  </si>
  <si>
    <t>レバント</t>
  </si>
  <si>
    <t>CAUC</t>
  </si>
  <si>
    <t>Kavkaz</t>
  </si>
  <si>
    <t>Kaukasus</t>
  </si>
  <si>
    <t>Caucase</t>
  </si>
  <si>
    <t>コーカサス</t>
  </si>
  <si>
    <t>Caucaso</t>
  </si>
  <si>
    <t>Cáucaso</t>
  </si>
  <si>
    <t>CASI</t>
  </si>
  <si>
    <t>Srednja Azija</t>
  </si>
  <si>
    <t>Zentralasien</t>
  </si>
  <si>
    <t>Asie centrale</t>
  </si>
  <si>
    <t>中央アジア</t>
  </si>
  <si>
    <t>Asia centrale</t>
  </si>
  <si>
    <t>Asia Central</t>
  </si>
  <si>
    <t>Ásia Central</t>
  </si>
  <si>
    <t>INDO</t>
  </si>
  <si>
    <t>Indokina</t>
  </si>
  <si>
    <t>Indochine</t>
  </si>
  <si>
    <t>インドシナ</t>
  </si>
  <si>
    <t>Indocina</t>
  </si>
  <si>
    <t>SEAS</t>
  </si>
  <si>
    <t>Jugoistočna Azija</t>
  </si>
  <si>
    <t>Südostasien</t>
  </si>
  <si>
    <t>Asie du Sud-Est</t>
  </si>
  <si>
    <t>東南アジア</t>
  </si>
  <si>
    <t>Sud-est asiatico</t>
  </si>
  <si>
    <t>Sudeste Asiático</t>
  </si>
  <si>
    <t>ISEA</t>
  </si>
  <si>
    <t>Otočna jugoistočna Azija</t>
  </si>
  <si>
    <t>Insel-Südostasien</t>
  </si>
  <si>
    <t>Asie du Sud-Est insulaire</t>
  </si>
  <si>
    <t>島嶼部東南アジア</t>
  </si>
  <si>
    <t>Sud-est asiatico insulare</t>
  </si>
  <si>
    <t>Sudeste Asiático insular</t>
  </si>
  <si>
    <t>Sudeste Asiático Insular</t>
  </si>
  <si>
    <t>EASP</t>
  </si>
  <si>
    <t>Kina, Hong Kong, Makao i Tajvan</t>
  </si>
  <si>
    <t>China, Hongkong, Macao &amp; Taiwan</t>
  </si>
  <si>
    <t>Chine, Hong Kong, Macao et Taïwan</t>
  </si>
  <si>
    <t>中国・香港・マカオ・台湾</t>
  </si>
  <si>
    <t>Cina, Hong Kong, Macao e Taiwan</t>
  </si>
  <si>
    <t>China, Hong Kong, Macao y Taiwán</t>
  </si>
  <si>
    <t>China, Hong Kong, Macau e Taiwan</t>
  </si>
  <si>
    <t>JKTW</t>
  </si>
  <si>
    <t>Japan, Južna Koreja i Tajvan</t>
  </si>
  <si>
    <t>Japan, Südkorea &amp; Taiwan</t>
  </si>
  <si>
    <t>Japon, Corée du Sud et Taïwan</t>
  </si>
  <si>
    <t>日本・韓国・台湾</t>
  </si>
  <si>
    <t>Giappone, Corea del Sud e Taiwan</t>
  </si>
  <si>
    <t>Japón, Corea del Sur y Taiwán</t>
  </si>
  <si>
    <t>Japão, Coreia do Sul e Taiwan</t>
  </si>
  <si>
    <t>SUBC</t>
  </si>
  <si>
    <t>Indijski potkontinent</t>
  </si>
  <si>
    <t>Indischer Subkontinent</t>
  </si>
  <si>
    <t>Sous-continent indien</t>
  </si>
  <si>
    <t>インド亜大陸</t>
  </si>
  <si>
    <t>Subcontinente indiano</t>
  </si>
  <si>
    <t>Subcontinente indio</t>
  </si>
  <si>
    <t>NAFR</t>
  </si>
  <si>
    <t>Sjeverna Afrika</t>
  </si>
  <si>
    <t>Nordafrika</t>
  </si>
  <si>
    <t>Afrique du Nord</t>
  </si>
  <si>
    <t>北アフリカ</t>
  </si>
  <si>
    <t>Nord Africa</t>
  </si>
  <si>
    <t>Norte de África</t>
  </si>
  <si>
    <t>Norte da África</t>
  </si>
  <si>
    <t>EAFR</t>
  </si>
  <si>
    <t>Istočna Afrika</t>
  </si>
  <si>
    <t>Ostafrika</t>
  </si>
  <si>
    <t>Afrique de l’Est</t>
  </si>
  <si>
    <t>東アフリカ</t>
  </si>
  <si>
    <t>Africa orientale</t>
  </si>
  <si>
    <t>África Oriental</t>
  </si>
  <si>
    <t>SAFR</t>
  </si>
  <si>
    <t>Južna Afrika</t>
  </si>
  <si>
    <t>Südliches Afrika</t>
  </si>
  <si>
    <t>Afrique australe</t>
  </si>
  <si>
    <t>南部アフリカ</t>
  </si>
  <si>
    <t>Africa australe</t>
  </si>
  <si>
    <t>África Austral</t>
  </si>
  <si>
    <t>WAFR</t>
  </si>
  <si>
    <t>Zapadna Afrika</t>
  </si>
  <si>
    <t>Westafrika</t>
  </si>
  <si>
    <t>Afrique de l’Ouest</t>
  </si>
  <si>
    <t>西アフリカ</t>
  </si>
  <si>
    <t>Africa occidentale</t>
  </si>
  <si>
    <t>África Occidental</t>
  </si>
  <si>
    <t>África Ocidental</t>
  </si>
  <si>
    <t>SAFI</t>
  </si>
  <si>
    <t>Afrički safari</t>
  </si>
  <si>
    <t>Afrika-Safari</t>
  </si>
  <si>
    <t>Safari africain</t>
  </si>
  <si>
    <t>アフリカンサファリ</t>
  </si>
  <si>
    <t>Safari africano</t>
  </si>
  <si>
    <t>Safári africano</t>
  </si>
  <si>
    <t>INOC</t>
  </si>
  <si>
    <t>Otoci Indijskog oceana</t>
  </si>
  <si>
    <t>Inseln im Indischen Ozean</t>
  </si>
  <si>
    <t>Îles de l’océan Indien</t>
  </si>
  <si>
    <t>インド洋の島々</t>
  </si>
  <si>
    <t>Isole dell’Oceano Indiano</t>
  </si>
  <si>
    <t>Islas del océano Índico</t>
  </si>
  <si>
    <t>Ilhas do Oceano Índico</t>
  </si>
  <si>
    <t>CAFR</t>
  </si>
  <si>
    <t>Srednja Afrika</t>
  </si>
  <si>
    <t>Zentralafrika</t>
  </si>
  <si>
    <t>Afrique centrale</t>
  </si>
  <si>
    <t>中央アフリカ</t>
  </si>
  <si>
    <t>Africa centrale</t>
  </si>
  <si>
    <t>África Central</t>
  </si>
  <si>
    <t>CAMR</t>
  </si>
  <si>
    <t>Srednja Amerika</t>
  </si>
  <si>
    <t>Mittelamerika</t>
  </si>
  <si>
    <t>Amérique centrale</t>
  </si>
  <si>
    <t>中央アメリカ</t>
  </si>
  <si>
    <t>America centrale</t>
  </si>
  <si>
    <t>Centroamérica</t>
  </si>
  <si>
    <t>América Central</t>
  </si>
  <si>
    <t>SAMR</t>
  </si>
  <si>
    <t>Južna Amerika</t>
  </si>
  <si>
    <t>Südamerika</t>
  </si>
  <si>
    <t>Amérique du Sud</t>
  </si>
  <si>
    <t>南アメリカ</t>
  </si>
  <si>
    <t>Sud America</t>
  </si>
  <si>
    <t>Sudamérica</t>
  </si>
  <si>
    <t>América do Sul</t>
  </si>
  <si>
    <t>ANDS</t>
  </si>
  <si>
    <t>Andska regija</t>
  </si>
  <si>
    <t>Andenregion</t>
  </si>
  <si>
    <t>Région andine</t>
  </si>
  <si>
    <t>アンデス地域</t>
  </si>
  <si>
    <t>Regione andina</t>
  </si>
  <si>
    <t>Región andina</t>
  </si>
  <si>
    <t>Região dos Andes</t>
  </si>
  <si>
    <t>SCON</t>
  </si>
  <si>
    <t>Južni dio Južne Amerike</t>
  </si>
  <si>
    <t>Südliches Südamerika</t>
  </si>
  <si>
    <t>Amérique du Sud méridionale</t>
  </si>
  <si>
    <t>南部南アメリカ</t>
  </si>
  <si>
    <t>Sud del Sud America</t>
  </si>
  <si>
    <t>Sur de Sudamérica</t>
  </si>
  <si>
    <t>Sul da América do Sul</t>
  </si>
  <si>
    <t>CCRU</t>
  </si>
  <si>
    <t>Karipsko krstarenje</t>
  </si>
  <si>
    <t>Karibik-Kreuzfahrt</t>
  </si>
  <si>
    <t>Croisière dans les Caraïbes</t>
  </si>
  <si>
    <t>カリブ海クルーズ</t>
  </si>
  <si>
    <t>Crociera ai Caraibi</t>
  </si>
  <si>
    <t>Crucero por el Caribe</t>
  </si>
  <si>
    <t>Cruzeiro pelo Caribe</t>
  </si>
  <si>
    <t>LANT</t>
  </si>
  <si>
    <t>Mali Antili</t>
  </si>
  <si>
    <t>Kleine Antillen</t>
  </si>
  <si>
    <t>Petites Antilles</t>
  </si>
  <si>
    <t>小アンティル諸島</t>
  </si>
  <si>
    <t>Piccole Antille</t>
  </si>
  <si>
    <t>Antillas Menores</t>
  </si>
  <si>
    <t>Pequenas Antilhas</t>
  </si>
  <si>
    <t>NATL</t>
  </si>
  <si>
    <t>Sjevernoatlantski otoci</t>
  </si>
  <si>
    <t>Nordatlantische Inseln</t>
  </si>
  <si>
    <t>Îles de l’Atlantique Nord</t>
  </si>
  <si>
    <t>北大西洋の島々</t>
  </si>
  <si>
    <t>Isole del Nord Atlantico</t>
  </si>
  <si>
    <t>Islas del Atlántico Norte</t>
  </si>
  <si>
    <t>Ilhas do Atlântico Norte</t>
  </si>
  <si>
    <t>USCA</t>
  </si>
  <si>
    <t>SAD i Kanada</t>
  </si>
  <si>
    <t>USA &amp; Kanada</t>
  </si>
  <si>
    <t>États-Unis et Canada</t>
  </si>
  <si>
    <t>米国・カナダ</t>
  </si>
  <si>
    <t>USA e Canada</t>
  </si>
  <si>
    <t>EE. UU. y Canadá</t>
  </si>
  <si>
    <t>Estados Unidos e Canadá</t>
  </si>
  <si>
    <t>AUNZ</t>
  </si>
  <si>
    <t>Australija i Novi Zeland</t>
  </si>
  <si>
    <t>Australien &amp; Neuseeland</t>
  </si>
  <si>
    <t>Australie et Nouvelle-Zélande</t>
  </si>
  <si>
    <t>オーストラリア・ニュージーランド</t>
  </si>
  <si>
    <t>Australia e Nuova Zelanda</t>
  </si>
  <si>
    <t>Australia y Nueva Zelanda</t>
  </si>
  <si>
    <t>Austrália e Nova Zelândia</t>
  </si>
  <si>
    <t>SPAC</t>
  </si>
  <si>
    <t>Južni Pacifik</t>
  </si>
  <si>
    <t>Südpazifik</t>
  </si>
  <si>
    <t>Pacifique Sud</t>
  </si>
  <si>
    <t>南太平洋</t>
  </si>
  <si>
    <t>Pacifico del Sud</t>
  </si>
  <si>
    <t>Pacífico Sur</t>
  </si>
  <si>
    <t>Pacífico Sul</t>
  </si>
  <si>
    <t>PLON</t>
  </si>
  <si>
    <t>ISO2</t>
  </si>
  <si>
    <t>alias_en</t>
  </si>
  <si>
    <t>Czechia</t>
  </si>
  <si>
    <t>Slovak Republic</t>
  </si>
  <si>
    <t>UK</t>
  </si>
  <si>
    <t>BN</t>
  </si>
  <si>
    <t>Brunei Darussalam</t>
  </si>
  <si>
    <t>CK</t>
  </si>
  <si>
    <t>Cook Islands</t>
  </si>
  <si>
    <t>Cameroon</t>
  </si>
  <si>
    <t>MQ</t>
  </si>
  <si>
    <t>Martinique</t>
  </si>
  <si>
    <t>MW</t>
  </si>
  <si>
    <t>Malawi</t>
  </si>
  <si>
    <t>Brunej</t>
  </si>
  <si>
    <t>Brunei</t>
  </si>
  <si>
    <t>ブルネイ</t>
  </si>
  <si>
    <t>Brunéi</t>
  </si>
  <si>
    <t>Cookovi Otoci</t>
  </si>
  <si>
    <t>Cookinseln</t>
  </si>
  <si>
    <t>Îles Cook</t>
  </si>
  <si>
    <t>クック諸島</t>
  </si>
  <si>
    <t>Isole Cook</t>
  </si>
  <si>
    <t>Islas Cook</t>
  </si>
  <si>
    <t>Ilhas Cook</t>
  </si>
  <si>
    <t>Martinik</t>
  </si>
  <si>
    <t>マルティニーク</t>
  </si>
  <si>
    <t>Martinica</t>
  </si>
  <si>
    <t>Malavi</t>
  </si>
  <si>
    <t>マラウイ</t>
  </si>
  <si>
    <t>Malaui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</si>
</sst>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8" x14ac:knownFonts="1">
    <font>
      <sz val="11"/>
      <color theme="1"/>
      <name val="Aptos Narrow"/>
      <family val="2"/>
      <charset val="238"/>
      <scheme val="minor"/>
    </font>
    <font>
      <sz val="11"/>
      <color rgb="FF000000"/>
      <name val="Aptos Narrow"/>
      <family val="2"/>
      <scheme val="minor"/>
    </font>
    <font>
      <b/>
      <sz val="11"/>
      <color rgb="FF000000"/>
      <name val="Aptos Narrow"/>
      <family val="2"/>
      <scheme val="minor"/>
    </font>
    <font>
      <b/>
      <sz val="11"/>
      <color theme="1"/>
      <name val="Aptos Narrow"/>
      <family val="2"/>
      <scheme val="minor"/>
    </font>
    <font>
      <sz val="11"/>
      <color rgb="FF3F3F76"/>
      <name val="Aptos Narrow"/>
      <family val="2"/>
      <charset val="238"/>
      <scheme val="minor"/>
    </font>
    <font>
      <sz val="11"/>
      <color theme="1"/>
      <name val="Aptos Narrow"/>
      <family val="2"/>
      <charset val="238"/>
      <scheme val="minor"/>
    </font>
    <font>
      <sz val="11"/>
      <color rgb="FFBBBEBF"/>
      <name val="Consolas"/>
      <family val="3"/>
      <charset val="238"/>
    </font>
    <font>
      <sz val="11"/>
      <color theme="0"/>
      <name val="Aptos Narrow"/>
      <family val="2"/>
      <charset val="238"/>
      <scheme val="minor"/>
    </font>
  </fonts>
  <fills count="7">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FFF00"/>
        <bgColor indexed="64"/>
      </patternFill>
    </fill>
    <fill>
      <patternFill patternType="solid">
        <fgColor them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0" fontId="4" fillId="4" borderId="2"/>
    <xf numFmtId="44" fontId="5" fillId="0" borderId="0"/>
    <xf numFmtId="0" fontId="7" fillId="6" borderId="0"/>
  </cellStyleXfs>
  <cellXfs count="22">
    <xf numFmtId="0" fontId="0" fillId="0" borderId="0" xfId="0"/>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left" wrapText="1"/>
    </xf>
    <xf numFmtId="0" fontId="2" fillId="2" borderId="1" xfId="0" applyFont="1" applyFill="1" applyBorder="1"/>
    <xf numFmtId="0" fontId="2" fillId="2" borderId="1" xfId="0" applyFont="1" applyFill="1" applyBorder="1" applyAlignment="1">
      <alignment wrapText="1"/>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1" fillId="5" borderId="1" xfId="0" applyFont="1" applyFill="1" applyBorder="1"/>
    <xf numFmtId="0" fontId="1" fillId="3" borderId="1" xfId="0" applyFont="1" applyFill="1" applyBorder="1"/>
    <xf numFmtId="0" fontId="4" fillId="4" borderId="2" xfId="1"/>
    <xf numFmtId="0" fontId="6" fillId="0" borderId="0" xfId="0" applyFont="1" applyAlignment="1">
      <alignment vertical="center"/>
    </xf>
    <xf numFmtId="44" fontId="0" fillId="0" borderId="0" xfId="2" applyFont="1"/>
    <xf numFmtId="0" fontId="7" fillId="6" borderId="1" xfId="3" applyBorder="1"/>
    <xf numFmtId="0" fontId="7" fillId="6" borderId="3" xfId="3" applyBorder="1"/>
    <xf numFmtId="0" fontId="0" fillId="0" borderId="4" xfId="0" applyBorder="1"/>
    <xf numFmtId="0" fontId="0" fillId="0" borderId="0" xfId="0" applyAlignment="1">
      <alignment vertical="center" wrapText="1"/>
    </xf>
  </cellXfs>
  <cellStyles count="4">
    <cellStyle name="Accent1" xfId="3" builtinId="29"/>
    <cellStyle name="Currency" xfId="2" builtinId="4"/>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51"/>
  <sheetViews>
    <sheetView zoomScale="115" zoomScaleNormal="115" workbookViewId="0">
      <selection activeCell="F2" sqref="F2"/>
    </sheetView>
  </sheetViews>
  <sheetFormatPr defaultRowHeight="15" x14ac:dyDescent="0.25"/>
  <cols>
    <col min="1" max="1" width="3.5703125" bestFit="1" customWidth="1"/>
    <col min="2" max="2" width="33.85546875" customWidth="1"/>
    <col min="3" max="4" width="24.28515625" customWidth="1"/>
    <col min="5" max="5" width="32.85546875" bestFit="1" customWidth="1"/>
    <col min="6" max="6" width="14.85546875" style="9" bestFit="1" customWidth="1"/>
    <col min="7" max="7" width="49.42578125" style="1" customWidth="1"/>
    <col min="8" max="8" width="134.5703125" style="1" customWidth="1"/>
    <col min="9" max="9" width="45" style="1" customWidth="1"/>
    <col min="10" max="10" width="8.140625" customWidth="1"/>
    <col min="11" max="11" width="14.140625" customWidth="1"/>
  </cols>
  <sheetData>
    <row r="1" spans="1:11" x14ac:dyDescent="0.25">
      <c r="A1" s="5" t="s">
        <v>1217</v>
      </c>
      <c r="B1" s="5" t="s">
        <v>1218</v>
      </c>
      <c r="C1" s="5" t="s">
        <v>1219</v>
      </c>
      <c r="D1" s="5" t="s">
        <v>1220</v>
      </c>
      <c r="E1" s="5" t="s">
        <v>1221</v>
      </c>
      <c r="F1" s="7" t="s">
        <v>1222</v>
      </c>
      <c r="G1" s="6" t="s">
        <v>1223</v>
      </c>
      <c r="H1" s="6" t="s">
        <v>1224</v>
      </c>
      <c r="I1" s="6" t="s">
        <v>1225</v>
      </c>
      <c r="K1" s="11" t="s">
        <v>1226</v>
      </c>
    </row>
    <row r="2" spans="1:11" ht="158.44999999999999" customHeight="1" x14ac:dyDescent="0.25">
      <c r="A2" s="2">
        <v>1</v>
      </c>
      <c r="B2" s="2" t="s">
        <v>1227</v>
      </c>
      <c r="C2" s="2" t="s">
        <v>1228</v>
      </c>
      <c r="D2" s="2" t="str">
        <f>+_xlfn.XLOOKUP(C2,Codes!C:C,Codes!B:B,)</f>
        <v>GLBL</v>
      </c>
      <c r="E2" s="2" t="s">
        <v>1229</v>
      </c>
      <c r="F2" s="8">
        <v>188</v>
      </c>
      <c r="G2" s="4" t="s">
        <v>1230</v>
      </c>
      <c r="H2" s="3" t="s">
        <v>1231</v>
      </c>
      <c r="I2" s="3" t="s">
        <v>1232</v>
      </c>
      <c r="K2" s="12">
        <f>+COUNT(F2:F51)+F2</f>
        <v>238</v>
      </c>
    </row>
    <row r="3" spans="1:11" ht="57.6" customHeight="1" x14ac:dyDescent="0.25">
      <c r="A3" s="2">
        <v>2</v>
      </c>
      <c r="B3" s="2" t="s">
        <v>1227</v>
      </c>
      <c r="C3" s="2" t="s">
        <v>1233</v>
      </c>
      <c r="D3" s="2" t="str">
        <f>+_xlfn.XLOOKUP(C3,Codes!C:C,Codes!B:B,)</f>
        <v>EURP</v>
      </c>
      <c r="E3" s="2" t="s">
        <v>1234</v>
      </c>
      <c r="F3" s="8">
        <v>49</v>
      </c>
      <c r="G3" s="3" t="s">
        <v>1235</v>
      </c>
      <c r="H3" s="3" t="s">
        <v>1236</v>
      </c>
      <c r="I3" s="3" t="s">
        <v>1237</v>
      </c>
    </row>
    <row r="4" spans="1:11" ht="28.9" customHeight="1" x14ac:dyDescent="0.25">
      <c r="A4" s="2">
        <v>3</v>
      </c>
      <c r="B4" s="2" t="s">
        <v>1227</v>
      </c>
      <c r="C4" s="2" t="s">
        <v>1238</v>
      </c>
      <c r="D4" s="2" t="str">
        <f>+_xlfn.XLOOKUP(C4,Codes!C:C,Codes!B:B,)</f>
        <v>EUNR</v>
      </c>
      <c r="E4" s="2" t="s">
        <v>1239</v>
      </c>
      <c r="F4" s="8">
        <v>29</v>
      </c>
      <c r="G4" s="3" t="s">
        <v>1240</v>
      </c>
      <c r="H4" s="3" t="s">
        <v>1241</v>
      </c>
      <c r="I4" s="3" t="s">
        <v>1242</v>
      </c>
    </row>
    <row r="5" spans="1:11" x14ac:dyDescent="0.25">
      <c r="A5" s="2">
        <v>4</v>
      </c>
      <c r="B5" s="2" t="s">
        <v>1227</v>
      </c>
      <c r="C5" s="2" t="s">
        <v>1243</v>
      </c>
      <c r="D5" s="2" t="str">
        <f>+_xlfn.XLOOKUP(C5,Codes!C:C,Codes!B:B,)</f>
        <v>NOAM</v>
      </c>
      <c r="E5" s="2" t="s">
        <v>1244</v>
      </c>
      <c r="F5" s="8">
        <v>3</v>
      </c>
      <c r="G5" s="3" t="s">
        <v>1245</v>
      </c>
      <c r="H5" s="3" t="s">
        <v>1246</v>
      </c>
      <c r="I5" s="3" t="s">
        <v>1247</v>
      </c>
    </row>
    <row r="6" spans="1:11" ht="28.9" customHeight="1" x14ac:dyDescent="0.25">
      <c r="A6" s="2">
        <v>5</v>
      </c>
      <c r="B6" s="2" t="s">
        <v>1227</v>
      </c>
      <c r="C6" s="2" t="s">
        <v>1248</v>
      </c>
      <c r="D6" s="2" t="str">
        <f>+_xlfn.XLOOKUP(C6,Codes!C:C,Codes!B:B,)</f>
        <v>MENA</v>
      </c>
      <c r="E6" s="2" t="s">
        <v>1249</v>
      </c>
      <c r="F6" s="8">
        <v>16</v>
      </c>
      <c r="G6" s="3" t="s">
        <v>1250</v>
      </c>
      <c r="H6" s="3" t="s">
        <v>1251</v>
      </c>
      <c r="I6" s="3" t="s">
        <v>1252</v>
      </c>
    </row>
    <row r="7" spans="1:11" ht="28.9" customHeight="1" x14ac:dyDescent="0.25">
      <c r="A7" s="2">
        <v>6</v>
      </c>
      <c r="B7" s="2" t="s">
        <v>1227</v>
      </c>
      <c r="C7" s="2" t="s">
        <v>1253</v>
      </c>
      <c r="D7" s="2" t="str">
        <f>+_xlfn.XLOOKUP(C7,Codes!C:C,Codes!B:B,)</f>
        <v>AFRI</v>
      </c>
      <c r="E7" s="2" t="s">
        <v>1254</v>
      </c>
      <c r="F7" s="8">
        <v>42</v>
      </c>
      <c r="G7" s="3" t="s">
        <v>1255</v>
      </c>
      <c r="H7" s="3" t="s">
        <v>1256</v>
      </c>
      <c r="I7" s="3" t="s">
        <v>1257</v>
      </c>
    </row>
    <row r="8" spans="1:11" ht="28.9" customHeight="1" x14ac:dyDescent="0.25">
      <c r="A8" s="2">
        <v>7</v>
      </c>
      <c r="B8" s="2" t="s">
        <v>1227</v>
      </c>
      <c r="C8" s="2" t="s">
        <v>1258</v>
      </c>
      <c r="D8" s="2" t="str">
        <f>+_xlfn.XLOOKUP(C8,Codes!C:C,Codes!B:B,)</f>
        <v>LATM</v>
      </c>
      <c r="E8" s="2" t="s">
        <v>1259</v>
      </c>
      <c r="F8" s="8">
        <v>20</v>
      </c>
      <c r="G8" s="3" t="s">
        <v>1260</v>
      </c>
      <c r="H8" s="3" t="s">
        <v>1261</v>
      </c>
      <c r="I8" s="3" t="s">
        <v>1262</v>
      </c>
    </row>
    <row r="9" spans="1:11" ht="28.9" customHeight="1" x14ac:dyDescent="0.25">
      <c r="A9" s="2">
        <v>8</v>
      </c>
      <c r="B9" s="2" t="s">
        <v>1227</v>
      </c>
      <c r="C9" s="2" t="s">
        <v>1263</v>
      </c>
      <c r="D9" s="2" t="str">
        <f>+_xlfn.XLOOKUP(C9,Codes!C:C,Codes!B:B,)</f>
        <v>OCEA</v>
      </c>
      <c r="E9" s="2" t="s">
        <v>1264</v>
      </c>
      <c r="F9" s="8">
        <v>9</v>
      </c>
      <c r="G9" s="3" t="s">
        <v>1265</v>
      </c>
      <c r="H9" s="3" t="s">
        <v>1266</v>
      </c>
      <c r="I9" s="3" t="s">
        <v>1267</v>
      </c>
    </row>
    <row r="10" spans="1:11" ht="28.9" customHeight="1" x14ac:dyDescent="0.25">
      <c r="A10" s="2">
        <v>9</v>
      </c>
      <c r="B10" s="2" t="s">
        <v>1227</v>
      </c>
      <c r="C10" s="2" t="s">
        <v>1268</v>
      </c>
      <c r="D10" s="2" t="str">
        <f>+_xlfn.XLOOKUP(C10,Codes!C:C,Codes!B:B,)</f>
        <v>ASIA</v>
      </c>
      <c r="E10" s="2" t="s">
        <v>1269</v>
      </c>
      <c r="F10" s="8">
        <v>32</v>
      </c>
      <c r="G10" s="3" t="s">
        <v>1270</v>
      </c>
      <c r="H10" s="3" t="s">
        <v>1271</v>
      </c>
      <c r="I10" s="3" t="s">
        <v>1272</v>
      </c>
    </row>
    <row r="11" spans="1:11" ht="28.9" customHeight="1" x14ac:dyDescent="0.25">
      <c r="A11" s="2">
        <v>10</v>
      </c>
      <c r="B11" s="2" t="s">
        <v>1227</v>
      </c>
      <c r="C11" s="2" t="s">
        <v>1273</v>
      </c>
      <c r="D11" s="2" t="str">
        <f>+_xlfn.XLOOKUP(C11,Codes!C:C,Codes!B:B,)</f>
        <v>CARB</v>
      </c>
      <c r="E11" s="2" t="s">
        <v>1274</v>
      </c>
      <c r="F11" s="8">
        <v>25</v>
      </c>
      <c r="G11" s="3" t="s">
        <v>1275</v>
      </c>
      <c r="H11" s="3" t="s">
        <v>1276</v>
      </c>
      <c r="I11" s="3" t="s">
        <v>1277</v>
      </c>
    </row>
    <row r="12" spans="1:11" ht="28.9" customHeight="1" x14ac:dyDescent="0.25">
      <c r="A12" s="2">
        <v>11</v>
      </c>
      <c r="B12" s="2" t="s">
        <v>1278</v>
      </c>
      <c r="C12" s="2" t="s">
        <v>1279</v>
      </c>
      <c r="D12" s="2" t="str">
        <f>+_xlfn.XLOOKUP(C12,Codes!C:C,Codes!B:B,)</f>
        <v>SEEU</v>
      </c>
      <c r="E12" s="2" t="s">
        <v>1280</v>
      </c>
      <c r="F12" s="8">
        <v>10</v>
      </c>
      <c r="G12" s="3" t="s">
        <v>1281</v>
      </c>
      <c r="H12" s="3" t="s">
        <v>1282</v>
      </c>
      <c r="I12" s="3" t="s">
        <v>1283</v>
      </c>
    </row>
    <row r="13" spans="1:11" ht="28.9" customHeight="1" x14ac:dyDescent="0.25">
      <c r="A13" s="2">
        <v>12</v>
      </c>
      <c r="B13" s="2" t="s">
        <v>1278</v>
      </c>
      <c r="C13" s="2" t="s">
        <v>1284</v>
      </c>
      <c r="D13" s="2" t="str">
        <f>+_xlfn.XLOOKUP(C13,Codes!C:C,Codes!B:B,)</f>
        <v>WBAL</v>
      </c>
      <c r="E13" s="2" t="s">
        <v>1285</v>
      </c>
      <c r="F13" s="8">
        <v>7</v>
      </c>
      <c r="G13" s="3" t="s">
        <v>1286</v>
      </c>
      <c r="H13" s="3" t="s">
        <v>1287</v>
      </c>
      <c r="I13" s="3" t="s">
        <v>1288</v>
      </c>
    </row>
    <row r="14" spans="1:11" ht="30" x14ac:dyDescent="0.25">
      <c r="A14" s="2">
        <v>13</v>
      </c>
      <c r="B14" s="2" t="s">
        <v>1278</v>
      </c>
      <c r="C14" s="2" t="s">
        <v>1289</v>
      </c>
      <c r="D14" s="2" t="str">
        <f>+_xlfn.XLOOKUP(C14,Codes!C:C,Codes!B:B,)</f>
        <v>ADRI</v>
      </c>
      <c r="E14" s="2" t="s">
        <v>1290</v>
      </c>
      <c r="F14" s="8">
        <v>5</v>
      </c>
      <c r="G14" s="3" t="s">
        <v>1291</v>
      </c>
      <c r="H14" s="3" t="s">
        <v>1292</v>
      </c>
      <c r="I14" s="3" t="s">
        <v>1293</v>
      </c>
    </row>
    <row r="15" spans="1:11" ht="28.9" customHeight="1" x14ac:dyDescent="0.25">
      <c r="A15" s="2">
        <v>14</v>
      </c>
      <c r="B15" s="2" t="s">
        <v>1278</v>
      </c>
      <c r="C15" s="2" t="s">
        <v>1294</v>
      </c>
      <c r="D15" s="2" t="str">
        <f>+_xlfn.XLOOKUP(C15,Codes!C:C,Codes!B:B,)</f>
        <v>WEUR</v>
      </c>
      <c r="E15" s="2" t="s">
        <v>1295</v>
      </c>
      <c r="F15" s="8">
        <v>6</v>
      </c>
      <c r="G15" s="3" t="s">
        <v>1296</v>
      </c>
      <c r="H15" s="3" t="s">
        <v>1297</v>
      </c>
      <c r="I15" s="3" t="s">
        <v>1298</v>
      </c>
    </row>
    <row r="16" spans="1:11" x14ac:dyDescent="0.25">
      <c r="A16" s="2">
        <v>15</v>
      </c>
      <c r="B16" s="2" t="s">
        <v>1278</v>
      </c>
      <c r="C16" s="2" t="s">
        <v>1299</v>
      </c>
      <c r="D16" s="2" t="str">
        <f>+_xlfn.XLOOKUP(C16,Codes!C:C,Codes!B:B,)</f>
        <v>UKIR</v>
      </c>
      <c r="E16" s="2" t="s">
        <v>1300</v>
      </c>
      <c r="F16" s="8">
        <v>4</v>
      </c>
      <c r="G16" s="3" t="s">
        <v>1301</v>
      </c>
      <c r="H16" s="3" t="s">
        <v>1302</v>
      </c>
      <c r="I16" s="3" t="s">
        <v>1303</v>
      </c>
    </row>
    <row r="17" spans="1:9" ht="30" x14ac:dyDescent="0.25">
      <c r="A17" s="2">
        <v>16</v>
      </c>
      <c r="B17" s="2" t="s">
        <v>1278</v>
      </c>
      <c r="C17" s="2" t="s">
        <v>1304</v>
      </c>
      <c r="D17" s="2" t="str">
        <f>+_xlfn.XLOOKUP(C17,Codes!C:C,Codes!B:B,)</f>
        <v>CEUR</v>
      </c>
      <c r="E17" s="2" t="s">
        <v>1305</v>
      </c>
      <c r="F17" s="8">
        <v>7</v>
      </c>
      <c r="G17" s="3" t="s">
        <v>1306</v>
      </c>
      <c r="H17" s="3" t="s">
        <v>1307</v>
      </c>
      <c r="I17" s="3" t="s">
        <v>1308</v>
      </c>
    </row>
    <row r="18" spans="1:9" x14ac:dyDescent="0.25">
      <c r="A18" s="2">
        <v>17</v>
      </c>
      <c r="B18" s="2" t="s">
        <v>1278</v>
      </c>
      <c r="C18" s="2" t="s">
        <v>1309</v>
      </c>
      <c r="D18" s="2" t="str">
        <f>+_xlfn.XLOOKUP(C18,Codes!C:C,Codes!B:B,)</f>
        <v>NORD</v>
      </c>
      <c r="E18" s="2" t="s">
        <v>1310</v>
      </c>
      <c r="F18" s="8">
        <v>7</v>
      </c>
      <c r="G18" s="3" t="s">
        <v>1311</v>
      </c>
      <c r="H18" s="3" t="s">
        <v>1312</v>
      </c>
      <c r="I18" s="3" t="s">
        <v>1313</v>
      </c>
    </row>
    <row r="19" spans="1:9" ht="28.9" customHeight="1" x14ac:dyDescent="0.25">
      <c r="A19" s="2">
        <v>18</v>
      </c>
      <c r="B19" s="2" t="s">
        <v>1278</v>
      </c>
      <c r="C19" s="2" t="s">
        <v>1314</v>
      </c>
      <c r="D19" s="2" t="str">
        <f>+_xlfn.XLOOKUP(C19,Codes!C:C,Codes!B:B,)</f>
        <v>BAFI</v>
      </c>
      <c r="E19" t="s">
        <v>1315</v>
      </c>
      <c r="F19" s="8">
        <v>4</v>
      </c>
      <c r="G19" s="3" t="s">
        <v>1316</v>
      </c>
      <c r="H19" s="3" t="s">
        <v>1317</v>
      </c>
      <c r="I19" s="3" t="s">
        <v>1318</v>
      </c>
    </row>
    <row r="20" spans="1:9" ht="28.9" customHeight="1" x14ac:dyDescent="0.25">
      <c r="A20" s="2">
        <v>19</v>
      </c>
      <c r="B20" s="2" t="s">
        <v>1278</v>
      </c>
      <c r="C20" t="s">
        <v>1319</v>
      </c>
      <c r="D20" s="2" t="str">
        <f>+_xlfn.XLOOKUP(C20,Codes!C:C,Codes!B:B,)</f>
        <v>BEFR</v>
      </c>
      <c r="E20" s="2" t="s">
        <v>1320</v>
      </c>
      <c r="F20" s="8">
        <v>4</v>
      </c>
      <c r="G20" s="3" t="s">
        <v>1321</v>
      </c>
      <c r="H20" s="3" t="s">
        <v>1322</v>
      </c>
      <c r="I20" s="3" t="s">
        <v>1323</v>
      </c>
    </row>
    <row r="21" spans="1:9" x14ac:dyDescent="0.25">
      <c r="A21" s="2">
        <v>20</v>
      </c>
      <c r="B21" s="2" t="s">
        <v>1278</v>
      </c>
      <c r="C21" s="2" t="s">
        <v>1324</v>
      </c>
      <c r="D21" s="2" t="str">
        <f>+_xlfn.XLOOKUP(C21,Codes!C:C,Codes!B:B,)</f>
        <v>MEDI</v>
      </c>
      <c r="E21" s="2" t="s">
        <v>1325</v>
      </c>
      <c r="F21" s="8">
        <v>12</v>
      </c>
      <c r="G21" s="3" t="s">
        <v>1326</v>
      </c>
      <c r="H21" s="3" t="s">
        <v>1327</v>
      </c>
      <c r="I21" s="3" t="s">
        <v>1328</v>
      </c>
    </row>
    <row r="22" spans="1:9" ht="28.9" customHeight="1" x14ac:dyDescent="0.25">
      <c r="A22" s="2">
        <v>21</v>
      </c>
      <c r="B22" s="2" t="s">
        <v>1278</v>
      </c>
      <c r="C22" s="2" t="s">
        <v>1329</v>
      </c>
      <c r="D22" s="2" t="str">
        <f>+_xlfn.XLOOKUP(C22,Codes!C:C,Codes!B:B,)</f>
        <v>EEUR</v>
      </c>
      <c r="E22" s="2" t="s">
        <v>1330</v>
      </c>
      <c r="F22" s="8">
        <v>8</v>
      </c>
      <c r="G22" s="3" t="s">
        <v>1331</v>
      </c>
      <c r="H22" s="3" t="s">
        <v>1332</v>
      </c>
      <c r="I22" s="3" t="s">
        <v>1333</v>
      </c>
    </row>
    <row r="23" spans="1:9" ht="43.15" customHeight="1" x14ac:dyDescent="0.25">
      <c r="A23" s="2">
        <v>22</v>
      </c>
      <c r="B23" s="2" t="s">
        <v>1278</v>
      </c>
      <c r="C23" s="2" t="s">
        <v>1334</v>
      </c>
      <c r="D23" s="2" t="str">
        <f>+_xlfn.XLOOKUP(C23,Codes!C:C,Codes!B:B,)</f>
        <v>ALPN</v>
      </c>
      <c r="E23" s="10" t="s">
        <v>1335</v>
      </c>
      <c r="F23" s="8">
        <v>7</v>
      </c>
      <c r="G23" s="3" t="s">
        <v>1336</v>
      </c>
      <c r="H23" s="3" t="s">
        <v>1337</v>
      </c>
      <c r="I23" s="3" t="s">
        <v>1338</v>
      </c>
    </row>
    <row r="24" spans="1:9" x14ac:dyDescent="0.25">
      <c r="A24" s="2">
        <v>23</v>
      </c>
      <c r="B24" s="2" t="s">
        <v>1339</v>
      </c>
      <c r="C24" s="2" t="s">
        <v>1340</v>
      </c>
      <c r="D24" s="2" t="str">
        <f>+_xlfn.XLOOKUP(C24,Codes!C:C,Codes!B:B,)</f>
        <v>GULF</v>
      </c>
      <c r="E24" s="2" t="s">
        <v>1341</v>
      </c>
      <c r="F24" s="8">
        <v>6</v>
      </c>
      <c r="G24" s="3" t="s">
        <v>1342</v>
      </c>
      <c r="H24" s="3" t="s">
        <v>1343</v>
      </c>
      <c r="I24" s="3" t="s">
        <v>1344</v>
      </c>
    </row>
    <row r="25" spans="1:9" ht="28.9" customHeight="1" x14ac:dyDescent="0.25">
      <c r="A25" s="2">
        <v>24</v>
      </c>
      <c r="B25" s="2" t="s">
        <v>1339</v>
      </c>
      <c r="C25" s="2" t="s">
        <v>1345</v>
      </c>
      <c r="D25" s="2" t="str">
        <f>+_xlfn.XLOOKUP(C25,Codes!C:C,Codes!B:B,)</f>
        <v>LEVA</v>
      </c>
      <c r="E25" s="2" t="s">
        <v>1346</v>
      </c>
      <c r="F25" s="8">
        <v>4</v>
      </c>
      <c r="G25" s="3" t="s">
        <v>1347</v>
      </c>
      <c r="H25" s="3" t="s">
        <v>1348</v>
      </c>
      <c r="I25" s="3" t="s">
        <v>1349</v>
      </c>
    </row>
    <row r="26" spans="1:9" x14ac:dyDescent="0.25">
      <c r="A26" s="2">
        <v>25</v>
      </c>
      <c r="B26" s="2" t="s">
        <v>1339</v>
      </c>
      <c r="C26" s="2" t="s">
        <v>1350</v>
      </c>
      <c r="D26" s="2" t="str">
        <f>+_xlfn.XLOOKUP(C26,Codes!C:C,Codes!B:B,)</f>
        <v>CAUC</v>
      </c>
      <c r="E26" t="s">
        <v>1351</v>
      </c>
      <c r="F26" s="8">
        <v>3</v>
      </c>
      <c r="G26" s="3" t="s">
        <v>1352</v>
      </c>
      <c r="H26" s="3" t="s">
        <v>1353</v>
      </c>
      <c r="I26" s="3" t="s">
        <v>1354</v>
      </c>
    </row>
    <row r="27" spans="1:9" x14ac:dyDescent="0.25">
      <c r="A27" s="2">
        <v>26</v>
      </c>
      <c r="B27" s="2" t="s">
        <v>1339</v>
      </c>
      <c r="C27" t="s">
        <v>1355</v>
      </c>
      <c r="D27" s="2" t="str">
        <f>+_xlfn.XLOOKUP(C27,Codes!C:C,Codes!B:B,)</f>
        <v>CASI</v>
      </c>
      <c r="E27" s="2" t="s">
        <v>1356</v>
      </c>
      <c r="F27" s="8">
        <v>4</v>
      </c>
      <c r="G27" s="3" t="s">
        <v>1357</v>
      </c>
      <c r="H27" s="3" t="s">
        <v>1358</v>
      </c>
      <c r="I27" s="3" t="s">
        <v>1359</v>
      </c>
    </row>
    <row r="28" spans="1:9" ht="28.9" customHeight="1" x14ac:dyDescent="0.25">
      <c r="A28" s="2">
        <v>27</v>
      </c>
      <c r="B28" s="2" t="s">
        <v>1339</v>
      </c>
      <c r="C28" s="2" t="s">
        <v>1360</v>
      </c>
      <c r="D28" s="2" t="str">
        <f>+_xlfn.XLOOKUP(C28,Codes!C:C,Codes!B:B,)</f>
        <v>INDO</v>
      </c>
      <c r="E28" s="2" t="s">
        <v>1361</v>
      </c>
      <c r="F28" s="8">
        <v>4</v>
      </c>
      <c r="G28" s="3" t="s">
        <v>1362</v>
      </c>
      <c r="H28" s="3" t="s">
        <v>1363</v>
      </c>
      <c r="I28" s="3" t="s">
        <v>1364</v>
      </c>
    </row>
    <row r="29" spans="1:9" x14ac:dyDescent="0.25">
      <c r="A29" s="2">
        <v>28</v>
      </c>
      <c r="B29" s="2" t="s">
        <v>1339</v>
      </c>
      <c r="C29" s="2" t="s">
        <v>1365</v>
      </c>
      <c r="D29" s="2" t="str">
        <f>+_xlfn.XLOOKUP(C29,Codes!C:C,Codes!B:B,)</f>
        <v>SEAS</v>
      </c>
      <c r="E29" s="2" t="s">
        <v>1366</v>
      </c>
      <c r="F29" s="8">
        <v>8</v>
      </c>
      <c r="G29" s="3" t="s">
        <v>1367</v>
      </c>
      <c r="H29" s="3" t="s">
        <v>1368</v>
      </c>
      <c r="I29" s="3" t="s">
        <v>1369</v>
      </c>
    </row>
    <row r="30" spans="1:9" ht="30" x14ac:dyDescent="0.25">
      <c r="A30" s="2">
        <v>29</v>
      </c>
      <c r="B30" s="2" t="s">
        <v>1339</v>
      </c>
      <c r="C30" s="2" t="s">
        <v>1370</v>
      </c>
      <c r="D30" s="2" t="str">
        <f>+_xlfn.XLOOKUP(C30,Codes!C:C,Codes!B:B,)</f>
        <v>ISEA</v>
      </c>
      <c r="E30" s="2" t="s">
        <v>1371</v>
      </c>
      <c r="F30" s="8">
        <v>6</v>
      </c>
      <c r="G30" s="3" t="s">
        <v>1372</v>
      </c>
      <c r="H30" s="3" t="s">
        <v>1373</v>
      </c>
      <c r="I30" s="3" t="s">
        <v>1374</v>
      </c>
    </row>
    <row r="31" spans="1:9" ht="57.6" customHeight="1" x14ac:dyDescent="0.25">
      <c r="A31" s="2">
        <v>30</v>
      </c>
      <c r="B31" s="2" t="s">
        <v>1339</v>
      </c>
      <c r="C31" s="2" t="s">
        <v>1375</v>
      </c>
      <c r="D31" s="2" t="str">
        <f>+_xlfn.XLOOKUP(C31,Codes!C:C,Codes!B:B,)</f>
        <v>EASP</v>
      </c>
      <c r="E31" s="2" t="s">
        <v>1376</v>
      </c>
      <c r="F31" s="8">
        <v>4</v>
      </c>
      <c r="G31" s="3" t="s">
        <v>1377</v>
      </c>
      <c r="H31" s="3" t="s">
        <v>1378</v>
      </c>
      <c r="I31" s="3" t="s">
        <v>1379</v>
      </c>
    </row>
    <row r="32" spans="1:9" x14ac:dyDescent="0.25">
      <c r="A32" s="2">
        <v>31</v>
      </c>
      <c r="B32" s="2" t="s">
        <v>1339</v>
      </c>
      <c r="C32" s="2" t="s">
        <v>1380</v>
      </c>
      <c r="D32" s="2" t="str">
        <f>+_xlfn.XLOOKUP(C32,Codes!C:C,Codes!B:B,)</f>
        <v>JKTW</v>
      </c>
      <c r="E32" s="2" t="s">
        <v>1381</v>
      </c>
      <c r="F32" s="8">
        <v>3</v>
      </c>
      <c r="G32" s="3" t="s">
        <v>1382</v>
      </c>
      <c r="H32" s="3" t="s">
        <v>1383</v>
      </c>
      <c r="I32" s="3" t="s">
        <v>1384</v>
      </c>
    </row>
    <row r="33" spans="1:9" ht="30" x14ac:dyDescent="0.25">
      <c r="A33" s="2">
        <v>32</v>
      </c>
      <c r="B33" s="2" t="s">
        <v>1339</v>
      </c>
      <c r="C33" s="2" t="s">
        <v>1385</v>
      </c>
      <c r="D33" s="2" t="str">
        <f>+_xlfn.XLOOKUP(C33,Codes!C:C,Codes!B:B,)</f>
        <v>SUBC</v>
      </c>
      <c r="E33" s="2" t="s">
        <v>1386</v>
      </c>
      <c r="F33" s="8">
        <v>5</v>
      </c>
      <c r="G33" s="3" t="s">
        <v>1387</v>
      </c>
      <c r="H33" s="3" t="s">
        <v>1388</v>
      </c>
      <c r="I33" s="3" t="s">
        <v>1389</v>
      </c>
    </row>
    <row r="34" spans="1:9" x14ac:dyDescent="0.25">
      <c r="A34" s="2">
        <v>33</v>
      </c>
      <c r="B34" s="2" t="s">
        <v>1390</v>
      </c>
      <c r="C34" s="2" t="s">
        <v>1391</v>
      </c>
      <c r="D34" s="2" t="str">
        <f>+_xlfn.XLOOKUP(C34,Codes!C:C,Codes!B:B,)</f>
        <v>NAFR</v>
      </c>
      <c r="E34" s="2" t="s">
        <v>1392</v>
      </c>
      <c r="F34" s="8">
        <v>5</v>
      </c>
      <c r="G34" s="3" t="s">
        <v>1393</v>
      </c>
      <c r="H34" s="3" t="s">
        <v>1394</v>
      </c>
      <c r="I34" s="3" t="s">
        <v>1395</v>
      </c>
    </row>
    <row r="35" spans="1:9" ht="30" x14ac:dyDescent="0.25">
      <c r="A35" s="2">
        <v>34</v>
      </c>
      <c r="B35" s="2" t="s">
        <v>1390</v>
      </c>
      <c r="C35" s="2" t="s">
        <v>1396</v>
      </c>
      <c r="D35" s="2" t="str">
        <f>+_xlfn.XLOOKUP(C35,Codes!C:C,Codes!B:B,)</f>
        <v>EAFR</v>
      </c>
      <c r="E35" s="2" t="s">
        <v>1397</v>
      </c>
      <c r="F35" s="8">
        <v>5</v>
      </c>
      <c r="G35" s="3" t="s">
        <v>1398</v>
      </c>
      <c r="H35" s="3" t="s">
        <v>1399</v>
      </c>
      <c r="I35" s="3" t="s">
        <v>1400</v>
      </c>
    </row>
    <row r="36" spans="1:9" ht="30" x14ac:dyDescent="0.25">
      <c r="A36" s="2">
        <v>35</v>
      </c>
      <c r="B36" s="2" t="s">
        <v>1390</v>
      </c>
      <c r="C36" s="2" t="s">
        <v>1401</v>
      </c>
      <c r="D36" s="2" t="str">
        <f>+_xlfn.XLOOKUP(C36,Codes!C:C,Codes!B:B,)</f>
        <v>SAFR</v>
      </c>
      <c r="E36" s="2" t="s">
        <v>1402</v>
      </c>
      <c r="F36" s="8">
        <v>7</v>
      </c>
      <c r="G36" s="3" t="s">
        <v>1403</v>
      </c>
      <c r="H36" s="3" t="s">
        <v>1404</v>
      </c>
      <c r="I36" s="3" t="s">
        <v>1405</v>
      </c>
    </row>
    <row r="37" spans="1:9" x14ac:dyDescent="0.25">
      <c r="A37" s="2">
        <v>36</v>
      </c>
      <c r="B37" s="2" t="s">
        <v>1390</v>
      </c>
      <c r="C37" s="2" t="s">
        <v>1406</v>
      </c>
      <c r="D37" s="2" t="str">
        <f>+_xlfn.XLOOKUP(C37,Codes!C:C,Codes!B:B,)</f>
        <v>WAFR</v>
      </c>
      <c r="E37" s="2" t="s">
        <v>1407</v>
      </c>
      <c r="F37" s="8">
        <v>13</v>
      </c>
      <c r="G37" s="3" t="s">
        <v>1408</v>
      </c>
      <c r="H37" s="3" t="s">
        <v>1409</v>
      </c>
      <c r="I37" s="3" t="s">
        <v>1410</v>
      </c>
    </row>
    <row r="38" spans="1:9" x14ac:dyDescent="0.25">
      <c r="A38" s="2">
        <v>37</v>
      </c>
      <c r="B38" s="2" t="s">
        <v>1390</v>
      </c>
      <c r="C38" s="2" t="s">
        <v>1411</v>
      </c>
      <c r="D38" s="2" t="str">
        <f>+_xlfn.XLOOKUP(C38,Codes!C:C,Codes!B:B,)</f>
        <v>SAFI</v>
      </c>
      <c r="E38" s="2" t="s">
        <v>1412</v>
      </c>
      <c r="F38" s="8">
        <v>8</v>
      </c>
      <c r="G38" s="3" t="s">
        <v>1413</v>
      </c>
      <c r="H38" s="3" t="s">
        <v>1414</v>
      </c>
      <c r="I38" s="3" t="s">
        <v>1415</v>
      </c>
    </row>
    <row r="39" spans="1:9" ht="28.9" customHeight="1" x14ac:dyDescent="0.25">
      <c r="A39" s="2">
        <v>38</v>
      </c>
      <c r="B39" s="2" t="s">
        <v>1390</v>
      </c>
      <c r="C39" s="2" t="s">
        <v>1416</v>
      </c>
      <c r="D39" s="2" t="str">
        <f>+_xlfn.XLOOKUP(C39,Codes!C:C,Codes!B:B,)</f>
        <v>INOC</v>
      </c>
      <c r="E39" s="2" t="s">
        <v>1417</v>
      </c>
      <c r="F39" s="8">
        <v>5</v>
      </c>
      <c r="G39" s="3" t="s">
        <v>1418</v>
      </c>
      <c r="H39" s="3" t="s">
        <v>1419</v>
      </c>
      <c r="I39" s="3" t="s">
        <v>1420</v>
      </c>
    </row>
    <row r="40" spans="1:9" ht="28.9" customHeight="1" x14ac:dyDescent="0.25">
      <c r="A40" s="2">
        <v>39</v>
      </c>
      <c r="B40" s="2" t="s">
        <v>1390</v>
      </c>
      <c r="C40" s="2" t="s">
        <v>1421</v>
      </c>
      <c r="D40" s="2" t="str">
        <f>+_xlfn.XLOOKUP(C40,Codes!C:C,Codes!B:B,)</f>
        <v>CAFR</v>
      </c>
      <c r="E40" s="2" t="s">
        <v>1422</v>
      </c>
      <c r="F40" s="8">
        <v>6</v>
      </c>
      <c r="G40" s="3" t="s">
        <v>1423</v>
      </c>
      <c r="H40" s="3" t="s">
        <v>1424</v>
      </c>
      <c r="I40" s="3" t="s">
        <v>1425</v>
      </c>
    </row>
    <row r="41" spans="1:9" ht="30" x14ac:dyDescent="0.25">
      <c r="A41" s="2">
        <v>40</v>
      </c>
      <c r="B41" s="2" t="s">
        <v>1426</v>
      </c>
      <c r="C41" s="2" t="s">
        <v>1427</v>
      </c>
      <c r="D41" s="2" t="str">
        <f>+_xlfn.XLOOKUP(C41,Codes!C:C,Codes!B:B,)</f>
        <v>CAMR</v>
      </c>
      <c r="E41" s="2" t="s">
        <v>1428</v>
      </c>
      <c r="F41" s="8">
        <v>7</v>
      </c>
      <c r="G41" s="3" t="s">
        <v>1429</v>
      </c>
      <c r="H41" s="3" t="s">
        <v>1430</v>
      </c>
      <c r="I41" s="3" t="s">
        <v>1431</v>
      </c>
    </row>
    <row r="42" spans="1:9" x14ac:dyDescent="0.25">
      <c r="A42" s="2">
        <v>41</v>
      </c>
      <c r="B42" s="2" t="s">
        <v>1426</v>
      </c>
      <c r="C42" s="2" t="s">
        <v>1432</v>
      </c>
      <c r="D42" s="2" t="str">
        <f>+_xlfn.XLOOKUP(C42,Codes!C:C,Codes!B:B,)</f>
        <v>SAMR</v>
      </c>
      <c r="E42" s="2" t="s">
        <v>1433</v>
      </c>
      <c r="F42" s="8">
        <v>12</v>
      </c>
      <c r="G42" s="3" t="s">
        <v>1434</v>
      </c>
      <c r="H42" s="3" t="s">
        <v>1435</v>
      </c>
      <c r="I42" s="3" t="s">
        <v>1436</v>
      </c>
    </row>
    <row r="43" spans="1:9" x14ac:dyDescent="0.25">
      <c r="A43" s="2">
        <v>42</v>
      </c>
      <c r="B43" s="2" t="s">
        <v>1426</v>
      </c>
      <c r="C43" s="2" t="s">
        <v>1437</v>
      </c>
      <c r="D43" s="2" t="str">
        <f>+_xlfn.XLOOKUP(C43,Codes!C:C,Codes!B:B,)</f>
        <v>ANDS</v>
      </c>
      <c r="E43" s="2" t="s">
        <v>1438</v>
      </c>
      <c r="F43" s="8">
        <v>5</v>
      </c>
      <c r="G43" s="3" t="s">
        <v>1439</v>
      </c>
      <c r="H43" s="3" t="s">
        <v>1440</v>
      </c>
      <c r="I43" s="3" t="s">
        <v>1441</v>
      </c>
    </row>
    <row r="44" spans="1:9" x14ac:dyDescent="0.25">
      <c r="A44" s="2">
        <v>43</v>
      </c>
      <c r="B44" s="2" t="s">
        <v>1426</v>
      </c>
      <c r="C44" s="2" t="s">
        <v>1442</v>
      </c>
      <c r="D44" s="2" t="str">
        <f>+_xlfn.XLOOKUP(C44,Codes!C:C,Codes!B:B,)</f>
        <v>SCON</v>
      </c>
      <c r="E44" s="2" t="s">
        <v>1443</v>
      </c>
      <c r="F44" s="8">
        <v>5</v>
      </c>
      <c r="G44" s="3" t="s">
        <v>1444</v>
      </c>
      <c r="H44" s="3" t="s">
        <v>1445</v>
      </c>
      <c r="I44" s="3" t="s">
        <v>1446</v>
      </c>
    </row>
    <row r="45" spans="1:9" ht="30" x14ac:dyDescent="0.25">
      <c r="A45" s="2">
        <v>44</v>
      </c>
      <c r="B45" s="2" t="s">
        <v>1426</v>
      </c>
      <c r="C45" s="2" t="s">
        <v>1447</v>
      </c>
      <c r="D45" s="2" t="str">
        <f>+_xlfn.XLOOKUP(C45,Codes!C:C,Codes!B:B,)</f>
        <v>CCRU</v>
      </c>
      <c r="E45" s="2" t="s">
        <v>1448</v>
      </c>
      <c r="F45" s="8">
        <v>18</v>
      </c>
      <c r="G45" s="3" t="s">
        <v>1449</v>
      </c>
      <c r="H45" s="3" t="s">
        <v>1450</v>
      </c>
      <c r="I45" s="3" t="s">
        <v>1451</v>
      </c>
    </row>
    <row r="46" spans="1:9" ht="30" x14ac:dyDescent="0.25">
      <c r="A46" s="2">
        <v>45</v>
      </c>
      <c r="B46" s="2" t="s">
        <v>1426</v>
      </c>
      <c r="C46" s="2" t="s">
        <v>1452</v>
      </c>
      <c r="D46" s="2" t="str">
        <f>+_xlfn.XLOOKUP(C46,Codes!C:C,Codes!B:B,)</f>
        <v>LANT</v>
      </c>
      <c r="E46" s="2" t="s">
        <v>1453</v>
      </c>
      <c r="F46" s="8">
        <v>14</v>
      </c>
      <c r="G46" s="3" t="s">
        <v>1454</v>
      </c>
      <c r="H46" s="3" t="s">
        <v>1455</v>
      </c>
      <c r="I46" s="3" t="s">
        <v>1456</v>
      </c>
    </row>
    <row r="47" spans="1:9" ht="19.5" customHeight="1" x14ac:dyDescent="0.25">
      <c r="A47" s="2">
        <v>46</v>
      </c>
      <c r="B47" s="2" t="s">
        <v>1426</v>
      </c>
      <c r="C47" s="2" t="s">
        <v>1457</v>
      </c>
      <c r="D47" s="2" t="str">
        <f>+_xlfn.XLOOKUP(C47,Codes!C:C,Codes!B:B,)</f>
        <v>NATL</v>
      </c>
      <c r="E47" s="2" t="s">
        <v>1458</v>
      </c>
      <c r="F47" s="8">
        <v>6</v>
      </c>
      <c r="G47" s="3" t="s">
        <v>1459</v>
      </c>
      <c r="H47" s="3" t="s">
        <v>1460</v>
      </c>
      <c r="I47" s="3" t="s">
        <v>1461</v>
      </c>
    </row>
    <row r="48" spans="1:9" x14ac:dyDescent="0.25">
      <c r="A48" s="2">
        <v>47</v>
      </c>
      <c r="B48" s="2" t="s">
        <v>1426</v>
      </c>
      <c r="C48" s="2" t="s">
        <v>1462</v>
      </c>
      <c r="D48" s="2" t="str">
        <f>+_xlfn.XLOOKUP(C48,Codes!C:C,Codes!B:B,)</f>
        <v>USCA</v>
      </c>
      <c r="E48" s="2" t="s">
        <v>1463</v>
      </c>
      <c r="F48" s="8">
        <v>2</v>
      </c>
      <c r="G48" s="3" t="s">
        <v>1464</v>
      </c>
      <c r="H48" s="3" t="s">
        <v>1465</v>
      </c>
      <c r="I48" s="3" t="s">
        <v>1466</v>
      </c>
    </row>
    <row r="49" spans="1:9" ht="28.9" customHeight="1" x14ac:dyDescent="0.25">
      <c r="A49" s="2">
        <v>48</v>
      </c>
      <c r="B49" s="2" t="s">
        <v>1467</v>
      </c>
      <c r="C49" s="2" t="s">
        <v>1468</v>
      </c>
      <c r="D49" s="2" t="str">
        <f>+_xlfn.XLOOKUP(C49,Codes!C:C,Codes!B:B,)</f>
        <v>AUNZ</v>
      </c>
      <c r="E49" s="2" t="s">
        <v>1469</v>
      </c>
      <c r="F49" s="8">
        <v>2</v>
      </c>
      <c r="G49" s="3" t="s">
        <v>1470</v>
      </c>
      <c r="H49" s="3" t="s">
        <v>1471</v>
      </c>
      <c r="I49" s="3" t="s">
        <v>1472</v>
      </c>
    </row>
    <row r="50" spans="1:9" ht="28.9" customHeight="1" x14ac:dyDescent="0.25">
      <c r="A50" s="2">
        <v>49</v>
      </c>
      <c r="B50" s="2" t="s">
        <v>1467</v>
      </c>
      <c r="C50" s="2" t="s">
        <v>1473</v>
      </c>
      <c r="D50" s="2" t="str">
        <f>+_xlfn.XLOOKUP(C50,Codes!C:C,Codes!B:B,)</f>
        <v>SPAC</v>
      </c>
      <c r="E50" s="2" t="s">
        <v>1474</v>
      </c>
      <c r="F50" s="8">
        <v>7</v>
      </c>
      <c r="G50" s="3" t="s">
        <v>1475</v>
      </c>
      <c r="H50" s="3" t="s">
        <v>1476</v>
      </c>
      <c r="I50" s="3" t="s">
        <v>1477</v>
      </c>
    </row>
    <row r="51" spans="1:9" x14ac:dyDescent="0.25">
      <c r="A51" s="2">
        <v>50</v>
      </c>
      <c r="B51" s="2" t="s">
        <v>1467</v>
      </c>
      <c r="C51" s="2" t="s">
        <v>1478</v>
      </c>
      <c r="D51" s="2" t="str">
        <f>+_xlfn.XLOOKUP(C51,Codes!C:C,Codes!B:B,)</f>
        <v>PLON</v>
      </c>
      <c r="E51" s="2" t="s">
        <v>1479</v>
      </c>
      <c r="F51" s="8">
        <v>9</v>
      </c>
      <c r="G51" s="3" t="s">
        <v>1480</v>
      </c>
      <c r="H51" s="3" t="s">
        <v>1481</v>
      </c>
      <c r="I51" s="3" t="s">
        <v>1482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51"/>
  <sheetViews>
    <sheetView topLeftCell="A25" workbookViewId="0">
      <selection activeCell="D2" sqref="D2"/>
    </sheetView>
  </sheetViews>
  <sheetFormatPr defaultRowHeight="15" x14ac:dyDescent="0.25"/>
  <cols>
    <col min="1" max="1" width="5.28515625" customWidth="1"/>
    <col min="2" max="2" width="20" customWidth="1"/>
    <col min="3" max="3" width="24.28515625" customWidth="1"/>
    <col min="4" max="4" width="32.85546875" customWidth="1"/>
    <col min="5" max="6" width="32.85546875" bestFit="1" customWidth="1"/>
    <col min="7" max="7" width="30.42578125" bestFit="1" customWidth="1"/>
    <col min="8" max="8" width="32.28515625" bestFit="1" customWidth="1"/>
    <col min="9" max="9" width="33" bestFit="1" customWidth="1"/>
    <col min="10" max="10" width="38.5703125" bestFit="1" customWidth="1"/>
    <col min="11" max="11" width="31.5703125" bestFit="1" customWidth="1"/>
    <col min="12" max="13" width="32.42578125" bestFit="1" customWidth="1"/>
    <col min="14" max="14" width="25.42578125" customWidth="1"/>
    <col min="15" max="15" width="18.140625" customWidth="1"/>
  </cols>
  <sheetData>
    <row r="1" spans="1:15" x14ac:dyDescent="0.25">
      <c r="A1" s="5" t="s">
        <v>1217</v>
      </c>
      <c r="B1" s="5" t="s">
        <v>1483</v>
      </c>
      <c r="C1" s="5" t="s">
        <v>1219</v>
      </c>
      <c r="D1" s="5" t="s">
        <v>1484</v>
      </c>
      <c r="E1" s="5" t="s">
        <v>1221</v>
      </c>
      <c r="F1" s="18" t="s">
        <v>1</v>
      </c>
      <c r="G1" s="18" t="s">
        <v>2</v>
      </c>
      <c r="H1" s="18" t="s">
        <v>3</v>
      </c>
      <c r="I1" s="18" t="s">
        <v>4</v>
      </c>
      <c r="J1" s="18" t="s">
        <v>5</v>
      </c>
      <c r="K1" s="18" t="s">
        <v>6</v>
      </c>
      <c r="L1" s="18" t="s">
        <v>7</v>
      </c>
      <c r="M1" s="18" t="s">
        <v>8</v>
      </c>
      <c r="O1" s="19" t="s">
        <v>1485</v>
      </c>
    </row>
    <row r="2" spans="1:15" x14ac:dyDescent="0.25">
      <c r="A2" s="13">
        <f>+_xlfn.XLOOKUP(B2,Regions!D:D,Regions!A:A)</f>
        <v>1</v>
      </c>
      <c r="B2" s="13" t="s">
        <v>1486</v>
      </c>
      <c r="C2" s="13" t="s">
        <v>1228</v>
      </c>
      <c r="D2" s="13" t="s">
        <v>1228</v>
      </c>
      <c r="E2" s="13" t="str">
        <f>+_xlfn.XLOOKUP(C2,Regions!C:C,Regions!E:E,)</f>
        <v>Global</v>
      </c>
      <c r="F2" s="10" t="s">
        <v>1229</v>
      </c>
      <c r="G2" s="10" t="s">
        <v>1229</v>
      </c>
      <c r="H2" s="10" t="s">
        <v>1229</v>
      </c>
      <c r="I2" s="10" t="s">
        <v>1487</v>
      </c>
      <c r="J2" s="10" t="s">
        <v>1488</v>
      </c>
      <c r="K2" s="10" t="s">
        <v>1489</v>
      </c>
      <c r="L2" s="10" t="s">
        <v>1229</v>
      </c>
      <c r="M2" s="10" t="s">
        <v>1229</v>
      </c>
      <c r="N2" t="s">
        <v>1229</v>
      </c>
      <c r="O2" t="s">
        <v>1229</v>
      </c>
    </row>
    <row r="3" spans="1:15" x14ac:dyDescent="0.25">
      <c r="A3" s="13">
        <f>+_xlfn.XLOOKUP(B3,Regions!D:D,Regions!A:A)</f>
        <v>2</v>
      </c>
      <c r="B3" s="13" t="s">
        <v>1490</v>
      </c>
      <c r="C3" s="13" t="s">
        <v>1233</v>
      </c>
      <c r="D3" s="13" t="s">
        <v>1491</v>
      </c>
      <c r="E3" s="13" t="str">
        <f>+_xlfn.XLOOKUP(C3,Regions!C:C,Regions!E:E,)</f>
        <v>Europe</v>
      </c>
      <c r="F3" s="10" t="s">
        <v>1234</v>
      </c>
      <c r="G3" s="10" t="s">
        <v>1492</v>
      </c>
      <c r="H3" s="10" t="s">
        <v>1492</v>
      </c>
      <c r="I3" s="10" t="s">
        <v>1234</v>
      </c>
      <c r="J3" s="10" t="s">
        <v>1493</v>
      </c>
      <c r="K3" s="10" t="s">
        <v>1492</v>
      </c>
      <c r="L3" s="10" t="s">
        <v>1492</v>
      </c>
      <c r="M3" s="10" t="s">
        <v>1492</v>
      </c>
      <c r="N3" t="s">
        <v>1234</v>
      </c>
      <c r="O3" t="s">
        <v>1492</v>
      </c>
    </row>
    <row r="4" spans="1:15" x14ac:dyDescent="0.25">
      <c r="A4" s="13">
        <f>+_xlfn.XLOOKUP(B4,Regions!D:D,Regions!A:A)</f>
        <v>3</v>
      </c>
      <c r="B4" s="13" t="s">
        <v>1494</v>
      </c>
      <c r="C4" s="13" t="s">
        <v>1238</v>
      </c>
      <c r="D4" s="13" t="s">
        <v>1491</v>
      </c>
      <c r="E4" s="13" t="str">
        <f>+_xlfn.XLOOKUP(C4,Regions!C:C,Regions!E:E,)</f>
        <v>EU, UK &amp; Norway</v>
      </c>
      <c r="F4" s="10" t="s">
        <v>1239</v>
      </c>
      <c r="G4" s="10" t="s">
        <v>1495</v>
      </c>
      <c r="H4" s="10" t="s">
        <v>1496</v>
      </c>
      <c r="I4" s="10" t="s">
        <v>1497</v>
      </c>
      <c r="J4" s="10" t="s">
        <v>1498</v>
      </c>
      <c r="K4" s="10" t="s">
        <v>1499</v>
      </c>
      <c r="L4" s="10" t="s">
        <v>1500</v>
      </c>
      <c r="M4" s="10" t="s">
        <v>1501</v>
      </c>
      <c r="N4" t="s">
        <v>1239</v>
      </c>
      <c r="O4" t="s">
        <v>1495</v>
      </c>
    </row>
    <row r="5" spans="1:15" x14ac:dyDescent="0.25">
      <c r="A5" s="13">
        <f>+_xlfn.XLOOKUP(B5,Regions!D:D,Regions!A:A)</f>
        <v>4</v>
      </c>
      <c r="B5" s="13" t="s">
        <v>1502</v>
      </c>
      <c r="C5" s="13" t="s">
        <v>1243</v>
      </c>
      <c r="D5" s="13" t="s">
        <v>1491</v>
      </c>
      <c r="E5" s="13" t="str">
        <f>+_xlfn.XLOOKUP(C5,Regions!C:C,Regions!E:E,)</f>
        <v>North America</v>
      </c>
      <c r="F5" s="10" t="s">
        <v>1244</v>
      </c>
      <c r="G5" s="10" t="s">
        <v>1503</v>
      </c>
      <c r="H5" s="10" t="s">
        <v>1504</v>
      </c>
      <c r="I5" s="10" t="s">
        <v>1505</v>
      </c>
      <c r="J5" s="10" t="s">
        <v>1506</v>
      </c>
      <c r="K5" s="10" t="s">
        <v>1507</v>
      </c>
      <c r="L5" s="10" t="s">
        <v>1508</v>
      </c>
      <c r="M5" s="10" t="s">
        <v>1509</v>
      </c>
      <c r="N5" t="s">
        <v>1244</v>
      </c>
      <c r="O5" t="s">
        <v>1503</v>
      </c>
    </row>
    <row r="6" spans="1:15" x14ac:dyDescent="0.25">
      <c r="A6" s="13">
        <f>+_xlfn.XLOOKUP(B6,Regions!D:D,Regions!A:A)</f>
        <v>5</v>
      </c>
      <c r="B6" s="13" t="s">
        <v>1248</v>
      </c>
      <c r="C6" s="13" t="s">
        <v>1248</v>
      </c>
      <c r="D6" s="13" t="s">
        <v>1491</v>
      </c>
      <c r="E6" s="13" t="str">
        <f>+_xlfn.XLOOKUP(C6,Regions!C:C,Regions!E:E,)</f>
        <v>Middle East &amp; North Africa</v>
      </c>
      <c r="F6" s="10" t="s">
        <v>1249</v>
      </c>
      <c r="G6" s="10" t="s">
        <v>1510</v>
      </c>
      <c r="H6" s="10" t="s">
        <v>1511</v>
      </c>
      <c r="I6" s="10" t="s">
        <v>1512</v>
      </c>
      <c r="J6" s="10" t="s">
        <v>1513</v>
      </c>
      <c r="K6" s="10" t="s">
        <v>1514</v>
      </c>
      <c r="L6" s="10" t="s">
        <v>1515</v>
      </c>
      <c r="M6" s="10" t="s">
        <v>1516</v>
      </c>
      <c r="N6" t="s">
        <v>1249</v>
      </c>
      <c r="O6" t="s">
        <v>1510</v>
      </c>
    </row>
    <row r="7" spans="1:15" x14ac:dyDescent="0.25">
      <c r="A7" s="13">
        <f>+_xlfn.XLOOKUP(B7,Regions!D:D,Regions!A:A)</f>
        <v>6</v>
      </c>
      <c r="B7" s="13" t="s">
        <v>1517</v>
      </c>
      <c r="C7" s="13" t="s">
        <v>1253</v>
      </c>
      <c r="D7" s="13" t="s">
        <v>1491</v>
      </c>
      <c r="E7" s="13" t="str">
        <f>+_xlfn.XLOOKUP(C7,Regions!C:C,Regions!E:E,)</f>
        <v>Africa</v>
      </c>
      <c r="F7" s="10" t="s">
        <v>1254</v>
      </c>
      <c r="G7" s="10" t="s">
        <v>1518</v>
      </c>
      <c r="H7" s="10" t="s">
        <v>1518</v>
      </c>
      <c r="I7" s="10" t="s">
        <v>1519</v>
      </c>
      <c r="J7" s="10" t="s">
        <v>1520</v>
      </c>
      <c r="K7" s="10" t="s">
        <v>1254</v>
      </c>
      <c r="L7" s="10" t="s">
        <v>1521</v>
      </c>
      <c r="M7" s="10" t="s">
        <v>1521</v>
      </c>
      <c r="N7" t="s">
        <v>1254</v>
      </c>
      <c r="O7" t="s">
        <v>1518</v>
      </c>
    </row>
    <row r="8" spans="1:15" x14ac:dyDescent="0.25">
      <c r="A8" s="13">
        <f>+_xlfn.XLOOKUP(B8,Regions!D:D,Regions!A:A)</f>
        <v>7</v>
      </c>
      <c r="B8" s="13" t="s">
        <v>1522</v>
      </c>
      <c r="C8" s="13" t="s">
        <v>1258</v>
      </c>
      <c r="D8" s="13" t="s">
        <v>1491</v>
      </c>
      <c r="E8" s="13" t="str">
        <f>+_xlfn.XLOOKUP(C8,Regions!C:C,Regions!E:E,)</f>
        <v>Latin America</v>
      </c>
      <c r="F8" s="10" t="s">
        <v>1259</v>
      </c>
      <c r="G8" s="10" t="s">
        <v>1523</v>
      </c>
      <c r="H8" s="10" t="s">
        <v>1524</v>
      </c>
      <c r="I8" s="10" t="s">
        <v>1525</v>
      </c>
      <c r="J8" s="10" t="s">
        <v>1526</v>
      </c>
      <c r="K8" s="10" t="s">
        <v>1527</v>
      </c>
      <c r="L8" s="10" t="s">
        <v>1528</v>
      </c>
      <c r="M8" s="10" t="s">
        <v>1528</v>
      </c>
      <c r="N8" t="s">
        <v>1259</v>
      </c>
      <c r="O8" t="s">
        <v>1523</v>
      </c>
    </row>
    <row r="9" spans="1:15" x14ac:dyDescent="0.25">
      <c r="A9" s="13">
        <f>+_xlfn.XLOOKUP(B9,Regions!D:D,Regions!A:A)</f>
        <v>8</v>
      </c>
      <c r="B9" s="13" t="s">
        <v>1529</v>
      </c>
      <c r="C9" s="13" t="s">
        <v>1263</v>
      </c>
      <c r="D9" s="13" t="s">
        <v>1491</v>
      </c>
      <c r="E9" s="13" t="str">
        <f>+_xlfn.XLOOKUP(C9,Regions!C:C,Regions!E:E,)</f>
        <v>Oceania &amp; Pacific</v>
      </c>
      <c r="F9" s="10" t="s">
        <v>1264</v>
      </c>
      <c r="G9" s="10" t="s">
        <v>1530</v>
      </c>
      <c r="H9" s="10" t="s">
        <v>1531</v>
      </c>
      <c r="I9" s="10" t="s">
        <v>1532</v>
      </c>
      <c r="J9" s="10" t="s">
        <v>1533</v>
      </c>
      <c r="K9" s="10" t="s">
        <v>1534</v>
      </c>
      <c r="L9" s="10" t="s">
        <v>1535</v>
      </c>
      <c r="M9" s="10" t="s">
        <v>1536</v>
      </c>
      <c r="N9" t="s">
        <v>1264</v>
      </c>
      <c r="O9" t="s">
        <v>1530</v>
      </c>
    </row>
    <row r="10" spans="1:15" x14ac:dyDescent="0.25">
      <c r="A10" s="13">
        <f>+_xlfn.XLOOKUP(B10,Regions!D:D,Regions!A:A)</f>
        <v>9</v>
      </c>
      <c r="B10" s="13" t="s">
        <v>1268</v>
      </c>
      <c r="C10" s="13" t="s">
        <v>1268</v>
      </c>
      <c r="D10" s="13" t="s">
        <v>1491</v>
      </c>
      <c r="E10" s="13" t="str">
        <f>+_xlfn.XLOOKUP(C10,Regions!C:C,Regions!E:E,)</f>
        <v>Asia</v>
      </c>
      <c r="F10" s="10" t="s">
        <v>1269</v>
      </c>
      <c r="G10" s="10" t="s">
        <v>1537</v>
      </c>
      <c r="H10" s="10" t="s">
        <v>1538</v>
      </c>
      <c r="I10" s="10" t="s">
        <v>1539</v>
      </c>
      <c r="J10" s="10" t="s">
        <v>1540</v>
      </c>
      <c r="K10" s="10" t="s">
        <v>1269</v>
      </c>
      <c r="L10" s="10" t="s">
        <v>1269</v>
      </c>
      <c r="M10" s="10" t="s">
        <v>1541</v>
      </c>
      <c r="N10" t="s">
        <v>1269</v>
      </c>
      <c r="O10" t="s">
        <v>1537</v>
      </c>
    </row>
    <row r="11" spans="1:15" x14ac:dyDescent="0.25">
      <c r="A11" s="13">
        <f>+_xlfn.XLOOKUP(B11,Regions!D:D,Regions!A:A)</f>
        <v>10</v>
      </c>
      <c r="B11" s="13" t="s">
        <v>1542</v>
      </c>
      <c r="C11" s="13" t="s">
        <v>1273</v>
      </c>
      <c r="D11" s="13" t="s">
        <v>1491</v>
      </c>
      <c r="E11" s="13" t="str">
        <f>+_xlfn.XLOOKUP(C11,Regions!C:C,Regions!E:E,)</f>
        <v>Caribbean</v>
      </c>
      <c r="F11" s="10" t="s">
        <v>1274</v>
      </c>
      <c r="G11" s="10" t="s">
        <v>1543</v>
      </c>
      <c r="H11" s="10" t="s">
        <v>1544</v>
      </c>
      <c r="I11" s="10" t="s">
        <v>1545</v>
      </c>
      <c r="J11" s="10" t="s">
        <v>1546</v>
      </c>
      <c r="K11" s="10" t="s">
        <v>1547</v>
      </c>
      <c r="L11" s="10" t="s">
        <v>1548</v>
      </c>
      <c r="M11" s="10" t="s">
        <v>1548</v>
      </c>
      <c r="N11" t="s">
        <v>1274</v>
      </c>
      <c r="O11" t="s">
        <v>1543</v>
      </c>
    </row>
    <row r="12" spans="1:15" x14ac:dyDescent="0.25">
      <c r="A12" s="14">
        <f>+_xlfn.XLOOKUP(B12,Regions!D:D,Regions!A:A)</f>
        <v>11</v>
      </c>
      <c r="B12" s="14" t="s">
        <v>1549</v>
      </c>
      <c r="C12" s="14" t="s">
        <v>1279</v>
      </c>
      <c r="D12" s="14" t="s">
        <v>1550</v>
      </c>
      <c r="E12" s="14" t="str">
        <f>+_xlfn.XLOOKUP(C12,Regions!C:C,Regions!E:E,)</f>
        <v>Southeast Europe</v>
      </c>
      <c r="F12" s="10" t="s">
        <v>1280</v>
      </c>
      <c r="G12" s="10" t="s">
        <v>1551</v>
      </c>
      <c r="H12" s="10" t="s">
        <v>1552</v>
      </c>
      <c r="I12" s="10" t="s">
        <v>1553</v>
      </c>
      <c r="J12" s="10" t="s">
        <v>1554</v>
      </c>
      <c r="K12" s="10" t="s">
        <v>1555</v>
      </c>
      <c r="L12" s="10" t="s">
        <v>1556</v>
      </c>
      <c r="M12" s="10" t="s">
        <v>1557</v>
      </c>
      <c r="N12" t="s">
        <v>1280</v>
      </c>
      <c r="O12" t="s">
        <v>1551</v>
      </c>
    </row>
    <row r="13" spans="1:15" x14ac:dyDescent="0.25">
      <c r="A13" s="14">
        <f>+_xlfn.XLOOKUP(B13,Regions!D:D,Regions!A:A)</f>
        <v>12</v>
      </c>
      <c r="B13" s="14" t="s">
        <v>1558</v>
      </c>
      <c r="C13" s="14" t="s">
        <v>1284</v>
      </c>
      <c r="D13" s="14" t="s">
        <v>1550</v>
      </c>
      <c r="E13" s="14" t="str">
        <f>+_xlfn.XLOOKUP(C13,Regions!C:C,Regions!E:E,)</f>
        <v>Western Balkans</v>
      </c>
      <c r="F13" s="10" t="s">
        <v>1285</v>
      </c>
      <c r="G13" s="10" t="s">
        <v>1559</v>
      </c>
      <c r="H13" s="10" t="s">
        <v>1560</v>
      </c>
      <c r="I13" s="10" t="s">
        <v>1561</v>
      </c>
      <c r="J13" s="10" t="s">
        <v>1562</v>
      </c>
      <c r="K13" s="10" t="s">
        <v>1563</v>
      </c>
      <c r="L13" s="10" t="s">
        <v>1564</v>
      </c>
      <c r="M13" s="10" t="s">
        <v>1565</v>
      </c>
      <c r="N13" t="s">
        <v>1285</v>
      </c>
      <c r="O13" t="s">
        <v>1559</v>
      </c>
    </row>
    <row r="14" spans="1:15" x14ac:dyDescent="0.25">
      <c r="A14" s="14">
        <f>+_xlfn.XLOOKUP(B14,Regions!D:D,Regions!A:A)</f>
        <v>13</v>
      </c>
      <c r="B14" s="14" t="s">
        <v>1566</v>
      </c>
      <c r="C14" s="14" t="s">
        <v>1289</v>
      </c>
      <c r="D14" s="14" t="s">
        <v>1550</v>
      </c>
      <c r="E14" s="14" t="str">
        <f>+_xlfn.XLOOKUP(C14,Regions!C:C,Regions!E:E,)</f>
        <v>Adriatic Coast</v>
      </c>
      <c r="F14" s="10" t="s">
        <v>1290</v>
      </c>
      <c r="G14" s="10" t="s">
        <v>1567</v>
      </c>
      <c r="H14" s="10" t="s">
        <v>1568</v>
      </c>
      <c r="I14" s="10" t="s">
        <v>1569</v>
      </c>
      <c r="J14" s="10" t="s">
        <v>1570</v>
      </c>
      <c r="K14" s="10" t="s">
        <v>1571</v>
      </c>
      <c r="L14" s="10" t="s">
        <v>1572</v>
      </c>
      <c r="M14" s="10" t="s">
        <v>1573</v>
      </c>
      <c r="N14" t="s">
        <v>1290</v>
      </c>
      <c r="O14" t="s">
        <v>1567</v>
      </c>
    </row>
    <row r="15" spans="1:15" x14ac:dyDescent="0.25">
      <c r="A15" s="14">
        <f>+_xlfn.XLOOKUP(B15,Regions!D:D,Regions!A:A)</f>
        <v>14</v>
      </c>
      <c r="B15" s="14" t="s">
        <v>1574</v>
      </c>
      <c r="C15" s="14" t="s">
        <v>1294</v>
      </c>
      <c r="D15" s="14" t="s">
        <v>1550</v>
      </c>
      <c r="E15" s="14" t="str">
        <f>+_xlfn.XLOOKUP(C15,Regions!C:C,Regions!E:E,)</f>
        <v>Western Europe</v>
      </c>
      <c r="F15" s="10" t="s">
        <v>1295</v>
      </c>
      <c r="G15" s="10" t="s">
        <v>1575</v>
      </c>
      <c r="H15" s="10" t="s">
        <v>1576</v>
      </c>
      <c r="I15" s="10" t="s">
        <v>1577</v>
      </c>
      <c r="J15" s="10" t="s">
        <v>1578</v>
      </c>
      <c r="K15" s="10" t="s">
        <v>1579</v>
      </c>
      <c r="L15" s="10" t="s">
        <v>1580</v>
      </c>
      <c r="M15" s="10" t="s">
        <v>1581</v>
      </c>
      <c r="N15" t="s">
        <v>1295</v>
      </c>
      <c r="O15" t="s">
        <v>1575</v>
      </c>
    </row>
    <row r="16" spans="1:15" x14ac:dyDescent="0.25">
      <c r="A16" s="14">
        <f>+_xlfn.XLOOKUP(B16,Regions!D:D,Regions!A:A)</f>
        <v>15</v>
      </c>
      <c r="B16" s="14" t="s">
        <v>1582</v>
      </c>
      <c r="C16" s="14" t="s">
        <v>1299</v>
      </c>
      <c r="D16" s="14" t="s">
        <v>1550</v>
      </c>
      <c r="E16" s="14" t="str">
        <f>+_xlfn.XLOOKUP(C16,Regions!C:C,Regions!E:E,)</f>
        <v>UK &amp; Ireland</v>
      </c>
      <c r="F16" s="10" t="s">
        <v>1300</v>
      </c>
      <c r="G16" s="10" t="s">
        <v>1583</v>
      </c>
      <c r="H16" s="10" t="s">
        <v>1584</v>
      </c>
      <c r="I16" s="10" t="s">
        <v>1585</v>
      </c>
      <c r="J16" s="10" t="s">
        <v>1586</v>
      </c>
      <c r="K16" s="10" t="s">
        <v>1587</v>
      </c>
      <c r="L16" s="10" t="s">
        <v>1588</v>
      </c>
      <c r="M16" s="10" t="s">
        <v>1588</v>
      </c>
      <c r="N16" t="s">
        <v>1300</v>
      </c>
      <c r="O16" t="s">
        <v>1583</v>
      </c>
    </row>
    <row r="17" spans="1:15" x14ac:dyDescent="0.25">
      <c r="A17" s="14">
        <f>+_xlfn.XLOOKUP(B17,Regions!D:D,Regions!A:A)</f>
        <v>16</v>
      </c>
      <c r="B17" s="14" t="s">
        <v>1589</v>
      </c>
      <c r="C17" s="14" t="s">
        <v>1304</v>
      </c>
      <c r="D17" s="14" t="s">
        <v>1550</v>
      </c>
      <c r="E17" s="14" t="str">
        <f>+_xlfn.XLOOKUP(C17,Regions!C:C,Regions!E:E,)</f>
        <v>Central Europe</v>
      </c>
      <c r="F17" s="10" t="s">
        <v>1305</v>
      </c>
      <c r="G17" s="10" t="s">
        <v>1590</v>
      </c>
      <c r="H17" s="10" t="s">
        <v>1591</v>
      </c>
      <c r="I17" s="10" t="s">
        <v>1592</v>
      </c>
      <c r="J17" s="10" t="s">
        <v>1593</v>
      </c>
      <c r="K17" s="10" t="s">
        <v>1594</v>
      </c>
      <c r="L17" s="10" t="s">
        <v>1595</v>
      </c>
      <c r="M17" s="10" t="s">
        <v>1595</v>
      </c>
      <c r="N17" t="s">
        <v>1305</v>
      </c>
      <c r="O17" t="s">
        <v>1590</v>
      </c>
    </row>
    <row r="18" spans="1:15" x14ac:dyDescent="0.25">
      <c r="A18" s="14">
        <f>+_xlfn.XLOOKUP(B18,Regions!D:D,Regions!A:A)</f>
        <v>17</v>
      </c>
      <c r="B18" s="14" t="s">
        <v>1596</v>
      </c>
      <c r="C18" s="14" t="s">
        <v>1309</v>
      </c>
      <c r="D18" s="14" t="s">
        <v>1550</v>
      </c>
      <c r="E18" s="14" t="str">
        <f>+_xlfn.XLOOKUP(C18,Regions!C:C,Regions!E:E,)</f>
        <v>Nordics</v>
      </c>
      <c r="F18" s="10" t="s">
        <v>1310</v>
      </c>
      <c r="G18" s="10" t="s">
        <v>1597</v>
      </c>
      <c r="H18" s="10" t="s">
        <v>1598</v>
      </c>
      <c r="I18" s="10" t="s">
        <v>1599</v>
      </c>
      <c r="J18" s="10" t="s">
        <v>1600</v>
      </c>
      <c r="K18" s="10" t="s">
        <v>1601</v>
      </c>
      <c r="L18" s="10" t="s">
        <v>1602</v>
      </c>
      <c r="M18" s="10" t="s">
        <v>1603</v>
      </c>
      <c r="N18" t="s">
        <v>1310</v>
      </c>
      <c r="O18" t="s">
        <v>1597</v>
      </c>
    </row>
    <row r="19" spans="1:15" x14ac:dyDescent="0.25">
      <c r="A19" s="14">
        <f>+_xlfn.XLOOKUP(B19,Regions!D:D,Regions!A:A)</f>
        <v>18</v>
      </c>
      <c r="B19" s="14" t="s">
        <v>1604</v>
      </c>
      <c r="C19" s="14" t="s">
        <v>1314</v>
      </c>
      <c r="D19" s="14" t="s">
        <v>1550</v>
      </c>
      <c r="E19" s="14" t="str">
        <f>+_xlfn.XLOOKUP(C19,Regions!C:C,Regions!E:E,)</f>
        <v>Baltics &amp; Finland</v>
      </c>
      <c r="F19" s="10" t="s">
        <v>1315</v>
      </c>
      <c r="G19" s="10" t="s">
        <v>1605</v>
      </c>
      <c r="H19" s="10" t="s">
        <v>1606</v>
      </c>
      <c r="I19" s="10" t="s">
        <v>1607</v>
      </c>
      <c r="J19" s="10" t="s">
        <v>1608</v>
      </c>
      <c r="K19" s="10" t="s">
        <v>1609</v>
      </c>
      <c r="L19" s="10" t="s">
        <v>1610</v>
      </c>
      <c r="M19" s="10" t="s">
        <v>1611</v>
      </c>
      <c r="N19" t="s">
        <v>1315</v>
      </c>
      <c r="O19" t="s">
        <v>1605</v>
      </c>
    </row>
    <row r="20" spans="1:15" x14ac:dyDescent="0.25">
      <c r="A20" s="14">
        <f>+_xlfn.XLOOKUP(B20,Regions!D:D,Regions!A:A)</f>
        <v>19</v>
      </c>
      <c r="B20" s="14" t="s">
        <v>1612</v>
      </c>
      <c r="C20" s="14" t="s">
        <v>1319</v>
      </c>
      <c r="D20" s="14" t="s">
        <v>1550</v>
      </c>
      <c r="E20" s="14" t="str">
        <f>+_xlfn.XLOOKUP(C20,Regions!C:C,Regions!E:E,)</f>
        <v>Benelux &amp; France</v>
      </c>
      <c r="F20" s="10" t="s">
        <v>1320</v>
      </c>
      <c r="G20" s="10" t="s">
        <v>1613</v>
      </c>
      <c r="H20" s="10" t="s">
        <v>1614</v>
      </c>
      <c r="I20" s="10" t="s">
        <v>1615</v>
      </c>
      <c r="J20" s="10" t="s">
        <v>1616</v>
      </c>
      <c r="K20" s="10" t="s">
        <v>1617</v>
      </c>
      <c r="L20" s="10" t="s">
        <v>1618</v>
      </c>
      <c r="M20" s="10" t="s">
        <v>1619</v>
      </c>
      <c r="N20" t="s">
        <v>1320</v>
      </c>
      <c r="O20" t="s">
        <v>1613</v>
      </c>
    </row>
    <row r="21" spans="1:15" x14ac:dyDescent="0.25">
      <c r="A21" s="14">
        <f>+_xlfn.XLOOKUP(B21,Regions!D:D,Regions!A:A)</f>
        <v>20</v>
      </c>
      <c r="B21" s="14" t="s">
        <v>1620</v>
      </c>
      <c r="C21" s="14" t="s">
        <v>1324</v>
      </c>
      <c r="D21" s="14" t="s">
        <v>1550</v>
      </c>
      <c r="E21" s="14" t="str">
        <f>+_xlfn.XLOOKUP(C21,Regions!C:C,Regions!E:E,)</f>
        <v>Mediterranean Europe</v>
      </c>
      <c r="F21" s="10" t="s">
        <v>1325</v>
      </c>
      <c r="G21" s="10" t="s">
        <v>1621</v>
      </c>
      <c r="H21" s="10" t="s">
        <v>1622</v>
      </c>
      <c r="I21" s="10" t="s">
        <v>1623</v>
      </c>
      <c r="J21" s="10" t="s">
        <v>1624</v>
      </c>
      <c r="K21" s="10" t="s">
        <v>1625</v>
      </c>
      <c r="L21" s="10" t="s">
        <v>1626</v>
      </c>
      <c r="M21" s="10" t="s">
        <v>1627</v>
      </c>
      <c r="N21" t="s">
        <v>1325</v>
      </c>
      <c r="O21" t="s">
        <v>1621</v>
      </c>
    </row>
    <row r="22" spans="1:15" x14ac:dyDescent="0.25">
      <c r="A22" s="14">
        <f>+_xlfn.XLOOKUP(B22,Regions!D:D,Regions!A:A)</f>
        <v>21</v>
      </c>
      <c r="B22" s="14" t="s">
        <v>1628</v>
      </c>
      <c r="C22" s="14" t="s">
        <v>1329</v>
      </c>
      <c r="D22" s="14" t="s">
        <v>1550</v>
      </c>
      <c r="E22" s="14" t="str">
        <f>+_xlfn.XLOOKUP(C22,Regions!C:C,Regions!E:E,)</f>
        <v>Eastern Europe</v>
      </c>
      <c r="F22" s="10" t="s">
        <v>1330</v>
      </c>
      <c r="G22" s="10" t="s">
        <v>1629</v>
      </c>
      <c r="H22" s="10" t="s">
        <v>1630</v>
      </c>
      <c r="I22" s="10" t="s">
        <v>1631</v>
      </c>
      <c r="J22" s="10" t="s">
        <v>1632</v>
      </c>
      <c r="K22" s="10" t="s">
        <v>1633</v>
      </c>
      <c r="L22" s="10" t="s">
        <v>1634</v>
      </c>
      <c r="M22" s="10" t="s">
        <v>1635</v>
      </c>
      <c r="N22" t="s">
        <v>1330</v>
      </c>
      <c r="O22" t="s">
        <v>1629</v>
      </c>
    </row>
    <row r="23" spans="1:15" x14ac:dyDescent="0.25">
      <c r="A23" s="14">
        <f>+_xlfn.XLOOKUP(B23,Regions!D:D,Regions!A:A)</f>
        <v>22</v>
      </c>
      <c r="B23" s="14" t="s">
        <v>1636</v>
      </c>
      <c r="C23" s="14" t="s">
        <v>1334</v>
      </c>
      <c r="D23" s="14" t="s">
        <v>1550</v>
      </c>
      <c r="E23" s="14" t="str">
        <f>+_xlfn.XLOOKUP(C23,Regions!C:C,Regions!E:E,)</f>
        <v>Alpine Europe</v>
      </c>
      <c r="F23" s="10" t="s">
        <v>1335</v>
      </c>
      <c r="G23" s="10" t="s">
        <v>1637</v>
      </c>
      <c r="H23" s="10" t="s">
        <v>1638</v>
      </c>
      <c r="I23" s="10" t="s">
        <v>1639</v>
      </c>
      <c r="J23" s="10" t="s">
        <v>1640</v>
      </c>
      <c r="K23" s="10" t="s">
        <v>1641</v>
      </c>
      <c r="L23" s="10" t="s">
        <v>1641</v>
      </c>
      <c r="M23" s="10" t="s">
        <v>1642</v>
      </c>
      <c r="N23" t="s">
        <v>1335</v>
      </c>
      <c r="O23" t="s">
        <v>1637</v>
      </c>
    </row>
    <row r="24" spans="1:15" x14ac:dyDescent="0.25">
      <c r="A24" s="14">
        <f>+_xlfn.XLOOKUP(B24,Regions!D:D,Regions!A:A)</f>
        <v>23</v>
      </c>
      <c r="B24" s="14" t="s">
        <v>1643</v>
      </c>
      <c r="C24" s="14" t="s">
        <v>1340</v>
      </c>
      <c r="D24" s="14" t="s">
        <v>1550</v>
      </c>
      <c r="E24" s="14" t="str">
        <f>+_xlfn.XLOOKUP(C24,Regions!C:C,Regions!E:E,)</f>
        <v>Gulf Countries</v>
      </c>
      <c r="F24" s="10" t="s">
        <v>1341</v>
      </c>
      <c r="G24" s="10" t="s">
        <v>1644</v>
      </c>
      <c r="H24" s="10" t="s">
        <v>1645</v>
      </c>
      <c r="I24" s="10" t="s">
        <v>1646</v>
      </c>
      <c r="J24" s="10" t="s">
        <v>1647</v>
      </c>
      <c r="K24" s="10" t="s">
        <v>1648</v>
      </c>
      <c r="L24" s="10" t="s">
        <v>1649</v>
      </c>
      <c r="M24" s="10" t="s">
        <v>1650</v>
      </c>
      <c r="N24" t="s">
        <v>1341</v>
      </c>
      <c r="O24" t="s">
        <v>1644</v>
      </c>
    </row>
    <row r="25" spans="1:15" x14ac:dyDescent="0.25">
      <c r="A25" s="14">
        <f>+_xlfn.XLOOKUP(B25,Regions!D:D,Regions!A:A)</f>
        <v>24</v>
      </c>
      <c r="B25" s="14" t="s">
        <v>1651</v>
      </c>
      <c r="C25" s="14" t="s">
        <v>1345</v>
      </c>
      <c r="D25" s="14" t="s">
        <v>1550</v>
      </c>
      <c r="E25" s="14" t="str">
        <f>+_xlfn.XLOOKUP(C25,Regions!C:C,Regions!E:E,)</f>
        <v>Levant</v>
      </c>
      <c r="F25" s="10" t="s">
        <v>1346</v>
      </c>
      <c r="G25" s="10" t="s">
        <v>1346</v>
      </c>
      <c r="H25" s="10" t="s">
        <v>1652</v>
      </c>
      <c r="I25" s="10" t="s">
        <v>1346</v>
      </c>
      <c r="J25" s="10" t="s">
        <v>1653</v>
      </c>
      <c r="K25" s="10" t="s">
        <v>1652</v>
      </c>
      <c r="L25" s="10" t="s">
        <v>1652</v>
      </c>
      <c r="M25" s="10" t="s">
        <v>1652</v>
      </c>
      <c r="N25" t="s">
        <v>1346</v>
      </c>
      <c r="O25" t="s">
        <v>1346</v>
      </c>
    </row>
    <row r="26" spans="1:15" x14ac:dyDescent="0.25">
      <c r="A26" s="14">
        <f>+_xlfn.XLOOKUP(B26,Regions!D:D,Regions!A:A)</f>
        <v>25</v>
      </c>
      <c r="B26" s="14" t="s">
        <v>1654</v>
      </c>
      <c r="C26" s="14" t="s">
        <v>1350</v>
      </c>
      <c r="D26" s="14" t="s">
        <v>1550</v>
      </c>
      <c r="E26" s="14" t="str">
        <f>+_xlfn.XLOOKUP(C26,Regions!C:C,Regions!E:E,)</f>
        <v>Caucasus</v>
      </c>
      <c r="F26" s="10" t="s">
        <v>1351</v>
      </c>
      <c r="G26" s="10" t="s">
        <v>1655</v>
      </c>
      <c r="H26" s="10" t="s">
        <v>1656</v>
      </c>
      <c r="I26" s="10" t="s">
        <v>1657</v>
      </c>
      <c r="J26" s="10" t="s">
        <v>1658</v>
      </c>
      <c r="K26" s="10" t="s">
        <v>1659</v>
      </c>
      <c r="L26" s="10" t="s">
        <v>1660</v>
      </c>
      <c r="M26" s="10" t="s">
        <v>1660</v>
      </c>
      <c r="N26" t="s">
        <v>1351</v>
      </c>
      <c r="O26" t="s">
        <v>1655</v>
      </c>
    </row>
    <row r="27" spans="1:15" x14ac:dyDescent="0.25">
      <c r="A27" s="14">
        <f>+_xlfn.XLOOKUP(B27,Regions!D:D,Regions!A:A)</f>
        <v>26</v>
      </c>
      <c r="B27" s="14" t="s">
        <v>1661</v>
      </c>
      <c r="C27" s="14" t="s">
        <v>1355</v>
      </c>
      <c r="D27" s="14" t="s">
        <v>1550</v>
      </c>
      <c r="E27" s="14" t="str">
        <f>+_xlfn.XLOOKUP(C27,Regions!C:C,Regions!E:E,)</f>
        <v>Central Asia</v>
      </c>
      <c r="F27" s="10" t="s">
        <v>1356</v>
      </c>
      <c r="G27" s="10" t="s">
        <v>1662</v>
      </c>
      <c r="H27" s="10" t="s">
        <v>1663</v>
      </c>
      <c r="I27" s="10" t="s">
        <v>1664</v>
      </c>
      <c r="J27" s="10" t="s">
        <v>1665</v>
      </c>
      <c r="K27" s="10" t="s">
        <v>1666</v>
      </c>
      <c r="L27" s="10" t="s">
        <v>1667</v>
      </c>
      <c r="M27" s="10" t="s">
        <v>1668</v>
      </c>
      <c r="N27" t="s">
        <v>1356</v>
      </c>
      <c r="O27" t="s">
        <v>1662</v>
      </c>
    </row>
    <row r="28" spans="1:15" x14ac:dyDescent="0.25">
      <c r="A28" s="14">
        <f>+_xlfn.XLOOKUP(B28,Regions!D:D,Regions!A:A)</f>
        <v>27</v>
      </c>
      <c r="B28" s="14" t="s">
        <v>1669</v>
      </c>
      <c r="C28" s="14" t="s">
        <v>1360</v>
      </c>
      <c r="D28" s="14" t="s">
        <v>1550</v>
      </c>
      <c r="E28" s="14" t="str">
        <f>+_xlfn.XLOOKUP(C28,Regions!C:C,Regions!E:E,)</f>
        <v>Indochina</v>
      </c>
      <c r="F28" s="10" t="s">
        <v>1361</v>
      </c>
      <c r="G28" s="10" t="s">
        <v>1670</v>
      </c>
      <c r="H28" s="10" t="s">
        <v>1361</v>
      </c>
      <c r="I28" s="10" t="s">
        <v>1671</v>
      </c>
      <c r="J28" s="10" t="s">
        <v>1672</v>
      </c>
      <c r="K28" s="10" t="s">
        <v>1673</v>
      </c>
      <c r="L28" s="10" t="s">
        <v>1361</v>
      </c>
      <c r="M28" s="10" t="s">
        <v>1361</v>
      </c>
      <c r="N28" t="s">
        <v>1361</v>
      </c>
      <c r="O28" t="s">
        <v>1670</v>
      </c>
    </row>
    <row r="29" spans="1:15" x14ac:dyDescent="0.25">
      <c r="A29" s="14">
        <f>+_xlfn.XLOOKUP(B29,Regions!D:D,Regions!A:A)</f>
        <v>28</v>
      </c>
      <c r="B29" s="14" t="s">
        <v>1674</v>
      </c>
      <c r="C29" s="14" t="s">
        <v>1365</v>
      </c>
      <c r="D29" s="14" t="s">
        <v>1550</v>
      </c>
      <c r="E29" s="14" t="str">
        <f>+_xlfn.XLOOKUP(C29,Regions!C:C,Regions!E:E,)</f>
        <v>Southeast Asia</v>
      </c>
      <c r="F29" s="10" t="s">
        <v>1366</v>
      </c>
      <c r="G29" s="10" t="s">
        <v>1675</v>
      </c>
      <c r="H29" s="10" t="s">
        <v>1676</v>
      </c>
      <c r="I29" s="10" t="s">
        <v>1677</v>
      </c>
      <c r="J29" s="10" t="s">
        <v>1678</v>
      </c>
      <c r="K29" s="10" t="s">
        <v>1679</v>
      </c>
      <c r="L29" s="10" t="s">
        <v>1680</v>
      </c>
      <c r="M29" s="10" t="s">
        <v>1680</v>
      </c>
      <c r="N29" t="s">
        <v>1366</v>
      </c>
      <c r="O29" t="s">
        <v>1675</v>
      </c>
    </row>
    <row r="30" spans="1:15" x14ac:dyDescent="0.25">
      <c r="A30" s="14">
        <f>+_xlfn.XLOOKUP(B30,Regions!D:D,Regions!A:A)</f>
        <v>29</v>
      </c>
      <c r="B30" s="14" t="s">
        <v>1681</v>
      </c>
      <c r="C30" s="14" t="s">
        <v>1370</v>
      </c>
      <c r="D30" s="14" t="s">
        <v>1550</v>
      </c>
      <c r="E30" s="14" t="str">
        <f>+_xlfn.XLOOKUP(C30,Regions!C:C,Regions!E:E,)</f>
        <v>Island Southeast Asia</v>
      </c>
      <c r="F30" s="10" t="s">
        <v>1371</v>
      </c>
      <c r="G30" s="10" t="s">
        <v>1682</v>
      </c>
      <c r="H30" s="10" t="s">
        <v>1683</v>
      </c>
      <c r="I30" s="10" t="s">
        <v>1684</v>
      </c>
      <c r="J30" s="10" t="s">
        <v>1685</v>
      </c>
      <c r="K30" s="10" t="s">
        <v>1686</v>
      </c>
      <c r="L30" s="10" t="s">
        <v>1687</v>
      </c>
      <c r="M30" s="10" t="s">
        <v>1688</v>
      </c>
      <c r="N30" t="s">
        <v>1371</v>
      </c>
      <c r="O30" t="s">
        <v>1682</v>
      </c>
    </row>
    <row r="31" spans="1:15" x14ac:dyDescent="0.25">
      <c r="A31" s="14">
        <f>+_xlfn.XLOOKUP(B31,Regions!D:D,Regions!A:A)</f>
        <v>30</v>
      </c>
      <c r="B31" s="14" t="s">
        <v>1689</v>
      </c>
      <c r="C31" s="14" t="s">
        <v>1375</v>
      </c>
      <c r="D31" s="14" t="s">
        <v>1550</v>
      </c>
      <c r="E31" s="14" t="str">
        <f>+_xlfn.XLOOKUP(C31,Regions!C:C,Regions!E:E,)</f>
        <v>China, Hong Kong, Macao &amp; Taiwan</v>
      </c>
      <c r="F31" s="10" t="s">
        <v>1376</v>
      </c>
      <c r="G31" s="10" t="s">
        <v>1690</v>
      </c>
      <c r="H31" s="10" t="s">
        <v>1691</v>
      </c>
      <c r="I31" s="10" t="s">
        <v>1692</v>
      </c>
      <c r="J31" s="10" t="s">
        <v>1693</v>
      </c>
      <c r="K31" s="10" t="s">
        <v>1694</v>
      </c>
      <c r="L31" s="10" t="s">
        <v>1695</v>
      </c>
      <c r="M31" s="10" t="s">
        <v>1696</v>
      </c>
      <c r="N31" t="s">
        <v>1376</v>
      </c>
      <c r="O31" t="s">
        <v>1690</v>
      </c>
    </row>
    <row r="32" spans="1:15" x14ac:dyDescent="0.25">
      <c r="A32" s="14">
        <f>+_xlfn.XLOOKUP(B32,Regions!D:D,Regions!A:A)</f>
        <v>31</v>
      </c>
      <c r="B32" s="14" t="s">
        <v>1697</v>
      </c>
      <c r="C32" s="14" t="s">
        <v>1380</v>
      </c>
      <c r="D32" s="14" t="s">
        <v>1550</v>
      </c>
      <c r="E32" s="14" t="str">
        <f>+_xlfn.XLOOKUP(C32,Regions!C:C,Regions!E:E,)</f>
        <v>Japan, South Korea &amp; Taiwan</v>
      </c>
      <c r="F32" s="10" t="s">
        <v>1381</v>
      </c>
      <c r="G32" s="10" t="s">
        <v>1698</v>
      </c>
      <c r="H32" s="10" t="s">
        <v>1699</v>
      </c>
      <c r="I32" s="10" t="s">
        <v>1700</v>
      </c>
      <c r="J32" s="10" t="s">
        <v>1701</v>
      </c>
      <c r="K32" s="10" t="s">
        <v>1702</v>
      </c>
      <c r="L32" s="10" t="s">
        <v>1703</v>
      </c>
      <c r="M32" s="10" t="s">
        <v>1704</v>
      </c>
      <c r="N32" t="s">
        <v>1381</v>
      </c>
      <c r="O32" t="s">
        <v>1698</v>
      </c>
    </row>
    <row r="33" spans="1:15" x14ac:dyDescent="0.25">
      <c r="A33" s="14">
        <f>+_xlfn.XLOOKUP(B33,Regions!D:D,Regions!A:A)</f>
        <v>32</v>
      </c>
      <c r="B33" s="14" t="s">
        <v>1705</v>
      </c>
      <c r="C33" s="14" t="s">
        <v>1385</v>
      </c>
      <c r="D33" s="14" t="s">
        <v>1550</v>
      </c>
      <c r="E33" s="14" t="str">
        <f>+_xlfn.XLOOKUP(C33,Regions!C:C,Regions!E:E,)</f>
        <v>Indian Subcontinent</v>
      </c>
      <c r="F33" s="10" t="s">
        <v>1386</v>
      </c>
      <c r="G33" s="10" t="s">
        <v>1706</v>
      </c>
      <c r="H33" s="10" t="s">
        <v>1707</v>
      </c>
      <c r="I33" s="10" t="s">
        <v>1708</v>
      </c>
      <c r="J33" s="10" t="s">
        <v>1709</v>
      </c>
      <c r="K33" s="10" t="s">
        <v>1710</v>
      </c>
      <c r="L33" s="10" t="s">
        <v>1711</v>
      </c>
      <c r="M33" s="10" t="s">
        <v>1710</v>
      </c>
      <c r="N33" t="e">
        <v>#N/A</v>
      </c>
      <c r="O33" t="s">
        <v>1706</v>
      </c>
    </row>
    <row r="34" spans="1:15" x14ac:dyDescent="0.25">
      <c r="A34" s="14">
        <f>+_xlfn.XLOOKUP(B34,Regions!D:D,Regions!A:A)</f>
        <v>33</v>
      </c>
      <c r="B34" s="14" t="s">
        <v>1712</v>
      </c>
      <c r="C34" s="14" t="s">
        <v>1391</v>
      </c>
      <c r="D34" s="14" t="s">
        <v>1550</v>
      </c>
      <c r="E34" s="14" t="str">
        <f>+_xlfn.XLOOKUP(C34,Regions!C:C,Regions!E:E,)</f>
        <v>North Africa</v>
      </c>
      <c r="F34" s="10" t="s">
        <v>1392</v>
      </c>
      <c r="G34" s="10" t="s">
        <v>1713</v>
      </c>
      <c r="H34" s="10" t="s">
        <v>1714</v>
      </c>
      <c r="I34" s="10" t="s">
        <v>1715</v>
      </c>
      <c r="J34" s="10" t="s">
        <v>1716</v>
      </c>
      <c r="K34" s="10" t="s">
        <v>1717</v>
      </c>
      <c r="L34" s="10" t="s">
        <v>1718</v>
      </c>
      <c r="M34" s="10" t="s">
        <v>1719</v>
      </c>
      <c r="N34" t="s">
        <v>1392</v>
      </c>
      <c r="O34" t="s">
        <v>1713</v>
      </c>
    </row>
    <row r="35" spans="1:15" x14ac:dyDescent="0.25">
      <c r="A35" s="14">
        <f>+_xlfn.XLOOKUP(B35,Regions!D:D,Regions!A:A)</f>
        <v>34</v>
      </c>
      <c r="B35" s="14" t="s">
        <v>1720</v>
      </c>
      <c r="C35" s="14" t="s">
        <v>1396</v>
      </c>
      <c r="D35" s="14" t="s">
        <v>1550</v>
      </c>
      <c r="E35" s="14" t="str">
        <f>+_xlfn.XLOOKUP(C35,Regions!C:C,Regions!E:E,)</f>
        <v>East Africa</v>
      </c>
      <c r="F35" s="10" t="s">
        <v>1397</v>
      </c>
      <c r="G35" s="10" t="s">
        <v>1721</v>
      </c>
      <c r="H35" s="10" t="s">
        <v>1722</v>
      </c>
      <c r="I35" s="10" t="s">
        <v>1723</v>
      </c>
      <c r="J35" s="10" t="s">
        <v>1724</v>
      </c>
      <c r="K35" s="10" t="s">
        <v>1725</v>
      </c>
      <c r="L35" s="10" t="s">
        <v>1726</v>
      </c>
      <c r="M35" s="10" t="s">
        <v>1726</v>
      </c>
      <c r="N35" t="s">
        <v>1397</v>
      </c>
      <c r="O35" t="s">
        <v>1721</v>
      </c>
    </row>
    <row r="36" spans="1:15" x14ac:dyDescent="0.25">
      <c r="A36" s="14">
        <f>+_xlfn.XLOOKUP(B36,Regions!D:D,Regions!A:A)</f>
        <v>35</v>
      </c>
      <c r="B36" s="14" t="s">
        <v>1727</v>
      </c>
      <c r="C36" s="14" t="s">
        <v>1401</v>
      </c>
      <c r="D36" s="14" t="s">
        <v>1550</v>
      </c>
      <c r="E36" s="14" t="str">
        <f>+_xlfn.XLOOKUP(C36,Regions!C:C,Regions!E:E,)</f>
        <v>Southern Africa</v>
      </c>
      <c r="F36" s="10" t="s">
        <v>1402</v>
      </c>
      <c r="G36" s="10" t="s">
        <v>1728</v>
      </c>
      <c r="H36" s="10" t="s">
        <v>1729</v>
      </c>
      <c r="I36" s="10" t="s">
        <v>1730</v>
      </c>
      <c r="J36" s="10" t="s">
        <v>1731</v>
      </c>
      <c r="K36" s="10" t="s">
        <v>1732</v>
      </c>
      <c r="L36" s="10" t="s">
        <v>1733</v>
      </c>
      <c r="M36" s="10" t="s">
        <v>1733</v>
      </c>
      <c r="N36" t="s">
        <v>1402</v>
      </c>
      <c r="O36" t="s">
        <v>1728</v>
      </c>
    </row>
    <row r="37" spans="1:15" x14ac:dyDescent="0.25">
      <c r="A37" s="14">
        <f>+_xlfn.XLOOKUP(B37,Regions!D:D,Regions!A:A)</f>
        <v>36</v>
      </c>
      <c r="B37" s="14" t="s">
        <v>1734</v>
      </c>
      <c r="C37" s="14" t="s">
        <v>1406</v>
      </c>
      <c r="D37" s="14" t="s">
        <v>1550</v>
      </c>
      <c r="E37" s="14" t="str">
        <f>+_xlfn.XLOOKUP(C37,Regions!C:C,Regions!E:E,)</f>
        <v>West Africa</v>
      </c>
      <c r="F37" s="10" t="s">
        <v>1407</v>
      </c>
      <c r="G37" s="10" t="s">
        <v>1735</v>
      </c>
      <c r="H37" s="10" t="s">
        <v>1736</v>
      </c>
      <c r="I37" s="10" t="s">
        <v>1737</v>
      </c>
      <c r="J37" s="10" t="s">
        <v>1738</v>
      </c>
      <c r="K37" s="10" t="s">
        <v>1739</v>
      </c>
      <c r="L37" s="10" t="s">
        <v>1740</v>
      </c>
      <c r="M37" s="10" t="s">
        <v>1741</v>
      </c>
      <c r="N37" t="s">
        <v>1407</v>
      </c>
      <c r="O37" t="s">
        <v>1735</v>
      </c>
    </row>
    <row r="38" spans="1:15" x14ac:dyDescent="0.25">
      <c r="A38" s="14">
        <f>+_xlfn.XLOOKUP(B38,Regions!D:D,Regions!A:A)</f>
        <v>37</v>
      </c>
      <c r="B38" s="14" t="s">
        <v>1742</v>
      </c>
      <c r="C38" s="14" t="s">
        <v>1411</v>
      </c>
      <c r="D38" s="14" t="s">
        <v>1550</v>
      </c>
      <c r="E38" s="14" t="str">
        <f>+_xlfn.XLOOKUP(C38,Regions!C:C,Regions!E:E,)</f>
        <v>African Safari</v>
      </c>
      <c r="F38" s="10" t="s">
        <v>1412</v>
      </c>
      <c r="G38" s="10" t="s">
        <v>1743</v>
      </c>
      <c r="H38" s="10" t="s">
        <v>1744</v>
      </c>
      <c r="I38" s="10" t="s">
        <v>1745</v>
      </c>
      <c r="J38" s="10" t="s">
        <v>1746</v>
      </c>
      <c r="K38" s="10" t="s">
        <v>1747</v>
      </c>
      <c r="L38" s="10" t="s">
        <v>1747</v>
      </c>
      <c r="M38" s="10" t="s">
        <v>1748</v>
      </c>
      <c r="N38" t="s">
        <v>1412</v>
      </c>
      <c r="O38" t="s">
        <v>1743</v>
      </c>
    </row>
    <row r="39" spans="1:15" x14ac:dyDescent="0.25">
      <c r="A39" s="14">
        <f>+_xlfn.XLOOKUP(B39,Regions!D:D,Regions!A:A)</f>
        <v>38</v>
      </c>
      <c r="B39" s="14" t="s">
        <v>1749</v>
      </c>
      <c r="C39" s="14" t="s">
        <v>1416</v>
      </c>
      <c r="D39" s="14" t="s">
        <v>1550</v>
      </c>
      <c r="E39" s="14" t="str">
        <f>+_xlfn.XLOOKUP(C39,Regions!C:C,Regions!E:E,)</f>
        <v>Indian Ocean Islands</v>
      </c>
      <c r="F39" s="10" t="s">
        <v>1417</v>
      </c>
      <c r="G39" s="10" t="s">
        <v>1750</v>
      </c>
      <c r="H39" s="10" t="s">
        <v>1751</v>
      </c>
      <c r="I39" s="10" t="s">
        <v>1752</v>
      </c>
      <c r="J39" s="10" t="s">
        <v>1753</v>
      </c>
      <c r="K39" s="10" t="s">
        <v>1754</v>
      </c>
      <c r="L39" s="10" t="s">
        <v>1755</v>
      </c>
      <c r="M39" s="10" t="s">
        <v>1756</v>
      </c>
      <c r="N39" t="e">
        <v>#N/A</v>
      </c>
      <c r="O39" t="s">
        <v>1750</v>
      </c>
    </row>
    <row r="40" spans="1:15" x14ac:dyDescent="0.25">
      <c r="A40" s="14">
        <f>+_xlfn.XLOOKUP(B40,Regions!D:D,Regions!A:A)</f>
        <v>39</v>
      </c>
      <c r="B40" s="14" t="s">
        <v>1757</v>
      </c>
      <c r="C40" s="14" t="s">
        <v>1421</v>
      </c>
      <c r="D40" s="14" t="s">
        <v>1550</v>
      </c>
      <c r="E40" s="14" t="str">
        <f>+_xlfn.XLOOKUP(C40,Regions!C:C,Regions!E:E,)</f>
        <v>Central Africa</v>
      </c>
      <c r="F40" s="10" t="s">
        <v>1422</v>
      </c>
      <c r="G40" s="10" t="s">
        <v>1758</v>
      </c>
      <c r="H40" s="10" t="s">
        <v>1759</v>
      </c>
      <c r="I40" s="10" t="s">
        <v>1760</v>
      </c>
      <c r="J40" s="10" t="s">
        <v>1761</v>
      </c>
      <c r="K40" s="10" t="s">
        <v>1762</v>
      </c>
      <c r="L40" s="10" t="s">
        <v>1763</v>
      </c>
      <c r="M40" s="10" t="s">
        <v>1763</v>
      </c>
      <c r="N40" t="e">
        <v>#N/A</v>
      </c>
      <c r="O40" t="s">
        <v>1758</v>
      </c>
    </row>
    <row r="41" spans="1:15" x14ac:dyDescent="0.25">
      <c r="A41" s="14">
        <f>+_xlfn.XLOOKUP(B41,Regions!D:D,Regions!A:A)</f>
        <v>40</v>
      </c>
      <c r="B41" s="14" t="s">
        <v>1764</v>
      </c>
      <c r="C41" s="14" t="s">
        <v>1427</v>
      </c>
      <c r="D41" s="14" t="s">
        <v>1550</v>
      </c>
      <c r="E41" s="14" t="str">
        <f>+_xlfn.XLOOKUP(C41,Regions!C:C,Regions!E:E,)</f>
        <v>Central America</v>
      </c>
      <c r="F41" s="10" t="s">
        <v>1428</v>
      </c>
      <c r="G41" s="10" t="s">
        <v>1765</v>
      </c>
      <c r="H41" s="10" t="s">
        <v>1766</v>
      </c>
      <c r="I41" s="10" t="s">
        <v>1767</v>
      </c>
      <c r="J41" s="10" t="s">
        <v>1768</v>
      </c>
      <c r="K41" s="10" t="s">
        <v>1769</v>
      </c>
      <c r="L41" s="10" t="s">
        <v>1770</v>
      </c>
      <c r="M41" s="10" t="s">
        <v>1771</v>
      </c>
      <c r="N41" t="s">
        <v>1428</v>
      </c>
      <c r="O41" t="s">
        <v>1765</v>
      </c>
    </row>
    <row r="42" spans="1:15" x14ac:dyDescent="0.25">
      <c r="A42" s="14">
        <f>+_xlfn.XLOOKUP(B42,Regions!D:D,Regions!A:A)</f>
        <v>41</v>
      </c>
      <c r="B42" s="14" t="s">
        <v>1772</v>
      </c>
      <c r="C42" s="14" t="s">
        <v>1432</v>
      </c>
      <c r="D42" s="14" t="s">
        <v>1550</v>
      </c>
      <c r="E42" s="14" t="str">
        <f>+_xlfn.XLOOKUP(C42,Regions!C:C,Regions!E:E,)</f>
        <v>South America</v>
      </c>
      <c r="F42" s="10" t="s">
        <v>1433</v>
      </c>
      <c r="G42" s="10" t="s">
        <v>1773</v>
      </c>
      <c r="H42" s="10" t="s">
        <v>1774</v>
      </c>
      <c r="I42" s="10" t="s">
        <v>1775</v>
      </c>
      <c r="J42" s="10" t="s">
        <v>1776</v>
      </c>
      <c r="K42" s="10" t="s">
        <v>1777</v>
      </c>
      <c r="L42" s="10" t="s">
        <v>1778</v>
      </c>
      <c r="M42" s="10" t="s">
        <v>1779</v>
      </c>
      <c r="N42" t="s">
        <v>1433</v>
      </c>
      <c r="O42" t="s">
        <v>1773</v>
      </c>
    </row>
    <row r="43" spans="1:15" x14ac:dyDescent="0.25">
      <c r="A43" s="14">
        <f>+_xlfn.XLOOKUP(B43,Regions!D:D,Regions!A:A)</f>
        <v>42</v>
      </c>
      <c r="B43" s="14" t="s">
        <v>1780</v>
      </c>
      <c r="C43" s="14" t="s">
        <v>1437</v>
      </c>
      <c r="D43" s="14" t="s">
        <v>1550</v>
      </c>
      <c r="E43" s="14" t="str">
        <f>+_xlfn.XLOOKUP(C43,Regions!C:C,Regions!E:E,)</f>
        <v>Andean Region</v>
      </c>
      <c r="F43" s="10" t="s">
        <v>1438</v>
      </c>
      <c r="G43" s="10" t="s">
        <v>1781</v>
      </c>
      <c r="H43" s="10" t="s">
        <v>1782</v>
      </c>
      <c r="I43" s="10" t="s">
        <v>1783</v>
      </c>
      <c r="J43" s="10" t="s">
        <v>1784</v>
      </c>
      <c r="K43" s="10" t="s">
        <v>1785</v>
      </c>
      <c r="L43" s="10" t="s">
        <v>1786</v>
      </c>
      <c r="M43" s="10" t="s">
        <v>1787</v>
      </c>
      <c r="N43" t="s">
        <v>1438</v>
      </c>
      <c r="O43" t="s">
        <v>1781</v>
      </c>
    </row>
    <row r="44" spans="1:15" x14ac:dyDescent="0.25">
      <c r="A44" s="14">
        <f>+_xlfn.XLOOKUP(B44,Regions!D:D,Regions!A:A)</f>
        <v>43</v>
      </c>
      <c r="B44" s="14" t="s">
        <v>1788</v>
      </c>
      <c r="C44" s="14" t="s">
        <v>1442</v>
      </c>
      <c r="D44" s="14" t="s">
        <v>1550</v>
      </c>
      <c r="E44" s="14" t="str">
        <f>+_xlfn.XLOOKUP(C44,Regions!C:C,Regions!E:E,)</f>
        <v>Southern South America</v>
      </c>
      <c r="F44" s="10" t="s">
        <v>1443</v>
      </c>
      <c r="G44" s="10" t="s">
        <v>1789</v>
      </c>
      <c r="H44" s="10" t="s">
        <v>1790</v>
      </c>
      <c r="I44" s="10" t="s">
        <v>1791</v>
      </c>
      <c r="J44" s="10" t="s">
        <v>1792</v>
      </c>
      <c r="K44" s="10" t="s">
        <v>1793</v>
      </c>
      <c r="L44" s="10" t="s">
        <v>1794</v>
      </c>
      <c r="M44" s="10" t="s">
        <v>1795</v>
      </c>
      <c r="N44" t="s">
        <v>1443</v>
      </c>
      <c r="O44" t="s">
        <v>1789</v>
      </c>
    </row>
    <row r="45" spans="1:15" x14ac:dyDescent="0.25">
      <c r="A45" s="14">
        <f>+_xlfn.XLOOKUP(B45,Regions!D:D,Regions!A:A)</f>
        <v>44</v>
      </c>
      <c r="B45" s="14" t="s">
        <v>1796</v>
      </c>
      <c r="C45" s="14" t="s">
        <v>1447</v>
      </c>
      <c r="D45" s="14" t="s">
        <v>1550</v>
      </c>
      <c r="E45" s="14" t="str">
        <f>+_xlfn.XLOOKUP(C45,Regions!C:C,Regions!E:E,)</f>
        <v>Caribbean Cruise</v>
      </c>
      <c r="F45" s="10" t="s">
        <v>1448</v>
      </c>
      <c r="G45" s="10" t="s">
        <v>1797</v>
      </c>
      <c r="H45" s="10" t="s">
        <v>1798</v>
      </c>
      <c r="I45" s="10" t="s">
        <v>1799</v>
      </c>
      <c r="J45" s="10" t="s">
        <v>1800</v>
      </c>
      <c r="K45" s="10" t="s">
        <v>1801</v>
      </c>
      <c r="L45" s="10" t="s">
        <v>1802</v>
      </c>
      <c r="M45" s="10" t="s">
        <v>1803</v>
      </c>
      <c r="N45" t="s">
        <v>1448</v>
      </c>
      <c r="O45" t="s">
        <v>1797</v>
      </c>
    </row>
    <row r="46" spans="1:15" x14ac:dyDescent="0.25">
      <c r="A46" s="14">
        <f>+_xlfn.XLOOKUP(B46,Regions!D:D,Regions!A:A)</f>
        <v>45</v>
      </c>
      <c r="B46" s="14" t="s">
        <v>1804</v>
      </c>
      <c r="C46" s="14" t="s">
        <v>1452</v>
      </c>
      <c r="D46" s="14" t="s">
        <v>1550</v>
      </c>
      <c r="E46" s="14" t="str">
        <f>+_xlfn.XLOOKUP(C46,Regions!C:C,Regions!E:E,)</f>
        <v>Lesser Antilles</v>
      </c>
      <c r="F46" s="10" t="s">
        <v>1453</v>
      </c>
      <c r="G46" s="10" t="s">
        <v>1805</v>
      </c>
      <c r="H46" s="10" t="s">
        <v>1806</v>
      </c>
      <c r="I46" s="10" t="s">
        <v>1807</v>
      </c>
      <c r="J46" s="10" t="s">
        <v>1808</v>
      </c>
      <c r="K46" s="10" t="s">
        <v>1809</v>
      </c>
      <c r="L46" s="10" t="s">
        <v>1810</v>
      </c>
      <c r="M46" s="10" t="s">
        <v>1811</v>
      </c>
      <c r="N46" t="s">
        <v>1453</v>
      </c>
      <c r="O46" t="s">
        <v>1805</v>
      </c>
    </row>
    <row r="47" spans="1:15" x14ac:dyDescent="0.25">
      <c r="A47" s="14">
        <f>+_xlfn.XLOOKUP(B47,Regions!D:D,Regions!A:A)</f>
        <v>46</v>
      </c>
      <c r="B47" s="14" t="s">
        <v>1812</v>
      </c>
      <c r="C47" s="14" t="s">
        <v>1457</v>
      </c>
      <c r="D47" s="14" t="s">
        <v>1550</v>
      </c>
      <c r="E47" s="14" t="str">
        <f>+_xlfn.XLOOKUP(C47,Regions!C:C,Regions!E:E,)</f>
        <v>North Atlantic Islands</v>
      </c>
      <c r="F47" s="10" t="s">
        <v>1458</v>
      </c>
      <c r="G47" s="10" t="s">
        <v>1813</v>
      </c>
      <c r="H47" s="10" t="s">
        <v>1814</v>
      </c>
      <c r="I47" s="10" t="s">
        <v>1815</v>
      </c>
      <c r="J47" s="10" t="s">
        <v>1816</v>
      </c>
      <c r="K47" s="10" t="s">
        <v>1817</v>
      </c>
      <c r="L47" s="10" t="s">
        <v>1818</v>
      </c>
      <c r="M47" s="10" t="s">
        <v>1819</v>
      </c>
      <c r="N47" t="s">
        <v>1458</v>
      </c>
      <c r="O47" t="s">
        <v>1813</v>
      </c>
    </row>
    <row r="48" spans="1:15" x14ac:dyDescent="0.25">
      <c r="A48" s="14">
        <f>+_xlfn.XLOOKUP(B48,Regions!D:D,Regions!A:A)</f>
        <v>47</v>
      </c>
      <c r="B48" s="14" t="s">
        <v>1820</v>
      </c>
      <c r="C48" s="14" t="s">
        <v>1462</v>
      </c>
      <c r="D48" s="14" t="s">
        <v>1550</v>
      </c>
      <c r="E48" s="14" t="str">
        <f>+_xlfn.XLOOKUP(C48,Regions!C:C,Regions!E:E,)</f>
        <v>USA &amp; Canada</v>
      </c>
      <c r="F48" s="10" t="s">
        <v>1463</v>
      </c>
      <c r="G48" s="10" t="s">
        <v>1821</v>
      </c>
      <c r="H48" s="10" t="s">
        <v>1822</v>
      </c>
      <c r="I48" s="10" t="s">
        <v>1823</v>
      </c>
      <c r="J48" s="10" t="s">
        <v>1824</v>
      </c>
      <c r="K48" s="10" t="s">
        <v>1825</v>
      </c>
      <c r="L48" s="10" t="s">
        <v>1826</v>
      </c>
      <c r="M48" s="10" t="s">
        <v>1827</v>
      </c>
      <c r="N48" t="s">
        <v>1463</v>
      </c>
      <c r="O48" t="s">
        <v>1821</v>
      </c>
    </row>
    <row r="49" spans="1:15" x14ac:dyDescent="0.25">
      <c r="A49" s="14">
        <f>+_xlfn.XLOOKUP(B49,Regions!D:D,Regions!A:A)</f>
        <v>48</v>
      </c>
      <c r="B49" s="14" t="s">
        <v>1828</v>
      </c>
      <c r="C49" s="14" t="s">
        <v>1468</v>
      </c>
      <c r="D49" s="14" t="s">
        <v>1550</v>
      </c>
      <c r="E49" s="14" t="str">
        <f>+_xlfn.XLOOKUP(C49,Regions!C:C,Regions!E:E,)</f>
        <v>Australia &amp; New Zealand</v>
      </c>
      <c r="F49" s="10" t="s">
        <v>1469</v>
      </c>
      <c r="G49" s="10" t="s">
        <v>1829</v>
      </c>
      <c r="H49" s="10" t="s">
        <v>1830</v>
      </c>
      <c r="I49" s="10" t="s">
        <v>1831</v>
      </c>
      <c r="J49" s="10" t="s">
        <v>1832</v>
      </c>
      <c r="K49" s="10" t="s">
        <v>1833</v>
      </c>
      <c r="L49" s="10" t="s">
        <v>1834</v>
      </c>
      <c r="M49" s="10" t="s">
        <v>1835</v>
      </c>
      <c r="N49" t="s">
        <v>1469</v>
      </c>
      <c r="O49" t="s">
        <v>1829</v>
      </c>
    </row>
    <row r="50" spans="1:15" x14ac:dyDescent="0.25">
      <c r="A50" s="14">
        <f>+_xlfn.XLOOKUP(B50,Regions!D:D,Regions!A:A)</f>
        <v>49</v>
      </c>
      <c r="B50" s="14" t="s">
        <v>1836</v>
      </c>
      <c r="C50" s="14" t="s">
        <v>1473</v>
      </c>
      <c r="D50" s="14" t="s">
        <v>1550</v>
      </c>
      <c r="E50" s="14" t="str">
        <f>+_xlfn.XLOOKUP(C50,Regions!C:C,Regions!E:E,)</f>
        <v>South Pacific</v>
      </c>
      <c r="F50" s="10" t="s">
        <v>1474</v>
      </c>
      <c r="G50" s="10" t="s">
        <v>1837</v>
      </c>
      <c r="H50" s="10" t="s">
        <v>1838</v>
      </c>
      <c r="I50" s="10" t="s">
        <v>1839</v>
      </c>
      <c r="J50" s="10" t="s">
        <v>1840</v>
      </c>
      <c r="K50" s="10" t="s">
        <v>1841</v>
      </c>
      <c r="L50" s="10" t="s">
        <v>1842</v>
      </c>
      <c r="M50" s="10" t="s">
        <v>1843</v>
      </c>
      <c r="N50" t="e">
        <v>#N/A</v>
      </c>
      <c r="O50" t="s">
        <v>1837</v>
      </c>
    </row>
    <row r="51" spans="1:15" x14ac:dyDescent="0.25">
      <c r="A51" s="14">
        <f>+_xlfn.XLOOKUP(B51,Regions!D:D,Regions!A:A)</f>
        <v>50</v>
      </c>
      <c r="B51" s="14" t="s">
        <v>1844</v>
      </c>
      <c r="C51" s="14" t="s">
        <v>1478</v>
      </c>
      <c r="D51" s="14" t="s">
        <v>1550</v>
      </c>
      <c r="E51" s="14" t="str">
        <f>+_xlfn.XLOOKUP(C51,Regions!C:C,Regions!E:E,)</f>
        <v>Pacific Explorer</v>
      </c>
      <c r="F51" s="10" t="s">
        <v>1479</v>
      </c>
      <c r="G51" s="10" t="s">
        <v>1479</v>
      </c>
      <c r="H51" s="10" t="s">
        <v>1479</v>
      </c>
      <c r="I51" s="10" t="s">
        <v>1479</v>
      </c>
      <c r="J51" s="10" t="s">
        <v>1479</v>
      </c>
      <c r="K51" s="10" t="s">
        <v>1479</v>
      </c>
      <c r="L51" s="10" t="s">
        <v>1479</v>
      </c>
      <c r="M51" s="10" t="s">
        <v>1479</v>
      </c>
      <c r="N51" t="s">
        <v>1479</v>
      </c>
      <c r="O51" t="s">
        <v>1479</v>
      </c>
    </row>
  </sheetData>
  <autoFilter ref="O1:O5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190"/>
  <sheetViews>
    <sheetView topLeftCell="A30" workbookViewId="0">
      <selection activeCell="G190" sqref="G190"/>
    </sheetView>
  </sheetViews>
  <sheetFormatPr defaultRowHeight="15" x14ac:dyDescent="0.25"/>
  <cols>
    <col min="1" max="1" width="14.7109375" customWidth="1"/>
    <col min="2" max="2" width="30.140625" bestFit="1" customWidth="1"/>
    <col min="3" max="3" width="31.42578125" bestFit="1" customWidth="1"/>
    <col min="4" max="9" width="19.5703125" customWidth="1"/>
    <col min="10" max="10" width="17.42578125" customWidth="1"/>
    <col min="11" max="11" width="15" bestFit="1" customWidth="1"/>
    <col min="12" max="12" width="27.85546875" bestFit="1" customWidth="1"/>
    <col min="13" max="13" width="20.42578125" bestFit="1" customWidth="1"/>
    <col min="14" max="14" width="15.42578125" bestFit="1" customWidth="1"/>
    <col min="15" max="15" width="39.140625" bestFit="1" customWidth="1"/>
    <col min="16" max="16" width="14.85546875" bestFit="1" customWidth="1"/>
    <col min="21" max="21" width="13.7109375" bestFit="1" customWidth="1"/>
    <col min="22" max="22" width="12.28515625" bestFit="1" customWidth="1"/>
    <col min="23" max="23" width="23.5703125" bestFit="1" customWidth="1"/>
    <col min="24" max="24" width="11.5703125" style="17" bestFit="1" customWidth="1"/>
    <col min="25" max="25" width="5.28515625" bestFit="1" customWidth="1"/>
    <col min="26" max="26" width="23.5703125" bestFit="1" customWidth="1"/>
  </cols>
  <sheetData>
    <row r="1" spans="1:21" ht="15" customHeight="1" x14ac:dyDescent="0.25">
      <c r="A1" s="6" t="s">
        <v>1845</v>
      </c>
      <c r="B1" s="5" t="s">
        <v>1224</v>
      </c>
      <c r="C1" s="18" t="s">
        <v>1</v>
      </c>
      <c r="D1" s="18" t="s">
        <v>2</v>
      </c>
      <c r="E1" s="18" t="s">
        <v>3</v>
      </c>
      <c r="F1" s="18" t="s">
        <v>4</v>
      </c>
      <c r="G1" s="18" t="s">
        <v>5</v>
      </c>
      <c r="H1" s="18" t="s">
        <v>6</v>
      </c>
      <c r="I1" s="18" t="s">
        <v>7</v>
      </c>
      <c r="J1" s="19" t="s">
        <v>8</v>
      </c>
      <c r="K1" s="18" t="s">
        <v>1846</v>
      </c>
      <c r="L1" s="19" t="s">
        <v>1485</v>
      </c>
      <c r="U1" s="16"/>
    </row>
    <row r="2" spans="1:21" x14ac:dyDescent="0.25">
      <c r="A2" s="10" t="s">
        <v>23</v>
      </c>
      <c r="B2" s="10" t="s">
        <v>24</v>
      </c>
      <c r="C2" t="str">
        <f>+_xlfn.XLOOKUP($A2,MappingTable!$A:$A,MappingTable!B:B)</f>
        <v>Afghanistan</v>
      </c>
      <c r="D2" t="str">
        <f>+_xlfn.XLOOKUP($A2,MappingTable!$A:$A,MappingTable!C:C)</f>
        <v>Afganistan</v>
      </c>
      <c r="E2" t="str">
        <f>+_xlfn.XLOOKUP($A2,MappingTable!$A:$A,MappingTable!D:D)</f>
        <v>Afghanistan</v>
      </c>
      <c r="F2" t="str">
        <f>+_xlfn.XLOOKUP($A2,MappingTable!$A:$A,MappingTable!E:E)</f>
        <v>Afghanistan</v>
      </c>
      <c r="G2" t="str">
        <f>+_xlfn.XLOOKUP($A2,MappingTable!$A:$A,MappingTable!F:F)</f>
        <v>アフガニスタン</v>
      </c>
      <c r="H2" t="str">
        <f>+_xlfn.XLOOKUP($A2,MappingTable!$A:$A,MappingTable!G:G)</f>
        <v>Afghanistan</v>
      </c>
      <c r="I2" t="str">
        <f>+_xlfn.XLOOKUP($A2,MappingTable!$A:$A,MappingTable!H:H)</f>
        <v>Afganistán</v>
      </c>
      <c r="J2" t="str">
        <f>+_xlfn.XLOOKUP($A2,MappingTable!$A:$A,MappingTable!I:I)</f>
        <v>Afeganistão</v>
      </c>
      <c r="U2" s="16"/>
    </row>
    <row r="3" spans="1:21" x14ac:dyDescent="0.25">
      <c r="A3" s="10" t="s">
        <v>43</v>
      </c>
      <c r="B3" s="10" t="s">
        <v>44</v>
      </c>
      <c r="C3" t="str">
        <f>+_xlfn.XLOOKUP(A3,MappingTable!A:A,MappingTable!B:B)</f>
        <v>Albania</v>
      </c>
      <c r="D3" t="str">
        <f>+_xlfn.XLOOKUP($A3,MappingTable!$A:$A,MappingTable!C:C)</f>
        <v>Albanija</v>
      </c>
      <c r="E3" t="str">
        <f>+_xlfn.XLOOKUP($A3,MappingTable!$A:$A,MappingTable!D:D)</f>
        <v>Albanien</v>
      </c>
      <c r="F3" t="str">
        <f>+_xlfn.XLOOKUP($A3,MappingTable!$A:$A,MappingTable!E:E)</f>
        <v>Albanie</v>
      </c>
      <c r="G3" t="str">
        <f>+_xlfn.XLOOKUP($A3,MappingTable!$A:$A,MappingTable!F:F)</f>
        <v>アルバニア</v>
      </c>
      <c r="H3" t="str">
        <f>+_xlfn.XLOOKUP($A3,MappingTable!$A:$A,MappingTable!G:G)</f>
        <v>Albania</v>
      </c>
      <c r="I3" t="str">
        <f>+_xlfn.XLOOKUP($A3,MappingTable!$A:$A,MappingTable!H:H)</f>
        <v>Albania</v>
      </c>
      <c r="J3" t="str">
        <f>+_xlfn.XLOOKUP($A3,MappingTable!$A:$A,MappingTable!I:I)</f>
        <v>Albânia</v>
      </c>
      <c r="U3" s="16"/>
    </row>
    <row r="4" spans="1:21" x14ac:dyDescent="0.25">
      <c r="A4" s="10" t="s">
        <v>308</v>
      </c>
      <c r="B4" s="10" t="s">
        <v>309</v>
      </c>
      <c r="C4" t="str">
        <f>+_xlfn.XLOOKUP(A4,MappingTable!A:A,MappingTable!B:B)</f>
        <v>Algeria</v>
      </c>
      <c r="D4" t="str">
        <f>+_xlfn.XLOOKUP($A4,MappingTable!$A:$A,MappingTable!C:C)</f>
        <v>Alžir</v>
      </c>
      <c r="E4" t="str">
        <f>+_xlfn.XLOOKUP($A4,MappingTable!$A:$A,MappingTable!D:D)</f>
        <v>Algerien</v>
      </c>
      <c r="F4" t="str">
        <f>+_xlfn.XLOOKUP($A4,MappingTable!$A:$A,MappingTable!E:E)</f>
        <v>Algérie</v>
      </c>
      <c r="G4" t="str">
        <f>+_xlfn.XLOOKUP($A4,MappingTable!$A:$A,MappingTable!F:F)</f>
        <v>アルジェリア</v>
      </c>
      <c r="H4" t="str">
        <f>+_xlfn.XLOOKUP($A4,MappingTable!$A:$A,MappingTable!G:G)</f>
        <v>Algeria</v>
      </c>
      <c r="I4" t="str">
        <f>+_xlfn.XLOOKUP($A4,MappingTable!$A:$A,MappingTable!H:H)</f>
        <v>Argelia</v>
      </c>
      <c r="J4" t="str">
        <f>+_xlfn.XLOOKUP($A4,MappingTable!$A:$A,MappingTable!I:I)</f>
        <v>Argélia</v>
      </c>
      <c r="U4" s="16"/>
    </row>
    <row r="5" spans="1:21" x14ac:dyDescent="0.25">
      <c r="A5" s="3" t="s">
        <v>9</v>
      </c>
      <c r="B5" s="3" t="s">
        <v>10</v>
      </c>
      <c r="C5" t="str">
        <f>+_xlfn.XLOOKUP(A5,MappingTable!A:A,MappingTable!B:B)</f>
        <v>Andorra</v>
      </c>
      <c r="D5" t="str">
        <f>+_xlfn.XLOOKUP($A5,MappingTable!$A:$A,MappingTable!C:C)</f>
        <v>Andora</v>
      </c>
      <c r="E5" t="str">
        <f>+_xlfn.XLOOKUP($A5,MappingTable!$A:$A,MappingTable!D:D)</f>
        <v>Andorra</v>
      </c>
      <c r="F5" t="str">
        <f>+_xlfn.XLOOKUP($A5,MappingTable!$A:$A,MappingTable!E:E)</f>
        <v>Andorre</v>
      </c>
      <c r="G5" t="str">
        <f>+_xlfn.XLOOKUP($A5,MappingTable!$A:$A,MappingTable!F:F)</f>
        <v>アンドラ</v>
      </c>
      <c r="H5" t="str">
        <f>+_xlfn.XLOOKUP($A5,MappingTable!$A:$A,MappingTable!G:G)</f>
        <v>Andorra</v>
      </c>
      <c r="I5" t="str">
        <f>+_xlfn.XLOOKUP($A5,MappingTable!$A:$A,MappingTable!H:H)</f>
        <v>Andorra</v>
      </c>
      <c r="J5" t="str">
        <f>+_xlfn.XLOOKUP($A5,MappingTable!$A:$A,MappingTable!I:I)</f>
        <v>Andorra</v>
      </c>
      <c r="U5" s="16"/>
    </row>
    <row r="6" spans="1:21" x14ac:dyDescent="0.25">
      <c r="A6" s="10" t="s">
        <v>57</v>
      </c>
      <c r="B6" s="10" t="s">
        <v>58</v>
      </c>
      <c r="C6" t="str">
        <f>+_xlfn.XLOOKUP(A6,MappingTable!A:A,MappingTable!B:B)</f>
        <v>Angola</v>
      </c>
      <c r="D6" t="str">
        <f>+_xlfn.XLOOKUP($A6,MappingTable!$A:$A,MappingTable!C:C)</f>
        <v>Angola</v>
      </c>
      <c r="E6" t="str">
        <f>+_xlfn.XLOOKUP($A6,MappingTable!$A:$A,MappingTable!D:D)</f>
        <v>Angola</v>
      </c>
      <c r="F6" t="str">
        <f>+_xlfn.XLOOKUP($A6,MappingTable!$A:$A,MappingTable!E:E)</f>
        <v>Angola</v>
      </c>
      <c r="G6" t="str">
        <f>+_xlfn.XLOOKUP($A6,MappingTable!$A:$A,MappingTable!F:F)</f>
        <v>アンゴラ</v>
      </c>
      <c r="H6" t="str">
        <f>+_xlfn.XLOOKUP($A6,MappingTable!$A:$A,MappingTable!G:G)</f>
        <v>Angola</v>
      </c>
      <c r="I6" t="str">
        <f>+_xlfn.XLOOKUP($A6,MappingTable!$A:$A,MappingTable!H:H)</f>
        <v>Angola</v>
      </c>
      <c r="J6" t="str">
        <f>+_xlfn.XLOOKUP($A6,MappingTable!$A:$A,MappingTable!I:I)</f>
        <v>Angola</v>
      </c>
      <c r="U6" s="16"/>
    </row>
    <row r="7" spans="1:21" x14ac:dyDescent="0.25">
      <c r="A7" s="10" t="s">
        <v>38</v>
      </c>
      <c r="B7" s="10" t="s">
        <v>39</v>
      </c>
      <c r="C7" t="str">
        <f>+_xlfn.XLOOKUP(A7,MappingTable!A:A,MappingTable!B:B)</f>
        <v>Anguilla</v>
      </c>
      <c r="D7" t="str">
        <f>+_xlfn.XLOOKUP($A7,MappingTable!$A:$A,MappingTable!C:C)</f>
        <v>Angvila</v>
      </c>
      <c r="E7" t="str">
        <f>+_xlfn.XLOOKUP($A7,MappingTable!$A:$A,MappingTable!D:D)</f>
        <v>Anguilla</v>
      </c>
      <c r="F7" t="str">
        <f>+_xlfn.XLOOKUP($A7,MappingTable!$A:$A,MappingTable!E:E)</f>
        <v>Anguilla</v>
      </c>
      <c r="G7" t="str">
        <f>+_xlfn.XLOOKUP($A7,MappingTable!$A:$A,MappingTable!F:F)</f>
        <v>アンギラ</v>
      </c>
      <c r="H7" t="str">
        <f>+_xlfn.XLOOKUP($A7,MappingTable!$A:$A,MappingTable!G:G)</f>
        <v>Anguilla</v>
      </c>
      <c r="I7" t="str">
        <f>+_xlfn.XLOOKUP($A7,MappingTable!$A:$A,MappingTable!H:H)</f>
        <v>Anguila</v>
      </c>
      <c r="J7" t="str">
        <f>+_xlfn.XLOOKUP($A7,MappingTable!$A:$A,MappingTable!I:I)</f>
        <v>Anguilla</v>
      </c>
      <c r="U7" s="16"/>
    </row>
    <row r="8" spans="1:21" x14ac:dyDescent="0.25">
      <c r="A8" s="10" t="s">
        <v>29</v>
      </c>
      <c r="B8" s="10" t="s">
        <v>30</v>
      </c>
      <c r="C8" t="str">
        <f>+_xlfn.XLOOKUP(A8,MappingTable!A:A,MappingTable!B:B)</f>
        <v>Antigua and Barbuda</v>
      </c>
      <c r="D8" t="str">
        <f>+_xlfn.XLOOKUP($A8,MappingTable!$A:$A,MappingTable!C:C)</f>
        <v>Antigva i Barbuda</v>
      </c>
      <c r="E8" t="str">
        <f>+_xlfn.XLOOKUP($A8,MappingTable!$A:$A,MappingTable!D:D)</f>
        <v>Antigua und Barbuda</v>
      </c>
      <c r="F8" t="str">
        <f>+_xlfn.XLOOKUP($A8,MappingTable!$A:$A,MappingTable!E:E)</f>
        <v>Antigua-et-Barbuda</v>
      </c>
      <c r="G8" t="str">
        <f>+_xlfn.XLOOKUP($A8,MappingTable!$A:$A,MappingTable!F:F)</f>
        <v>アンティグア・バーブーダ</v>
      </c>
      <c r="H8" t="str">
        <f>+_xlfn.XLOOKUP($A8,MappingTable!$A:$A,MappingTable!G:G)</f>
        <v>Antigua e Barbuda</v>
      </c>
      <c r="I8" t="str">
        <f>+_xlfn.XLOOKUP($A8,MappingTable!$A:$A,MappingTable!H:H)</f>
        <v>Antigua y Barbuda</v>
      </c>
      <c r="J8" t="str">
        <f>+_xlfn.XLOOKUP($A8,MappingTable!$A:$A,MappingTable!I:I)</f>
        <v>Antígua e Barbuda</v>
      </c>
      <c r="U8" s="16"/>
    </row>
    <row r="9" spans="1:21" x14ac:dyDescent="0.25">
      <c r="A9" s="10" t="s">
        <v>60</v>
      </c>
      <c r="B9" s="10" t="s">
        <v>61</v>
      </c>
      <c r="C9" t="str">
        <f>+_xlfn.XLOOKUP(A9,MappingTable!A:A,MappingTable!B:B)</f>
        <v>Argentina</v>
      </c>
      <c r="D9" t="str">
        <f>+_xlfn.XLOOKUP($A9,MappingTable!$A:$A,MappingTable!C:C)</f>
        <v>Argentina</v>
      </c>
      <c r="E9" t="str">
        <f>+_xlfn.XLOOKUP($A9,MappingTable!$A:$A,MappingTable!D:D)</f>
        <v>Argentinien</v>
      </c>
      <c r="F9" t="str">
        <f>+_xlfn.XLOOKUP($A9,MappingTable!$A:$A,MappingTable!E:E)</f>
        <v>Argentine</v>
      </c>
      <c r="G9" t="str">
        <f>+_xlfn.XLOOKUP($A9,MappingTable!$A:$A,MappingTable!F:F)</f>
        <v>アルゼンチン</v>
      </c>
      <c r="H9" t="str">
        <f>+_xlfn.XLOOKUP($A9,MappingTable!$A:$A,MappingTable!G:G)</f>
        <v>Argentina</v>
      </c>
      <c r="I9" t="str">
        <f>+_xlfn.XLOOKUP($A9,MappingTable!$A:$A,MappingTable!H:H)</f>
        <v>Argentina</v>
      </c>
      <c r="J9" t="str">
        <f>+_xlfn.XLOOKUP($A9,MappingTable!$A:$A,MappingTable!I:I)</f>
        <v>Argentina</v>
      </c>
      <c r="U9" s="16"/>
    </row>
    <row r="10" spans="1:21" x14ac:dyDescent="0.25">
      <c r="A10" s="10" t="s">
        <v>50</v>
      </c>
      <c r="B10" s="10" t="s">
        <v>51</v>
      </c>
      <c r="C10" t="str">
        <f>+_xlfn.XLOOKUP(A10,MappingTable!A:A,MappingTable!B:B)</f>
        <v>Armenia</v>
      </c>
      <c r="D10" t="str">
        <f>+_xlfn.XLOOKUP($A10,MappingTable!$A:$A,MappingTable!C:C)</f>
        <v>Armenija</v>
      </c>
      <c r="E10" t="str">
        <f>+_xlfn.XLOOKUP($A10,MappingTable!$A:$A,MappingTable!D:D)</f>
        <v>Armenien</v>
      </c>
      <c r="F10" t="str">
        <f>+_xlfn.XLOOKUP($A10,MappingTable!$A:$A,MappingTable!E:E)</f>
        <v>Arménie</v>
      </c>
      <c r="G10" t="str">
        <f>+_xlfn.XLOOKUP($A10,MappingTable!$A:$A,MappingTable!F:F)</f>
        <v>アルメニア</v>
      </c>
      <c r="H10" t="str">
        <f>+_xlfn.XLOOKUP($A10,MappingTable!$A:$A,MappingTable!G:G)</f>
        <v>Armenia</v>
      </c>
      <c r="I10" t="str">
        <f>+_xlfn.XLOOKUP($A10,MappingTable!$A:$A,MappingTable!H:H)</f>
        <v>Armenia</v>
      </c>
      <c r="J10" t="str">
        <f>+_xlfn.XLOOKUP($A10,MappingTable!$A:$A,MappingTable!I:I)</f>
        <v>Armênia</v>
      </c>
      <c r="U10" s="16"/>
    </row>
    <row r="11" spans="1:21" x14ac:dyDescent="0.25">
      <c r="A11" s="10" t="s">
        <v>72</v>
      </c>
      <c r="B11" s="10" t="s">
        <v>73</v>
      </c>
      <c r="C11" t="str">
        <f>+_xlfn.XLOOKUP(A11,MappingTable!A:A,MappingTable!B:B)</f>
        <v>Australia</v>
      </c>
      <c r="D11" t="str">
        <f>+_xlfn.XLOOKUP($A11,MappingTable!$A:$A,MappingTable!C:C)</f>
        <v>Australija</v>
      </c>
      <c r="E11" t="str">
        <f>+_xlfn.XLOOKUP($A11,MappingTable!$A:$A,MappingTable!D:D)</f>
        <v>Australien</v>
      </c>
      <c r="F11" t="str">
        <f>+_xlfn.XLOOKUP($A11,MappingTable!$A:$A,MappingTable!E:E)</f>
        <v>Australie</v>
      </c>
      <c r="G11" t="str">
        <f>+_xlfn.XLOOKUP($A11,MappingTable!$A:$A,MappingTable!F:F)</f>
        <v>オーストラリア</v>
      </c>
      <c r="H11" t="str">
        <f>+_xlfn.XLOOKUP($A11,MappingTable!$A:$A,MappingTable!G:G)</f>
        <v>Australia</v>
      </c>
      <c r="I11" t="str">
        <f>+_xlfn.XLOOKUP($A11,MappingTable!$A:$A,MappingTable!H:H)</f>
        <v>Australia</v>
      </c>
      <c r="J11" t="str">
        <f>+_xlfn.XLOOKUP($A11,MappingTable!$A:$A,MappingTable!I:I)</f>
        <v>Austrália</v>
      </c>
      <c r="U11" s="16"/>
    </row>
    <row r="12" spans="1:21" x14ac:dyDescent="0.25">
      <c r="A12" s="10" t="s">
        <v>65</v>
      </c>
      <c r="B12" s="10" t="s">
        <v>66</v>
      </c>
      <c r="C12" t="str">
        <f>+_xlfn.XLOOKUP(A12,MappingTable!A:A,MappingTable!B:B)</f>
        <v>Austria</v>
      </c>
      <c r="D12" t="str">
        <f>+_xlfn.XLOOKUP($A12,MappingTable!$A:$A,MappingTable!C:C)</f>
        <v>Austrija</v>
      </c>
      <c r="E12" t="str">
        <f>+_xlfn.XLOOKUP($A12,MappingTable!$A:$A,MappingTable!D:D)</f>
        <v>Österreich</v>
      </c>
      <c r="F12" t="str">
        <f>+_xlfn.XLOOKUP($A12,MappingTable!$A:$A,MappingTable!E:E)</f>
        <v>Autriche</v>
      </c>
      <c r="G12" t="str">
        <f>+_xlfn.XLOOKUP($A12,MappingTable!$A:$A,MappingTable!F:F)</f>
        <v>オーストリア</v>
      </c>
      <c r="H12" t="str">
        <f>+_xlfn.XLOOKUP($A12,MappingTable!$A:$A,MappingTable!G:G)</f>
        <v>Austria</v>
      </c>
      <c r="I12" t="str">
        <f>+_xlfn.XLOOKUP($A12,MappingTable!$A:$A,MappingTable!H:H)</f>
        <v>Austria</v>
      </c>
      <c r="J12" t="str">
        <f>+_xlfn.XLOOKUP($A12,MappingTable!$A:$A,MappingTable!I:I)</f>
        <v>Áustria</v>
      </c>
      <c r="U12" s="16"/>
    </row>
    <row r="13" spans="1:21" x14ac:dyDescent="0.25">
      <c r="A13" s="10" t="s">
        <v>82</v>
      </c>
      <c r="B13" s="10" t="s">
        <v>83</v>
      </c>
      <c r="C13" t="str">
        <f>+_xlfn.XLOOKUP(A13,MappingTable!A:A,MappingTable!B:B)</f>
        <v>Azerbaijan</v>
      </c>
      <c r="D13" t="str">
        <f>+_xlfn.XLOOKUP($A13,MappingTable!$A:$A,MappingTable!C:C)</f>
        <v>Azerbajdžan</v>
      </c>
      <c r="E13" t="str">
        <f>+_xlfn.XLOOKUP($A13,MappingTable!$A:$A,MappingTable!D:D)</f>
        <v>Aserbaidschan</v>
      </c>
      <c r="F13" t="str">
        <f>+_xlfn.XLOOKUP($A13,MappingTable!$A:$A,MappingTable!E:E)</f>
        <v>Azerbaïdjan</v>
      </c>
      <c r="G13" t="str">
        <f>+_xlfn.XLOOKUP($A13,MappingTable!$A:$A,MappingTable!F:F)</f>
        <v>アゼルバイジャン</v>
      </c>
      <c r="H13" t="str">
        <f>+_xlfn.XLOOKUP($A13,MappingTable!$A:$A,MappingTable!G:G)</f>
        <v>Azerbaigian</v>
      </c>
      <c r="I13" t="str">
        <f>+_xlfn.XLOOKUP($A13,MappingTable!$A:$A,MappingTable!H:H)</f>
        <v>Azerbaiyán</v>
      </c>
      <c r="J13" t="str">
        <f>+_xlfn.XLOOKUP($A13,MappingTable!$A:$A,MappingTable!I:I)</f>
        <v>Azerbaijão</v>
      </c>
      <c r="U13" s="16"/>
    </row>
    <row r="14" spans="1:21" x14ac:dyDescent="0.25">
      <c r="A14" s="10" t="s">
        <v>165</v>
      </c>
      <c r="B14" s="10" t="s">
        <v>166</v>
      </c>
      <c r="C14" t="str">
        <f>+_xlfn.XLOOKUP(A14,MappingTable!A:A,MappingTable!B:B)</f>
        <v>Bahamas</v>
      </c>
      <c r="D14" t="str">
        <f>+_xlfn.XLOOKUP($A14,MappingTable!$A:$A,MappingTable!C:C)</f>
        <v>Bahami</v>
      </c>
      <c r="E14" t="str">
        <f>+_xlfn.XLOOKUP($A14,MappingTable!$A:$A,MappingTable!D:D)</f>
        <v>Bahamas</v>
      </c>
      <c r="F14" t="str">
        <f>+_xlfn.XLOOKUP($A14,MappingTable!$A:$A,MappingTable!E:E)</f>
        <v>Bahamas</v>
      </c>
      <c r="G14" t="str">
        <f>+_xlfn.XLOOKUP($A14,MappingTable!$A:$A,MappingTable!F:F)</f>
        <v>バハマ</v>
      </c>
      <c r="H14" t="str">
        <f>+_xlfn.XLOOKUP($A14,MappingTable!$A:$A,MappingTable!G:G)</f>
        <v>Bahamas</v>
      </c>
      <c r="I14" t="str">
        <f>+_xlfn.XLOOKUP($A14,MappingTable!$A:$A,MappingTable!H:H)</f>
        <v>Bahamas</v>
      </c>
      <c r="J14" t="str">
        <f>+_xlfn.XLOOKUP($A14,MappingTable!$A:$A,MappingTable!I:I)</f>
        <v>Bahamas</v>
      </c>
      <c r="U14" s="16"/>
    </row>
    <row r="15" spans="1:21" x14ac:dyDescent="0.25">
      <c r="A15" s="10" t="s">
        <v>128</v>
      </c>
      <c r="B15" s="10" t="s">
        <v>129</v>
      </c>
      <c r="C15" t="str">
        <f>+_xlfn.XLOOKUP(A15,MappingTable!A:A,MappingTable!B:B)</f>
        <v>Bahrain</v>
      </c>
      <c r="D15" t="str">
        <f>+_xlfn.XLOOKUP($A15,MappingTable!$A:$A,MappingTable!C:C)</f>
        <v>Bahrein</v>
      </c>
      <c r="E15" t="str">
        <f>+_xlfn.XLOOKUP($A15,MappingTable!$A:$A,MappingTable!D:D)</f>
        <v>Bahrain</v>
      </c>
      <c r="F15" t="str">
        <f>+_xlfn.XLOOKUP($A15,MappingTable!$A:$A,MappingTable!E:E)</f>
        <v>Bahreïn</v>
      </c>
      <c r="G15" t="str">
        <f>+_xlfn.XLOOKUP($A15,MappingTable!$A:$A,MappingTable!F:F)</f>
        <v>バーレーン</v>
      </c>
      <c r="H15" t="str">
        <f>+_xlfn.XLOOKUP($A15,MappingTable!$A:$A,MappingTable!G:G)</f>
        <v>Bahrain</v>
      </c>
      <c r="I15" t="str">
        <f>+_xlfn.XLOOKUP($A15,MappingTable!$A:$A,MappingTable!H:H)</f>
        <v>Bahrein</v>
      </c>
      <c r="J15" t="str">
        <f>+_xlfn.XLOOKUP($A15,MappingTable!$A:$A,MappingTable!I:I)</f>
        <v>Bahrein</v>
      </c>
      <c r="U15" s="16"/>
    </row>
    <row r="16" spans="1:21" x14ac:dyDescent="0.25">
      <c r="A16" s="10" t="s">
        <v>100</v>
      </c>
      <c r="B16" s="10" t="s">
        <v>101</v>
      </c>
      <c r="C16" t="str">
        <f>+_xlfn.XLOOKUP(A16,MappingTable!A:A,MappingTable!B:B)</f>
        <v>Barbados</v>
      </c>
      <c r="D16" t="str">
        <f>+_xlfn.XLOOKUP($A16,MappingTable!$A:$A,MappingTable!C:C)</f>
        <v>Barbados</v>
      </c>
      <c r="E16" t="str">
        <f>+_xlfn.XLOOKUP($A16,MappingTable!$A:$A,MappingTable!D:D)</f>
        <v>Barbados</v>
      </c>
      <c r="F16" t="str">
        <f>+_xlfn.XLOOKUP($A16,MappingTable!$A:$A,MappingTable!E:E)</f>
        <v>Barbade</v>
      </c>
      <c r="G16" t="str">
        <f>+_xlfn.XLOOKUP($A16,MappingTable!$A:$A,MappingTable!F:F)</f>
        <v>バルバドス</v>
      </c>
      <c r="H16" t="str">
        <f>+_xlfn.XLOOKUP($A16,MappingTable!$A:$A,MappingTable!G:G)</f>
        <v>Barbados</v>
      </c>
      <c r="I16" t="str">
        <f>+_xlfn.XLOOKUP($A16,MappingTable!$A:$A,MappingTable!H:H)</f>
        <v>Barbados</v>
      </c>
      <c r="J16" t="str">
        <f>+_xlfn.XLOOKUP($A16,MappingTable!$A:$A,MappingTable!I:I)</f>
        <v>Barbados</v>
      </c>
      <c r="U16" s="16"/>
    </row>
    <row r="17" spans="1:21" x14ac:dyDescent="0.25">
      <c r="A17" s="10" t="s">
        <v>169</v>
      </c>
      <c r="B17" s="10" t="s">
        <v>170</v>
      </c>
      <c r="C17" t="str">
        <f>+_xlfn.XLOOKUP(A17,MappingTable!A:A,MappingTable!B:B)</f>
        <v>Botswana</v>
      </c>
      <c r="D17" t="str">
        <f>+_xlfn.XLOOKUP($A17,MappingTable!$A:$A,MappingTable!C:C)</f>
        <v>Bocvana</v>
      </c>
      <c r="E17" t="str">
        <f>+_xlfn.XLOOKUP($A17,MappingTable!$A:$A,MappingTable!D:D)</f>
        <v>Botswana</v>
      </c>
      <c r="F17" t="str">
        <f>+_xlfn.XLOOKUP($A17,MappingTable!$A:$A,MappingTable!E:E)</f>
        <v>Botswana</v>
      </c>
      <c r="G17" t="str">
        <f>+_xlfn.XLOOKUP($A17,MappingTable!$A:$A,MappingTable!F:F)</f>
        <v>ボツワナ</v>
      </c>
      <c r="H17" t="str">
        <f>+_xlfn.XLOOKUP($A17,MappingTable!$A:$A,MappingTable!G:G)</f>
        <v>Botswana</v>
      </c>
      <c r="I17" t="str">
        <f>+_xlfn.XLOOKUP($A17,MappingTable!$A:$A,MappingTable!H:H)</f>
        <v>Botswana</v>
      </c>
      <c r="J17" t="str">
        <f>+_xlfn.XLOOKUP($A17,MappingTable!$A:$A,MappingTable!I:I)</f>
        <v>Botsuana</v>
      </c>
      <c r="U17" s="16"/>
    </row>
    <row r="18" spans="1:21" x14ac:dyDescent="0.25">
      <c r="A18" s="10" t="s">
        <v>109</v>
      </c>
      <c r="B18" s="10" t="s">
        <v>110</v>
      </c>
      <c r="C18" t="str">
        <f>+_xlfn.XLOOKUP(A18,MappingTable!A:A,MappingTable!B:B)</f>
        <v>Belgium</v>
      </c>
      <c r="D18" t="str">
        <f>+_xlfn.XLOOKUP($A18,MappingTable!$A:$A,MappingTable!C:C)</f>
        <v>Belgija</v>
      </c>
      <c r="E18" t="str">
        <f>+_xlfn.XLOOKUP($A18,MappingTable!$A:$A,MappingTable!D:D)</f>
        <v>Belgien</v>
      </c>
      <c r="F18" t="str">
        <f>+_xlfn.XLOOKUP($A18,MappingTable!$A:$A,MappingTable!E:E)</f>
        <v>Belgique</v>
      </c>
      <c r="G18" t="str">
        <f>+_xlfn.XLOOKUP($A18,MappingTable!$A:$A,MappingTable!F:F)</f>
        <v>ベルギー</v>
      </c>
      <c r="H18" t="str">
        <f>+_xlfn.XLOOKUP($A18,MappingTable!$A:$A,MappingTable!G:G)</f>
        <v>Belgio</v>
      </c>
      <c r="I18" t="str">
        <f>+_xlfn.XLOOKUP($A18,MappingTable!$A:$A,MappingTable!H:H)</f>
        <v>Bélgica</v>
      </c>
      <c r="J18" t="str">
        <f>+_xlfn.XLOOKUP($A18,MappingTable!$A:$A,MappingTable!I:I)</f>
        <v>Bélgica</v>
      </c>
      <c r="U18" s="16"/>
    </row>
    <row r="19" spans="1:21" x14ac:dyDescent="0.25">
      <c r="A19" s="10" t="s">
        <v>174</v>
      </c>
      <c r="B19" s="10" t="s">
        <v>175</v>
      </c>
      <c r="C19" t="str">
        <f>+_xlfn.XLOOKUP(A19,MappingTable!A:A,MappingTable!B:B)</f>
        <v>Belarus</v>
      </c>
      <c r="D19" t="str">
        <f>+_xlfn.XLOOKUP($A19,MappingTable!$A:$A,MappingTable!C:C)</f>
        <v>Bjelorusija</v>
      </c>
      <c r="E19" t="str">
        <f>+_xlfn.XLOOKUP($A19,MappingTable!$A:$A,MappingTable!D:D)</f>
        <v>Belarus</v>
      </c>
      <c r="F19" t="str">
        <f>+_xlfn.XLOOKUP($A19,MappingTable!$A:$A,MappingTable!E:E)</f>
        <v>Biélorussie</v>
      </c>
      <c r="G19" t="str">
        <f>+_xlfn.XLOOKUP($A19,MappingTable!$A:$A,MappingTable!F:F)</f>
        <v>ベラルーシ</v>
      </c>
      <c r="H19" t="str">
        <f>+_xlfn.XLOOKUP($A19,MappingTable!$A:$A,MappingTable!G:G)</f>
        <v>Bielorussia</v>
      </c>
      <c r="I19" t="str">
        <f>+_xlfn.XLOOKUP($A19,MappingTable!$A:$A,MappingTable!H:H)</f>
        <v>Bielorrusia</v>
      </c>
      <c r="J19" t="str">
        <f>+_xlfn.XLOOKUP($A19,MappingTable!$A:$A,MappingTable!I:I)</f>
        <v>Bielorrússia</v>
      </c>
      <c r="U19" s="16"/>
    </row>
    <row r="20" spans="1:21" x14ac:dyDescent="0.25">
      <c r="A20" s="10" t="s">
        <v>137</v>
      </c>
      <c r="B20" s="10" t="s">
        <v>138</v>
      </c>
      <c r="C20" t="str">
        <f>+_xlfn.XLOOKUP(A20,MappingTable!A:A,MappingTable!B:B)</f>
        <v>Bermuda</v>
      </c>
      <c r="D20" t="str">
        <f>+_xlfn.XLOOKUP($A20,MappingTable!$A:$A,MappingTable!C:C)</f>
        <v>Bermuda</v>
      </c>
      <c r="E20" t="str">
        <f>+_xlfn.XLOOKUP($A20,MappingTable!$A:$A,MappingTable!D:D)</f>
        <v>Bermuda</v>
      </c>
      <c r="F20" t="str">
        <f>+_xlfn.XLOOKUP($A20,MappingTable!$A:$A,MappingTable!E:E)</f>
        <v>Bermudes</v>
      </c>
      <c r="G20" t="str">
        <f>+_xlfn.XLOOKUP($A20,MappingTable!$A:$A,MappingTable!F:F)</f>
        <v>バミューダ</v>
      </c>
      <c r="H20" t="str">
        <f>+_xlfn.XLOOKUP($A20,MappingTable!$A:$A,MappingTable!G:G)</f>
        <v>Bermuda</v>
      </c>
      <c r="I20" t="str">
        <f>+_xlfn.XLOOKUP($A20,MappingTable!$A:$A,MappingTable!H:H)</f>
        <v>Bermudas</v>
      </c>
      <c r="J20" t="str">
        <f>+_xlfn.XLOOKUP($A20,MappingTable!$A:$A,MappingTable!I:I)</f>
        <v>Bermudas</v>
      </c>
      <c r="U20" s="16"/>
    </row>
    <row r="21" spans="1:21" x14ac:dyDescent="0.25">
      <c r="A21" s="10" t="s">
        <v>91</v>
      </c>
      <c r="B21" s="10" t="s">
        <v>92</v>
      </c>
      <c r="C21" t="str">
        <f>+_xlfn.XLOOKUP(A21,MappingTable!A:A,MappingTable!B:B)</f>
        <v>Bosnia and Herzegovina</v>
      </c>
      <c r="D21" t="str">
        <f>+_xlfn.XLOOKUP($A21,MappingTable!$A:$A,MappingTable!C:C)</f>
        <v>Bosna i Hercegovina</v>
      </c>
      <c r="E21" t="str">
        <f>+_xlfn.XLOOKUP($A21,MappingTable!$A:$A,MappingTable!D:D)</f>
        <v>Bosnien und Herzegowina</v>
      </c>
      <c r="F21" t="str">
        <f>+_xlfn.XLOOKUP($A21,MappingTable!$A:$A,MappingTable!E:E)</f>
        <v>Bosnie-Herzégovine</v>
      </c>
      <c r="G21" t="str">
        <f>+_xlfn.XLOOKUP($A21,MappingTable!$A:$A,MappingTable!F:F)</f>
        <v>ボスニア・ヘルツェゴビナ</v>
      </c>
      <c r="H21" t="str">
        <f>+_xlfn.XLOOKUP($A21,MappingTable!$A:$A,MappingTable!G:G)</f>
        <v>Bosnia ed Erzegovina</v>
      </c>
      <c r="I21" t="str">
        <f>+_xlfn.XLOOKUP($A21,MappingTable!$A:$A,MappingTable!H:H)</f>
        <v>Bosnia y Herzegovina</v>
      </c>
      <c r="J21" t="str">
        <f>+_xlfn.XLOOKUP($A21,MappingTable!$A:$A,MappingTable!I:I)</f>
        <v>Bósnia e Herzegovina</v>
      </c>
      <c r="U21" s="16"/>
    </row>
    <row r="22" spans="1:21" x14ac:dyDescent="0.25">
      <c r="A22" s="10" t="s">
        <v>182</v>
      </c>
      <c r="B22" s="10" t="s">
        <v>183</v>
      </c>
      <c r="C22" t="str">
        <f>+_xlfn.XLOOKUP(A22,MappingTable!A:A,MappingTable!B:B)</f>
        <v>Belize</v>
      </c>
      <c r="D22" t="str">
        <f>+_xlfn.XLOOKUP($A22,MappingTable!$A:$A,MappingTable!C:C)</f>
        <v>Belize</v>
      </c>
      <c r="E22" t="str">
        <f>+_xlfn.XLOOKUP($A22,MappingTable!$A:$A,MappingTable!D:D)</f>
        <v>Belize</v>
      </c>
      <c r="F22" t="str">
        <f>+_xlfn.XLOOKUP($A22,MappingTable!$A:$A,MappingTable!E:E)</f>
        <v>Belize</v>
      </c>
      <c r="G22" t="str">
        <f>+_xlfn.XLOOKUP($A22,MappingTable!$A:$A,MappingTable!F:F)</f>
        <v>ベリーズ</v>
      </c>
      <c r="H22" t="str">
        <f>+_xlfn.XLOOKUP($A22,MappingTable!$A:$A,MappingTable!G:G)</f>
        <v>Belize</v>
      </c>
      <c r="I22" t="str">
        <f>+_xlfn.XLOOKUP($A22,MappingTable!$A:$A,MappingTable!H:H)</f>
        <v>Belice</v>
      </c>
      <c r="J22" t="str">
        <f>+_xlfn.XLOOKUP($A22,MappingTable!$A:$A,MappingTable!I:I)</f>
        <v>Belize</v>
      </c>
      <c r="U22" s="16"/>
    </row>
    <row r="23" spans="1:21" x14ac:dyDescent="0.25">
      <c r="A23" s="10" t="s">
        <v>158</v>
      </c>
      <c r="B23" s="10" t="s">
        <v>159</v>
      </c>
      <c r="C23" t="str">
        <f>+_xlfn.XLOOKUP(A23,MappingTable!A:A,MappingTable!B:B)</f>
        <v>Brazil</v>
      </c>
      <c r="D23" t="str">
        <f>+_xlfn.XLOOKUP($A23,MappingTable!$A:$A,MappingTable!C:C)</f>
        <v>Brazil</v>
      </c>
      <c r="E23" t="str">
        <f>+_xlfn.XLOOKUP($A23,MappingTable!$A:$A,MappingTable!D:D)</f>
        <v>Brasilien</v>
      </c>
      <c r="F23" t="str">
        <f>+_xlfn.XLOOKUP($A23,MappingTable!$A:$A,MappingTable!E:E)</f>
        <v>Brésil</v>
      </c>
      <c r="G23" t="str">
        <f>+_xlfn.XLOOKUP($A23,MappingTable!$A:$A,MappingTable!F:F)</f>
        <v>ブラジル</v>
      </c>
      <c r="H23" t="str">
        <f>+_xlfn.XLOOKUP($A23,MappingTable!$A:$A,MappingTable!G:G)</f>
        <v>Brasile</v>
      </c>
      <c r="I23" t="str">
        <f>+_xlfn.XLOOKUP($A23,MappingTable!$A:$A,MappingTable!H:H)</f>
        <v>Brasil</v>
      </c>
      <c r="J23" t="str">
        <f>+_xlfn.XLOOKUP($A23,MappingTable!$A:$A,MappingTable!I:I)</f>
        <v>Brasil</v>
      </c>
      <c r="U23" s="16"/>
    </row>
    <row r="24" spans="1:21" x14ac:dyDescent="0.25">
      <c r="A24" s="10" t="s">
        <v>1178</v>
      </c>
      <c r="B24" s="10" t="s">
        <v>1179</v>
      </c>
      <c r="C24" t="str">
        <f>+_xlfn.XLOOKUP(A24,MappingTable!A:A,MappingTable!B:B)</f>
        <v>Venezuela</v>
      </c>
      <c r="D24" t="str">
        <f>+_xlfn.XLOOKUP($A24,MappingTable!$A:$A,MappingTable!C:C)</f>
        <v>Venezuela</v>
      </c>
      <c r="E24" t="str">
        <f>+_xlfn.XLOOKUP($A24,MappingTable!$A:$A,MappingTable!D:D)</f>
        <v>Venezuela</v>
      </c>
      <c r="F24" t="str">
        <f>+_xlfn.XLOOKUP($A24,MappingTable!$A:$A,MappingTable!E:E)</f>
        <v>Venezuela</v>
      </c>
      <c r="G24" t="str">
        <f>+_xlfn.XLOOKUP($A24,MappingTable!$A:$A,MappingTable!F:F)</f>
        <v>ベネズエラ・ボリバル共和国</v>
      </c>
      <c r="H24" t="str">
        <f>+_xlfn.XLOOKUP($A24,MappingTable!$A:$A,MappingTable!G:G)</f>
        <v>Venezuela</v>
      </c>
      <c r="I24" t="str">
        <f>+_xlfn.XLOOKUP($A24,MappingTable!$A:$A,MappingTable!H:H)</f>
        <v>Venezuela</v>
      </c>
      <c r="J24" t="str">
        <f>+_xlfn.XLOOKUP($A24,MappingTable!$A:$A,MappingTable!I:I)</f>
        <v>Venezuela</v>
      </c>
      <c r="U24" s="16"/>
    </row>
    <row r="25" spans="1:21" x14ac:dyDescent="0.25">
      <c r="A25" s="10" t="s">
        <v>121</v>
      </c>
      <c r="B25" s="10" t="s">
        <v>122</v>
      </c>
      <c r="C25" t="str">
        <f>+_xlfn.XLOOKUP(A25,MappingTable!A:A,MappingTable!B:B)</f>
        <v>Bulgaria</v>
      </c>
      <c r="D25" t="str">
        <f>+_xlfn.XLOOKUP($A25,MappingTable!$A:$A,MappingTable!C:C)</f>
        <v>Bugarska</v>
      </c>
      <c r="E25" t="str">
        <f>+_xlfn.XLOOKUP($A25,MappingTable!$A:$A,MappingTable!D:D)</f>
        <v>Bulgarien</v>
      </c>
      <c r="F25" t="str">
        <f>+_xlfn.XLOOKUP($A25,MappingTable!$A:$A,MappingTable!E:E)</f>
        <v>Bulgarie</v>
      </c>
      <c r="G25" t="str">
        <f>+_xlfn.XLOOKUP($A25,MappingTable!$A:$A,MappingTable!F:F)</f>
        <v>ブルガリア</v>
      </c>
      <c r="H25" t="str">
        <f>+_xlfn.XLOOKUP($A25,MappingTable!$A:$A,MappingTable!G:G)</f>
        <v>Bulgaria</v>
      </c>
      <c r="I25" t="str">
        <f>+_xlfn.XLOOKUP($A25,MappingTable!$A:$A,MappingTable!H:H)</f>
        <v>Bulgaria</v>
      </c>
      <c r="J25" t="str">
        <f>+_xlfn.XLOOKUP($A25,MappingTable!$A:$A,MappingTable!I:I)</f>
        <v>Bulgária</v>
      </c>
      <c r="U25" s="16"/>
    </row>
    <row r="26" spans="1:21" x14ac:dyDescent="0.25">
      <c r="A26" s="10" t="s">
        <v>594</v>
      </c>
      <c r="B26" s="10" t="s">
        <v>595</v>
      </c>
      <c r="C26" t="str">
        <f>+_xlfn.XLOOKUP(A26,MappingTable!A:A,MappingTable!B:B)</f>
        <v>Cambodia</v>
      </c>
      <c r="D26" t="str">
        <f>+_xlfn.XLOOKUP($A26,MappingTable!$A:$A,MappingTable!C:C)</f>
        <v>Kambodža</v>
      </c>
      <c r="E26" t="str">
        <f>+_xlfn.XLOOKUP($A26,MappingTable!$A:$A,MappingTable!D:D)</f>
        <v>Kambodscha</v>
      </c>
      <c r="F26" t="str">
        <f>+_xlfn.XLOOKUP($A26,MappingTable!$A:$A,MappingTable!E:E)</f>
        <v>Cambodge</v>
      </c>
      <c r="G26" t="str">
        <f>+_xlfn.XLOOKUP($A26,MappingTable!$A:$A,MappingTable!F:F)</f>
        <v>カンボジア</v>
      </c>
      <c r="H26" t="str">
        <f>+_xlfn.XLOOKUP($A26,MappingTable!$A:$A,MappingTable!G:G)</f>
        <v>Cambogia</v>
      </c>
      <c r="I26" t="str">
        <f>+_xlfn.XLOOKUP($A26,MappingTable!$A:$A,MappingTable!H:H)</f>
        <v>Camboya</v>
      </c>
      <c r="J26" t="str">
        <f>+_xlfn.XLOOKUP($A26,MappingTable!$A:$A,MappingTable!I:I)</f>
        <v>Camboja</v>
      </c>
      <c r="U26" s="16"/>
    </row>
    <row r="27" spans="1:21" x14ac:dyDescent="0.25">
      <c r="A27" s="10" t="s">
        <v>186</v>
      </c>
      <c r="B27" s="10" t="s">
        <v>187</v>
      </c>
      <c r="C27" t="str">
        <f>+_xlfn.XLOOKUP(A27,MappingTable!A:A,MappingTable!B:B)</f>
        <v>Canada</v>
      </c>
      <c r="D27" t="str">
        <f>+_xlfn.XLOOKUP($A27,MappingTable!$A:$A,MappingTable!C:C)</f>
        <v>Kanada</v>
      </c>
      <c r="E27" t="str">
        <f>+_xlfn.XLOOKUP($A27,MappingTable!$A:$A,MappingTable!D:D)</f>
        <v>Kanada</v>
      </c>
      <c r="F27" t="str">
        <f>+_xlfn.XLOOKUP($A27,MappingTable!$A:$A,MappingTable!E:E)</f>
        <v>Canada</v>
      </c>
      <c r="G27" t="str">
        <f>+_xlfn.XLOOKUP($A27,MappingTable!$A:$A,MappingTable!F:F)</f>
        <v>カナダ</v>
      </c>
      <c r="H27" t="str">
        <f>+_xlfn.XLOOKUP($A27,MappingTable!$A:$A,MappingTable!G:G)</f>
        <v>Canada</v>
      </c>
      <c r="I27" t="str">
        <f>+_xlfn.XLOOKUP($A27,MappingTable!$A:$A,MappingTable!H:H)</f>
        <v>Canadá</v>
      </c>
      <c r="J27" t="str">
        <f>+_xlfn.XLOOKUP($A27,MappingTable!$A:$A,MappingTable!I:I)</f>
        <v>Canadá</v>
      </c>
      <c r="U27" s="16"/>
    </row>
    <row r="28" spans="1:21" x14ac:dyDescent="0.25">
      <c r="A28" s="10" t="s">
        <v>253</v>
      </c>
      <c r="B28" s="10" t="s">
        <v>254</v>
      </c>
      <c r="C28" t="str">
        <f>+_xlfn.XLOOKUP(A28,MappingTable!A:A,MappingTable!B:B)</f>
        <v>Cape Verde</v>
      </c>
      <c r="D28" t="str">
        <f>+_xlfn.XLOOKUP($A28,MappingTable!$A:$A,MappingTable!C:C)</f>
        <v>Zelenortska Republika</v>
      </c>
      <c r="E28" t="str">
        <f>+_xlfn.XLOOKUP($A28,MappingTable!$A:$A,MappingTable!D:D)</f>
        <v>Kap Verde</v>
      </c>
      <c r="F28" t="str">
        <f>+_xlfn.XLOOKUP($A28,MappingTable!$A:$A,MappingTable!E:E)</f>
        <v>Cap-Vert</v>
      </c>
      <c r="G28" t="str">
        <f>+_xlfn.XLOOKUP($A28,MappingTable!$A:$A,MappingTable!F:F)</f>
        <v>カーボベルデ</v>
      </c>
      <c r="H28" t="str">
        <f>+_xlfn.XLOOKUP($A28,MappingTable!$A:$A,MappingTable!G:G)</f>
        <v>Capo Verde</v>
      </c>
      <c r="I28" t="str">
        <f>+_xlfn.XLOOKUP($A28,MappingTable!$A:$A,MappingTable!H:H)</f>
        <v>Cabo Verde</v>
      </c>
      <c r="J28" t="str">
        <f>+_xlfn.XLOOKUP($A28,MappingTable!$A:$A,MappingTable!I:I)</f>
        <v>Cabo Verde</v>
      </c>
      <c r="U28" s="16"/>
    </row>
    <row r="29" spans="1:21" x14ac:dyDescent="0.25">
      <c r="A29" s="10" t="s">
        <v>626</v>
      </c>
      <c r="B29" s="10" t="s">
        <v>627</v>
      </c>
      <c r="C29" t="str">
        <f>+_xlfn.XLOOKUP(A29,MappingTable!A:A,MappingTable!B:B)</f>
        <v>Cayman Islands</v>
      </c>
      <c r="D29" t="str">
        <f>+_xlfn.XLOOKUP($A29,MappingTable!$A:$A,MappingTable!C:C)</f>
        <v>Kajmanski otoci</v>
      </c>
      <c r="E29" t="str">
        <f>+_xlfn.XLOOKUP($A29,MappingTable!$A:$A,MappingTable!D:D)</f>
        <v>Kaimaninseln</v>
      </c>
      <c r="F29" t="str">
        <f>+_xlfn.XLOOKUP($A29,MappingTable!$A:$A,MappingTable!E:E)</f>
        <v>Îles Caïmans</v>
      </c>
      <c r="G29" t="str">
        <f>+_xlfn.XLOOKUP($A29,MappingTable!$A:$A,MappingTable!F:F)</f>
        <v>ケイマン諸島</v>
      </c>
      <c r="H29" t="str">
        <f>+_xlfn.XLOOKUP($A29,MappingTable!$A:$A,MappingTable!G:G)</f>
        <v>Isole Cayman</v>
      </c>
      <c r="I29" t="str">
        <f>+_xlfn.XLOOKUP($A29,MappingTable!$A:$A,MappingTable!H:H)</f>
        <v>Islas Caimán</v>
      </c>
      <c r="J29" t="str">
        <f>+_xlfn.XLOOKUP($A29,MappingTable!$A:$A,MappingTable!I:I)</f>
        <v>Ilhas Cayman</v>
      </c>
      <c r="U29" s="16"/>
    </row>
    <row r="30" spans="1:21" x14ac:dyDescent="0.25">
      <c r="A30" s="10" t="s">
        <v>1062</v>
      </c>
      <c r="B30" s="10" t="s">
        <v>1063</v>
      </c>
      <c r="C30" t="str">
        <f>+_xlfn.XLOOKUP(A30,MappingTable!A:A,MappingTable!B:B)</f>
        <v>Turks and Caicos Islands</v>
      </c>
      <c r="D30" t="str">
        <f>+_xlfn.XLOOKUP($A30,MappingTable!$A:$A,MappingTable!C:C)</f>
        <v>Otoci Turks i Caicos</v>
      </c>
      <c r="E30" t="str">
        <f>+_xlfn.XLOOKUP($A30,MappingTable!$A:$A,MappingTable!D:D)</f>
        <v>Turks- und Caicosinseln</v>
      </c>
      <c r="F30" t="str">
        <f>+_xlfn.XLOOKUP($A30,MappingTable!$A:$A,MappingTable!E:E)</f>
        <v>Îles Turques-et-Caïques</v>
      </c>
      <c r="G30" t="str">
        <f>+_xlfn.XLOOKUP($A30,MappingTable!$A:$A,MappingTable!F:F)</f>
        <v>タークス・カイコス諸島</v>
      </c>
      <c r="H30" t="str">
        <f>+_xlfn.XLOOKUP($A30,MappingTable!$A:$A,MappingTable!G:G)</f>
        <v>Isole Turks e Caicos</v>
      </c>
      <c r="I30" t="str">
        <f>+_xlfn.XLOOKUP($A30,MappingTable!$A:$A,MappingTable!H:H)</f>
        <v>Islas Turcas y Caicos</v>
      </c>
      <c r="J30" t="str">
        <f>+_xlfn.XLOOKUP($A30,MappingTable!$A:$A,MappingTable!I:I)</f>
        <v>Ilhas Turks e Caicos</v>
      </c>
      <c r="U30" s="16"/>
    </row>
    <row r="31" spans="1:21" x14ac:dyDescent="0.25">
      <c r="A31" s="10" t="s">
        <v>413</v>
      </c>
      <c r="B31" s="10" t="s">
        <v>414</v>
      </c>
      <c r="C31" t="str">
        <f>+_xlfn.XLOOKUP(A31,MappingTable!A:A,MappingTable!B:B)</f>
        <v>Guernsey</v>
      </c>
      <c r="D31" t="str">
        <f>+_xlfn.XLOOKUP(B31,MappingTable!B:B,MappingTable!C:C)</f>
        <v>Guernsey</v>
      </c>
      <c r="E31" t="str">
        <f>+_xlfn.XLOOKUP($A31,MappingTable!$A:$A,MappingTable!D:D)</f>
        <v>Guernsey</v>
      </c>
      <c r="F31" t="str">
        <f>+_xlfn.XLOOKUP($A31,MappingTable!$A:$A,MappingTable!E:E)</f>
        <v>Guernesey</v>
      </c>
      <c r="G31" t="str">
        <f>+_xlfn.XLOOKUP($A31,MappingTable!$A:$A,MappingTable!F:F)</f>
        <v>ガーンジー</v>
      </c>
      <c r="H31" t="str">
        <f>+_xlfn.XLOOKUP($A31,MappingTable!$A:$A,MappingTable!G:G)</f>
        <v>Guernsey</v>
      </c>
      <c r="I31" t="str">
        <f>+_xlfn.XLOOKUP($A31,MappingTable!$A:$A,MappingTable!H:H)</f>
        <v>Guernsey</v>
      </c>
      <c r="J31" t="str">
        <f>+_xlfn.XLOOKUP($A31,MappingTable!$A:$A,MappingTable!I:I)</f>
        <v>Guernsey</v>
      </c>
      <c r="U31" s="16"/>
    </row>
    <row r="32" spans="1:21" x14ac:dyDescent="0.25">
      <c r="A32" s="10" t="s">
        <v>555</v>
      </c>
      <c r="B32" s="10" t="s">
        <v>556</v>
      </c>
      <c r="C32" t="str">
        <f>+_xlfn.XLOOKUP(A32,MappingTable!A:A,MappingTable!B:B)</f>
        <v>Jersey</v>
      </c>
      <c r="D32" t="str">
        <f>+_xlfn.XLOOKUP(B32,MappingTable!B:B,MappingTable!C:C)</f>
        <v>Jersey</v>
      </c>
      <c r="E32" t="str">
        <f>+_xlfn.XLOOKUP($A32,MappingTable!$A:$A,MappingTable!D:D)</f>
        <v>Jersey</v>
      </c>
      <c r="F32" t="str">
        <f>+_xlfn.XLOOKUP($A32,MappingTable!$A:$A,MappingTable!E:E)</f>
        <v>Jersey</v>
      </c>
      <c r="G32" t="str">
        <f>+_xlfn.XLOOKUP($A32,MappingTable!$A:$A,MappingTable!F:F)</f>
        <v>ジャージー</v>
      </c>
      <c r="H32" t="str">
        <f>+_xlfn.XLOOKUP($A32,MappingTable!$A:$A,MappingTable!G:G)</f>
        <v>Jersey</v>
      </c>
      <c r="I32" t="str">
        <f>+_xlfn.XLOOKUP($A32,MappingTable!$A:$A,MappingTable!H:H)</f>
        <v>Jersey</v>
      </c>
      <c r="J32" t="str">
        <f>+_xlfn.XLOOKUP($A32,MappingTable!$A:$A,MappingTable!I:I)</f>
        <v>Jersey</v>
      </c>
      <c r="U32" s="16"/>
    </row>
    <row r="33" spans="1:21" x14ac:dyDescent="0.25">
      <c r="A33" s="10" t="s">
        <v>218</v>
      </c>
      <c r="B33" s="10" t="s">
        <v>219</v>
      </c>
      <c r="C33" t="str">
        <f>+_xlfn.XLOOKUP(A33,MappingTable!A:A,MappingTable!B:B)</f>
        <v>Chile</v>
      </c>
      <c r="D33" t="str">
        <f>+_xlfn.XLOOKUP($A33,MappingTable!$A:$A,MappingTable!C:C)</f>
        <v>Čile</v>
      </c>
      <c r="E33" t="str">
        <f>+_xlfn.XLOOKUP($A33,MappingTable!$A:$A,MappingTable!D:D)</f>
        <v>Chile</v>
      </c>
      <c r="F33" t="str">
        <f>+_xlfn.XLOOKUP($A33,MappingTable!$A:$A,MappingTable!E:E)</f>
        <v>Chili</v>
      </c>
      <c r="G33" t="str">
        <f>+_xlfn.XLOOKUP($A33,MappingTable!$A:$A,MappingTable!F:F)</f>
        <v>チリ</v>
      </c>
      <c r="H33" t="str">
        <f>+_xlfn.XLOOKUP($A33,MappingTable!$A:$A,MappingTable!G:G)</f>
        <v>Cile</v>
      </c>
      <c r="I33" t="str">
        <f>+_xlfn.XLOOKUP($A33,MappingTable!$A:$A,MappingTable!H:H)</f>
        <v>Chile</v>
      </c>
      <c r="J33" t="str">
        <f>+_xlfn.XLOOKUP($A33,MappingTable!$A:$A,MappingTable!I:I)</f>
        <v>Chile</v>
      </c>
      <c r="U33" s="16"/>
    </row>
    <row r="34" spans="1:21" x14ac:dyDescent="0.25">
      <c r="A34" s="10" t="s">
        <v>232</v>
      </c>
      <c r="B34" s="10" t="s">
        <v>233</v>
      </c>
      <c r="C34" t="str">
        <f>+_xlfn.XLOOKUP(A34,MappingTable!A:A,MappingTable!B:B)</f>
        <v>China</v>
      </c>
      <c r="D34" t="str">
        <f>+_xlfn.XLOOKUP($A34,MappingTable!$A:$A,MappingTable!C:C)</f>
        <v>Kina</v>
      </c>
      <c r="E34" t="str">
        <f>+_xlfn.XLOOKUP($A34,MappingTable!$A:$A,MappingTable!D:D)</f>
        <v>China</v>
      </c>
      <c r="F34" t="str">
        <f>+_xlfn.XLOOKUP($A34,MappingTable!$A:$A,MappingTable!E:E)</f>
        <v>Chine</v>
      </c>
      <c r="G34" t="str">
        <f>+_xlfn.XLOOKUP($A34,MappingTable!$A:$A,MappingTable!F:F)</f>
        <v>中華人民共和国</v>
      </c>
      <c r="H34" t="str">
        <f>+_xlfn.XLOOKUP($A34,MappingTable!$A:$A,MappingTable!G:G)</f>
        <v>Cina</v>
      </c>
      <c r="I34" t="str">
        <f>+_xlfn.XLOOKUP($A34,MappingTable!$A:$A,MappingTable!H:H)</f>
        <v>China</v>
      </c>
      <c r="J34" t="str">
        <f>+_xlfn.XLOOKUP($A34,MappingTable!$A:$A,MappingTable!I:I)</f>
        <v>China</v>
      </c>
      <c r="U34" s="16"/>
    </row>
    <row r="35" spans="1:21" x14ac:dyDescent="0.25">
      <c r="A35" s="10" t="s">
        <v>238</v>
      </c>
      <c r="B35" s="10" t="s">
        <v>239</v>
      </c>
      <c r="C35" t="str">
        <f>+_xlfn.XLOOKUP(A35,MappingTable!A:A,MappingTable!B:B)</f>
        <v>Colombia</v>
      </c>
      <c r="D35" t="str">
        <f>+_xlfn.XLOOKUP($A35,MappingTable!$A:$A,MappingTable!C:C)</f>
        <v>Kolumbija</v>
      </c>
      <c r="E35" t="str">
        <f>+_xlfn.XLOOKUP($A35,MappingTable!$A:$A,MappingTable!D:D)</f>
        <v>Kolumbien</v>
      </c>
      <c r="F35" t="str">
        <f>+_xlfn.XLOOKUP($A35,MappingTable!$A:$A,MappingTable!E:E)</f>
        <v>Colombie</v>
      </c>
      <c r="G35" t="str">
        <f>+_xlfn.XLOOKUP($A35,MappingTable!$A:$A,MappingTable!F:F)</f>
        <v>コロンビア</v>
      </c>
      <c r="H35" t="str">
        <f>+_xlfn.XLOOKUP($A35,MappingTable!$A:$A,MappingTable!G:G)</f>
        <v>Colombia</v>
      </c>
      <c r="I35" t="str">
        <f>+_xlfn.XLOOKUP($A35,MappingTable!$A:$A,MappingTable!H:H)</f>
        <v>Colombia</v>
      </c>
      <c r="J35" t="str">
        <f>+_xlfn.XLOOKUP($A35,MappingTable!$A:$A,MappingTable!I:I)</f>
        <v>Colômbia</v>
      </c>
      <c r="U35" s="16"/>
    </row>
    <row r="36" spans="1:21" x14ac:dyDescent="0.25">
      <c r="A36" s="10" t="s">
        <v>191</v>
      </c>
      <c r="B36" s="10" t="s">
        <v>192</v>
      </c>
      <c r="C36" t="str">
        <f>+_xlfn.XLOOKUP(A36,MappingTable!A:A,MappingTable!B:B)</f>
        <v>Congo Kinshasa</v>
      </c>
      <c r="D36" t="str">
        <f>+_xlfn.XLOOKUP($A36,MappingTable!$A:$A,MappingTable!C:C)</f>
        <v>Kongo Kinshasa</v>
      </c>
      <c r="E36" t="str">
        <f>+_xlfn.XLOOKUP($A36,MappingTable!$A:$A,MappingTable!D:D)</f>
        <v>Kongo</v>
      </c>
      <c r="F36" t="str">
        <f>+_xlfn.XLOOKUP($A36,MappingTable!$A:$A,MappingTable!E:E)</f>
        <v>République démocratique du Congo</v>
      </c>
      <c r="G36" t="str">
        <f>+_xlfn.XLOOKUP($A36,MappingTable!$A:$A,MappingTable!F:F)</f>
        <v>コンゴ民主共和国</v>
      </c>
      <c r="H36" t="str">
        <f>+_xlfn.XLOOKUP($A36,MappingTable!$A:$A,MappingTable!G:G)</f>
        <v>Repubblica Democratica del Congo</v>
      </c>
      <c r="I36" t="str">
        <f>+_xlfn.XLOOKUP($A36,MappingTable!$A:$A,MappingTable!H:H)</f>
        <v>Congo (República Democrática del)</v>
      </c>
      <c r="J36" t="str">
        <f>+_xlfn.XLOOKUP($A36,MappingTable!$A:$A,MappingTable!I:I)</f>
        <v>Congo-Kinshasa</v>
      </c>
      <c r="U36" s="16"/>
    </row>
    <row r="37" spans="1:21" x14ac:dyDescent="0.25">
      <c r="A37" s="10" t="s">
        <v>245</v>
      </c>
      <c r="B37" s="10" t="s">
        <v>246</v>
      </c>
      <c r="C37" t="str">
        <f>+_xlfn.XLOOKUP(A37,MappingTable!A:A,MappingTable!B:B)</f>
        <v>Costa Rica</v>
      </c>
      <c r="D37" t="str">
        <f>+_xlfn.XLOOKUP($A37,MappingTable!$A:$A,MappingTable!C:C)</f>
        <v>Kostarika</v>
      </c>
      <c r="E37" t="str">
        <f>+_xlfn.XLOOKUP($A37,MappingTable!$A:$A,MappingTable!D:D)</f>
        <v>Costa Rica</v>
      </c>
      <c r="F37" t="str">
        <f>+_xlfn.XLOOKUP($A37,MappingTable!$A:$A,MappingTable!E:E)</f>
        <v>Costa Rica</v>
      </c>
      <c r="G37" t="str">
        <f>+_xlfn.XLOOKUP($A37,MappingTable!$A:$A,MappingTable!F:F)</f>
        <v>コスタリカ</v>
      </c>
      <c r="H37" t="str">
        <f>+_xlfn.XLOOKUP($A37,MappingTable!$A:$A,MappingTable!G:G)</f>
        <v>Costa Rica</v>
      </c>
      <c r="I37" t="str">
        <f>+_xlfn.XLOOKUP($A37,MappingTable!$A:$A,MappingTable!H:H)</f>
        <v>Costa Rica</v>
      </c>
      <c r="J37" t="str">
        <f>+_xlfn.XLOOKUP($A37,MappingTable!$A:$A,MappingTable!I:I)</f>
        <v>Costa Rica</v>
      </c>
      <c r="U37" s="16"/>
    </row>
    <row r="38" spans="1:21" x14ac:dyDescent="0.25">
      <c r="A38" s="10" t="s">
        <v>471</v>
      </c>
      <c r="B38" s="10" t="s">
        <v>472</v>
      </c>
      <c r="C38" t="str">
        <f>+_xlfn.XLOOKUP(A38,MappingTable!A:A,MappingTable!B:B)</f>
        <v>Croatia</v>
      </c>
      <c r="D38" t="str">
        <f>+_xlfn.XLOOKUP($A38,MappingTable!$A:$A,MappingTable!C:C)</f>
        <v>Hrvatska</v>
      </c>
      <c r="E38" t="str">
        <f>+_xlfn.XLOOKUP($A38,MappingTable!$A:$A,MappingTable!D:D)</f>
        <v>Kroatien</v>
      </c>
      <c r="F38" t="str">
        <f>+_xlfn.XLOOKUP($A38,MappingTable!$A:$A,MappingTable!E:E)</f>
        <v>Croatie</v>
      </c>
      <c r="G38" t="str">
        <f>+_xlfn.XLOOKUP($A38,MappingTable!$A:$A,MappingTable!F:F)</f>
        <v>クロアチア</v>
      </c>
      <c r="H38" t="str">
        <f>+_xlfn.XLOOKUP($A38,MappingTable!$A:$A,MappingTable!G:G)</f>
        <v>Croazia</v>
      </c>
      <c r="I38" t="str">
        <f>+_xlfn.XLOOKUP($A38,MappingTable!$A:$A,MappingTable!H:H)</f>
        <v>Croacia</v>
      </c>
      <c r="J38" t="str">
        <f>+_xlfn.XLOOKUP($A38,MappingTable!$A:$A,MappingTable!I:I)</f>
        <v>Croácia</v>
      </c>
      <c r="U38" s="16"/>
    </row>
    <row r="39" spans="1:21" x14ac:dyDescent="0.25">
      <c r="A39" s="10" t="s">
        <v>249</v>
      </c>
      <c r="B39" s="10" t="s">
        <v>250</v>
      </c>
      <c r="C39" t="str">
        <f>+_xlfn.XLOOKUP(A39,MappingTable!A:A,MappingTable!B:B)</f>
        <v>Cuba</v>
      </c>
      <c r="D39" t="str">
        <f>+_xlfn.XLOOKUP($A39,MappingTable!$A:$A,MappingTable!C:C)</f>
        <v>Kuba</v>
      </c>
      <c r="E39" t="str">
        <f>+_xlfn.XLOOKUP($A39,MappingTable!$A:$A,MappingTable!D:D)</f>
        <v>Kuba</v>
      </c>
      <c r="F39" t="str">
        <f>+_xlfn.XLOOKUP($A39,MappingTable!$A:$A,MappingTable!E:E)</f>
        <v>Cuba</v>
      </c>
      <c r="G39" t="str">
        <f>+_xlfn.XLOOKUP($A39,MappingTable!$A:$A,MappingTable!F:F)</f>
        <v>キューバ</v>
      </c>
      <c r="H39" t="str">
        <f>+_xlfn.XLOOKUP($A39,MappingTable!$A:$A,MappingTable!G:G)</f>
        <v>Cuba</v>
      </c>
      <c r="I39" t="str">
        <f>+_xlfn.XLOOKUP($A39,MappingTable!$A:$A,MappingTable!H:H)</f>
        <v>Cuba</v>
      </c>
      <c r="J39" t="str">
        <f>+_xlfn.XLOOKUP($A39,MappingTable!$A:$A,MappingTable!I:I)</f>
        <v>Cuba</v>
      </c>
      <c r="U39" s="16"/>
    </row>
    <row r="40" spans="1:21" x14ac:dyDescent="0.25">
      <c r="A40" s="10" t="s">
        <v>261</v>
      </c>
      <c r="B40" s="10" t="s">
        <v>262</v>
      </c>
      <c r="C40" t="str">
        <f>+_xlfn.XLOOKUP(A40,MappingTable!A:A,MappingTable!B:B)</f>
        <v>Cyprus</v>
      </c>
      <c r="D40" t="str">
        <f>+_xlfn.XLOOKUP($A40,MappingTable!$A:$A,MappingTable!C:C)</f>
        <v>Cipar</v>
      </c>
      <c r="E40" t="str">
        <f>+_xlfn.XLOOKUP($A40,MappingTable!$A:$A,MappingTable!D:D)</f>
        <v>Zypern</v>
      </c>
      <c r="F40" t="str">
        <f>+_xlfn.XLOOKUP($A40,MappingTable!$A:$A,MappingTable!E:E)</f>
        <v>Chypre</v>
      </c>
      <c r="G40" t="str">
        <f>+_xlfn.XLOOKUP($A40,MappingTable!$A:$A,MappingTable!F:F)</f>
        <v>キプロス</v>
      </c>
      <c r="H40" t="str">
        <f>+_xlfn.XLOOKUP($A40,MappingTable!$A:$A,MappingTable!G:G)</f>
        <v>Cipro</v>
      </c>
      <c r="I40" t="str">
        <f>+_xlfn.XLOOKUP($A40,MappingTable!$A:$A,MappingTable!H:H)</f>
        <v>Chipre</v>
      </c>
      <c r="J40" t="str">
        <f>+_xlfn.XLOOKUP($A40,MappingTable!$A:$A,MappingTable!I:I)</f>
        <v>Chipre</v>
      </c>
      <c r="U40" s="16"/>
    </row>
    <row r="41" spans="1:21" x14ac:dyDescent="0.25">
      <c r="A41" s="10" t="s">
        <v>269</v>
      </c>
      <c r="B41" s="10" t="s">
        <v>270</v>
      </c>
      <c r="C41" t="str">
        <f>+_xlfn.XLOOKUP(A41,MappingTable!A:A,MappingTable!B:B)</f>
        <v>Czech Republic</v>
      </c>
      <c r="D41" t="str">
        <f>+_xlfn.XLOOKUP($A41,MappingTable!$A:$A,MappingTable!C:C)</f>
        <v>Češka</v>
      </c>
      <c r="E41" t="str">
        <f>+_xlfn.XLOOKUP($A41,MappingTable!$A:$A,MappingTable!D:D)</f>
        <v>Tschechische Republik</v>
      </c>
      <c r="F41" t="str">
        <f>+_xlfn.XLOOKUP($A41,MappingTable!$A:$A,MappingTable!E:E)</f>
        <v>République Tchèque</v>
      </c>
      <c r="G41" t="str">
        <f>+_xlfn.XLOOKUP($A41,MappingTable!$A:$A,MappingTable!F:F)</f>
        <v>チェコ</v>
      </c>
      <c r="H41" t="str">
        <f>+_xlfn.XLOOKUP($A41,MappingTable!$A:$A,MappingTable!G:G)</f>
        <v>Repubblica Ceca</v>
      </c>
      <c r="I41" t="str">
        <f>+_xlfn.XLOOKUP($A41,MappingTable!$A:$A,MappingTable!H:H)</f>
        <v>República Checa</v>
      </c>
      <c r="J41" t="str">
        <f>+_xlfn.XLOOKUP($A41,MappingTable!$A:$A,MappingTable!I:I)</f>
        <v>Chéquia</v>
      </c>
      <c r="K41" t="s">
        <v>1847</v>
      </c>
      <c r="U41" s="16"/>
    </row>
    <row r="42" spans="1:21" x14ac:dyDescent="0.25">
      <c r="A42" s="10" t="s">
        <v>287</v>
      </c>
      <c r="B42" s="10" t="s">
        <v>288</v>
      </c>
      <c r="C42" t="str">
        <f>+_xlfn.XLOOKUP(A42,MappingTable!A:A,MappingTable!B:B)</f>
        <v>Denmark</v>
      </c>
      <c r="D42" t="str">
        <f>+_xlfn.XLOOKUP($A42,MappingTable!$A:$A,MappingTable!C:C)</f>
        <v>Danska</v>
      </c>
      <c r="E42" t="str">
        <f>+_xlfn.XLOOKUP($A42,MappingTable!$A:$A,MappingTable!D:D)</f>
        <v>Dänemark</v>
      </c>
      <c r="F42" t="str">
        <f>+_xlfn.XLOOKUP($A42,MappingTable!$A:$A,MappingTable!E:E)</f>
        <v>Danemark</v>
      </c>
      <c r="G42" t="str">
        <f>+_xlfn.XLOOKUP($A42,MappingTable!$A:$A,MappingTable!F:F)</f>
        <v>デンマーク</v>
      </c>
      <c r="H42" t="str">
        <f>+_xlfn.XLOOKUP($A42,MappingTable!$A:$A,MappingTable!G:G)</f>
        <v>Danimarca</v>
      </c>
      <c r="I42" t="str">
        <f>+_xlfn.XLOOKUP($A42,MappingTable!$A:$A,MappingTable!H:H)</f>
        <v>Dinamarca</v>
      </c>
      <c r="J42" t="str">
        <f>+_xlfn.XLOOKUP($A42,MappingTable!$A:$A,MappingTable!I:I)</f>
        <v>Dinamarca</v>
      </c>
      <c r="U42" s="16"/>
    </row>
    <row r="43" spans="1:21" x14ac:dyDescent="0.25">
      <c r="A43" s="10" t="s">
        <v>316</v>
      </c>
      <c r="B43" s="10" t="s">
        <v>317</v>
      </c>
      <c r="C43" t="str">
        <f>+_xlfn.XLOOKUP(A43,MappingTable!A:A,MappingTable!B:B)</f>
        <v>Ecuador</v>
      </c>
      <c r="D43" t="str">
        <f>+_xlfn.XLOOKUP($A43,MappingTable!$A:$A,MappingTable!C:C)</f>
        <v>Ekvador</v>
      </c>
      <c r="E43" t="str">
        <f>+_xlfn.XLOOKUP($A43,MappingTable!$A:$A,MappingTable!D:D)</f>
        <v>Ecuador</v>
      </c>
      <c r="F43" t="str">
        <f>+_xlfn.XLOOKUP($A43,MappingTable!$A:$A,MappingTable!E:E)</f>
        <v>Équateur</v>
      </c>
      <c r="G43" t="str">
        <f>+_xlfn.XLOOKUP($A43,MappingTable!$A:$A,MappingTable!F:F)</f>
        <v>エクアドル</v>
      </c>
      <c r="H43" t="str">
        <f>+_xlfn.XLOOKUP($A43,MappingTable!$A:$A,MappingTable!G:G)</f>
        <v>Ecuador</v>
      </c>
      <c r="I43" t="str">
        <f>+_xlfn.XLOOKUP($A43,MappingTable!$A:$A,MappingTable!H:H)</f>
        <v>Ecuador</v>
      </c>
      <c r="J43" t="str">
        <f>+_xlfn.XLOOKUP($A43,MappingTable!$A:$A,MappingTable!I:I)</f>
        <v>Equador</v>
      </c>
      <c r="U43" s="16"/>
    </row>
    <row r="44" spans="1:21" x14ac:dyDescent="0.25">
      <c r="A44" s="10" t="s">
        <v>329</v>
      </c>
      <c r="B44" s="10" t="s">
        <v>330</v>
      </c>
      <c r="C44" t="str">
        <f>+_xlfn.XLOOKUP(A44,MappingTable!A:A,MappingTable!B:B)</f>
        <v>Egypt</v>
      </c>
      <c r="D44" t="str">
        <f>+_xlfn.XLOOKUP($A44,MappingTable!$A:$A,MappingTable!C:C)</f>
        <v>Egipat</v>
      </c>
      <c r="E44" t="str">
        <f>+_xlfn.XLOOKUP($A44,MappingTable!$A:$A,MappingTable!D:D)</f>
        <v>Ägypten</v>
      </c>
      <c r="F44" t="str">
        <f>+_xlfn.XLOOKUP($A44,MappingTable!$A:$A,MappingTable!E:E)</f>
        <v>Égypte</v>
      </c>
      <c r="G44" t="str">
        <f>+_xlfn.XLOOKUP($A44,MappingTable!$A:$A,MappingTable!F:F)</f>
        <v>エジプト</v>
      </c>
      <c r="H44" t="str">
        <f>+_xlfn.XLOOKUP($A44,MappingTable!$A:$A,MappingTable!G:G)</f>
        <v>Egitto</v>
      </c>
      <c r="I44" t="str">
        <f>+_xlfn.XLOOKUP($A44,MappingTable!$A:$A,MappingTable!H:H)</f>
        <v>Egipto</v>
      </c>
      <c r="J44" t="str">
        <f>+_xlfn.XLOOKUP($A44,MappingTable!$A:$A,MappingTable!I:I)</f>
        <v>Egito</v>
      </c>
      <c r="U44" s="16"/>
    </row>
    <row r="45" spans="1:21" x14ac:dyDescent="0.25">
      <c r="A45" s="10" t="s">
        <v>1046</v>
      </c>
      <c r="B45" s="10" t="s">
        <v>1047</v>
      </c>
      <c r="C45" t="str">
        <f>+_xlfn.XLOOKUP(A45,MappingTable!A:A,MappingTable!B:B)</f>
        <v>Suriname</v>
      </c>
      <c r="D45" t="str">
        <f>+_xlfn.XLOOKUP($A45,MappingTable!$A:$A,MappingTable!C:C)</f>
        <v>Surinam</v>
      </c>
      <c r="E45" t="str">
        <f>+_xlfn.XLOOKUP($A45,MappingTable!$A:$A,MappingTable!D:D)</f>
        <v>Suriname</v>
      </c>
      <c r="F45" t="str">
        <f>+_xlfn.XLOOKUP($A45,MappingTable!$A:$A,MappingTable!E:E)</f>
        <v>Suriname</v>
      </c>
      <c r="G45" t="str">
        <f>+_xlfn.XLOOKUP($A45,MappingTable!$A:$A,MappingTable!F:F)</f>
        <v>スリナム</v>
      </c>
      <c r="H45" t="str">
        <f>+_xlfn.XLOOKUP($A45,MappingTable!$A:$A,MappingTable!G:G)</f>
        <v>Suriname</v>
      </c>
      <c r="I45" t="str">
        <f>+_xlfn.XLOOKUP($A45,MappingTable!$A:$A,MappingTable!H:H)</f>
        <v>Surinam</v>
      </c>
      <c r="J45" t="str">
        <f>+_xlfn.XLOOKUP($A45,MappingTable!$A:$A,MappingTable!I:I)</f>
        <v>Suriname</v>
      </c>
      <c r="U45" s="16"/>
    </row>
    <row r="46" spans="1:21" x14ac:dyDescent="0.25">
      <c r="A46" s="10" t="s">
        <v>322</v>
      </c>
      <c r="B46" s="10" t="s">
        <v>323</v>
      </c>
      <c r="C46" t="str">
        <f>+_xlfn.XLOOKUP(A46,MappingTable!A:A,MappingTable!B:B)</f>
        <v>Estonia</v>
      </c>
      <c r="D46" t="str">
        <f>+_xlfn.XLOOKUP($A46,MappingTable!$A:$A,MappingTable!C:C)</f>
        <v>Estonija</v>
      </c>
      <c r="E46" t="str">
        <f>+_xlfn.XLOOKUP($A46,MappingTable!$A:$A,MappingTable!D:D)</f>
        <v>Estland</v>
      </c>
      <c r="F46" t="str">
        <f>+_xlfn.XLOOKUP($A46,MappingTable!$A:$A,MappingTable!E:E)</f>
        <v>Estonie</v>
      </c>
      <c r="G46" t="str">
        <f>+_xlfn.XLOOKUP($A46,MappingTable!$A:$A,MappingTable!F:F)</f>
        <v>エストニア</v>
      </c>
      <c r="H46" t="str">
        <f>+_xlfn.XLOOKUP($A46,MappingTable!$A:$A,MappingTable!G:G)</f>
        <v>Estonia</v>
      </c>
      <c r="I46" t="str">
        <f>+_xlfn.XLOOKUP($A46,MappingTable!$A:$A,MappingTable!H:H)</f>
        <v>Estonia</v>
      </c>
      <c r="J46" t="str">
        <f>+_xlfn.XLOOKUP($A46,MappingTable!$A:$A,MappingTable!I:I)</f>
        <v>Estônia</v>
      </c>
      <c r="U46" s="16"/>
    </row>
    <row r="47" spans="1:21" x14ac:dyDescent="0.25">
      <c r="A47" s="10" t="s">
        <v>347</v>
      </c>
      <c r="B47" s="10" t="s">
        <v>348</v>
      </c>
      <c r="C47" t="str">
        <f>+_xlfn.XLOOKUP(A47,MappingTable!A:A,MappingTable!B:B)</f>
        <v>Ethiopia</v>
      </c>
      <c r="D47" t="str">
        <f>+_xlfn.XLOOKUP($A47,MappingTable!$A:$A,MappingTable!C:C)</f>
        <v>Etiopija</v>
      </c>
      <c r="E47" t="str">
        <f>+_xlfn.XLOOKUP($A47,MappingTable!$A:$A,MappingTable!D:D)</f>
        <v>Äthiopien</v>
      </c>
      <c r="F47" t="str">
        <f>+_xlfn.XLOOKUP($A47,MappingTable!$A:$A,MappingTable!E:E)</f>
        <v>Éthiopie</v>
      </c>
      <c r="G47" t="str">
        <f>+_xlfn.XLOOKUP($A47,MappingTable!$A:$A,MappingTable!F:F)</f>
        <v>エチオピア</v>
      </c>
      <c r="H47" t="str">
        <f>+_xlfn.XLOOKUP($A47,MappingTable!$A:$A,MappingTable!G:G)</f>
        <v>Etiopia</v>
      </c>
      <c r="I47" t="str">
        <f>+_xlfn.XLOOKUP($A47,MappingTable!$A:$A,MappingTable!H:H)</f>
        <v>Etiopía</v>
      </c>
      <c r="J47" t="str">
        <f>+_xlfn.XLOOKUP($A47,MappingTable!$A:$A,MappingTable!I:I)</f>
        <v>Etiópia</v>
      </c>
      <c r="U47" s="16"/>
    </row>
    <row r="48" spans="1:21" x14ac:dyDescent="0.25">
      <c r="A48" s="10" t="s">
        <v>371</v>
      </c>
      <c r="B48" s="10" t="s">
        <v>372</v>
      </c>
      <c r="C48" t="str">
        <f>+_xlfn.XLOOKUP(A48,MappingTable!A:A,MappingTable!B:B)</f>
        <v>Faroe Islands</v>
      </c>
      <c r="D48" t="str">
        <f>+_xlfn.XLOOKUP($A48,MappingTable!$A:$A,MappingTable!C:C)</f>
        <v>Farski otoci</v>
      </c>
      <c r="E48" t="str">
        <f>+_xlfn.XLOOKUP($A48,MappingTable!$A:$A,MappingTable!D:D)</f>
        <v>Färöer</v>
      </c>
      <c r="F48" t="str">
        <f>+_xlfn.XLOOKUP($A48,MappingTable!$A:$A,MappingTable!E:E)</f>
        <v>Îles Féroé</v>
      </c>
      <c r="G48" t="str">
        <f>+_xlfn.XLOOKUP($A48,MappingTable!$A:$A,MappingTable!F:F)</f>
        <v>フェロー諸島</v>
      </c>
      <c r="H48" t="str">
        <f>+_xlfn.XLOOKUP($A48,MappingTable!$A:$A,MappingTable!G:G)</f>
        <v>Isole Fær Øer</v>
      </c>
      <c r="I48" t="str">
        <f>+_xlfn.XLOOKUP($A48,MappingTable!$A:$A,MappingTable!H:H)</f>
        <v>Islas Feroe</v>
      </c>
      <c r="J48" t="str">
        <f>+_xlfn.XLOOKUP($A48,MappingTable!$A:$A,MappingTable!I:I)</f>
        <v>Ilhas Faroé</v>
      </c>
      <c r="U48" s="16"/>
    </row>
    <row r="49" spans="1:21" x14ac:dyDescent="0.25">
      <c r="A49" s="10" t="s">
        <v>364</v>
      </c>
      <c r="B49" s="10" t="s">
        <v>365</v>
      </c>
      <c r="C49" t="str">
        <f>+_xlfn.XLOOKUP(A49,MappingTable!A:A,MappingTable!B:B)</f>
        <v>Fiji</v>
      </c>
      <c r="D49" t="str">
        <f>+_xlfn.XLOOKUP($A49,MappingTable!$A:$A,MappingTable!C:C)</f>
        <v>Fidži</v>
      </c>
      <c r="E49" t="str">
        <f>+_xlfn.XLOOKUP($A49,MappingTable!$A:$A,MappingTable!D:D)</f>
        <v>Fidschi</v>
      </c>
      <c r="F49" t="str">
        <f>+_xlfn.XLOOKUP($A49,MappingTable!$A:$A,MappingTable!E:E)</f>
        <v>Fidji</v>
      </c>
      <c r="G49" t="str">
        <f>+_xlfn.XLOOKUP($A49,MappingTable!$A:$A,MappingTable!F:F)</f>
        <v>フィジー</v>
      </c>
      <c r="H49" t="str">
        <f>+_xlfn.XLOOKUP($A49,MappingTable!$A:$A,MappingTable!G:G)</f>
        <v>Figi</v>
      </c>
      <c r="I49" t="str">
        <f>+_xlfn.XLOOKUP($A49,MappingTable!$A:$A,MappingTable!H:H)</f>
        <v>Fiji</v>
      </c>
      <c r="J49" t="str">
        <f>+_xlfn.XLOOKUP($A49,MappingTable!$A:$A,MappingTable!I:I)</f>
        <v>Fiji</v>
      </c>
      <c r="U49" s="16"/>
    </row>
    <row r="50" spans="1:21" x14ac:dyDescent="0.25">
      <c r="A50" s="10" t="s">
        <v>356</v>
      </c>
      <c r="B50" s="10" t="s">
        <v>357</v>
      </c>
      <c r="C50" t="str">
        <f>+_xlfn.XLOOKUP(A50,MappingTable!A:A,MappingTable!B:B)</f>
        <v>Finland</v>
      </c>
      <c r="D50" t="str">
        <f>+_xlfn.XLOOKUP($A50,MappingTable!$A:$A,MappingTable!C:C)</f>
        <v>Finska</v>
      </c>
      <c r="E50" t="str">
        <f>+_xlfn.XLOOKUP($A50,MappingTable!$A:$A,MappingTable!D:D)</f>
        <v>Finnland</v>
      </c>
      <c r="F50" t="str">
        <f>+_xlfn.XLOOKUP($A50,MappingTable!$A:$A,MappingTable!E:E)</f>
        <v>Finlande</v>
      </c>
      <c r="G50" t="str">
        <f>+_xlfn.XLOOKUP($A50,MappingTable!$A:$A,MappingTable!F:F)</f>
        <v>フィンランド</v>
      </c>
      <c r="H50" t="str">
        <f>+_xlfn.XLOOKUP($A50,MappingTable!$A:$A,MappingTable!G:G)</f>
        <v>Finlandia</v>
      </c>
      <c r="I50" t="str">
        <f>+_xlfn.XLOOKUP($A50,MappingTable!$A:$A,MappingTable!H:H)</f>
        <v>Finlandia</v>
      </c>
      <c r="J50" t="str">
        <f>+_xlfn.XLOOKUP($A50,MappingTable!$A:$A,MappingTable!I:I)</f>
        <v>Finlândia</v>
      </c>
      <c r="U50" s="16"/>
    </row>
    <row r="51" spans="1:21" x14ac:dyDescent="0.25">
      <c r="A51" s="10" t="s">
        <v>380</v>
      </c>
      <c r="B51" s="10" t="s">
        <v>381</v>
      </c>
      <c r="C51" t="str">
        <f>+_xlfn.XLOOKUP(A51,MappingTable!A:A,MappingTable!B:B)</f>
        <v>France</v>
      </c>
      <c r="D51" t="str">
        <f>+_xlfn.XLOOKUP($A51,MappingTable!$A:$A,MappingTable!C:C)</f>
        <v>Francuska</v>
      </c>
      <c r="E51" t="str">
        <f>+_xlfn.XLOOKUP($A51,MappingTable!$A:$A,MappingTable!D:D)</f>
        <v>Frankreich</v>
      </c>
      <c r="F51" t="str">
        <f>+_xlfn.XLOOKUP($A51,MappingTable!$A:$A,MappingTable!E:E)</f>
        <v>France</v>
      </c>
      <c r="G51" t="str">
        <f>+_xlfn.XLOOKUP($A51,MappingTable!$A:$A,MappingTable!F:F)</f>
        <v>フランス</v>
      </c>
      <c r="H51" t="str">
        <f>+_xlfn.XLOOKUP($A51,MappingTable!$A:$A,MappingTable!G:G)</f>
        <v>Francia</v>
      </c>
      <c r="I51" t="str">
        <f>+_xlfn.XLOOKUP($A51,MappingTable!$A:$A,MappingTable!H:H)</f>
        <v>Francia</v>
      </c>
      <c r="J51" t="str">
        <f>+_xlfn.XLOOKUP($A51,MappingTable!$A:$A,MappingTable!I:I)</f>
        <v>França</v>
      </c>
      <c r="U51" s="16"/>
    </row>
    <row r="52" spans="1:21" x14ac:dyDescent="0.25">
      <c r="A52" s="10" t="s">
        <v>881</v>
      </c>
      <c r="B52" s="10" t="s">
        <v>882</v>
      </c>
      <c r="C52" t="str">
        <f>+_xlfn.XLOOKUP(A52,MappingTable!A:A,MappingTable!B:B)</f>
        <v>French Polynesia</v>
      </c>
      <c r="D52" t="str">
        <f>+_xlfn.XLOOKUP($A52,MappingTable!$A:$A,MappingTable!C:C)</f>
        <v>Francuska Polinezija</v>
      </c>
      <c r="E52" t="str">
        <f>+_xlfn.XLOOKUP($A52,MappingTable!$A:$A,MappingTable!D:D)</f>
        <v>Französisch-Polynesien</v>
      </c>
      <c r="F52" t="str">
        <f>+_xlfn.XLOOKUP($A52,MappingTable!$A:$A,MappingTable!E:E)</f>
        <v>Polynésie française</v>
      </c>
      <c r="G52" t="str">
        <f>+_xlfn.XLOOKUP($A52,MappingTable!$A:$A,MappingTable!F:F)</f>
        <v>フランス領ポリネシア</v>
      </c>
      <c r="H52" t="str">
        <f>+_xlfn.XLOOKUP($A52,MappingTable!$A:$A,MappingTable!G:G)</f>
        <v>Polinesia Francese</v>
      </c>
      <c r="I52" t="str">
        <f>+_xlfn.XLOOKUP($A52,MappingTable!$A:$A,MappingTable!H:H)</f>
        <v>Polinesia Francesa</v>
      </c>
      <c r="J52" t="str">
        <f>+_xlfn.XLOOKUP($A52,MappingTable!$A:$A,MappingTable!I:I)</f>
        <v>Polinésia Francesa</v>
      </c>
      <c r="U52" s="16"/>
    </row>
    <row r="53" spans="1:21" x14ac:dyDescent="0.25">
      <c r="A53" s="10" t="s">
        <v>445</v>
      </c>
      <c r="B53" s="10" t="s">
        <v>446</v>
      </c>
      <c r="C53" t="str">
        <f>+_xlfn.XLOOKUP(A53,MappingTable!A:A,MappingTable!B:B)</f>
        <v>Guadeloupe</v>
      </c>
      <c r="D53" t="str">
        <f>+_xlfn.XLOOKUP($A53,MappingTable!$A:$A,MappingTable!C:C)</f>
        <v>Guadalupe</v>
      </c>
      <c r="E53" t="str">
        <f>+_xlfn.XLOOKUP($A53,MappingTable!$A:$A,MappingTable!D:D)</f>
        <v>Guadeloupe</v>
      </c>
      <c r="F53" t="str">
        <f>+_xlfn.XLOOKUP($A53,MappingTable!$A:$A,MappingTable!E:E)</f>
        <v>Guadeloupe</v>
      </c>
      <c r="G53" t="str">
        <f>+_xlfn.XLOOKUP($A53,MappingTable!$A:$A,MappingTable!F:F)</f>
        <v>グアドループ</v>
      </c>
      <c r="H53" t="str">
        <f>+_xlfn.XLOOKUP($A53,MappingTable!$A:$A,MappingTable!G:G)</f>
        <v>Guadalupa</v>
      </c>
      <c r="I53" t="str">
        <f>+_xlfn.XLOOKUP($A53,MappingTable!$A:$A,MappingTable!H:H)</f>
        <v>Guadalupe</v>
      </c>
      <c r="J53" t="str">
        <f>+_xlfn.XLOOKUP($A53,MappingTable!$A:$A,MappingTable!I:I)</f>
        <v>Guadalupe</v>
      </c>
      <c r="U53" s="16"/>
    </row>
    <row r="54" spans="1:21" x14ac:dyDescent="0.25">
      <c r="A54" s="10" t="s">
        <v>433</v>
      </c>
      <c r="B54" s="10" t="s">
        <v>434</v>
      </c>
      <c r="C54" t="str">
        <f>+_xlfn.XLOOKUP(A54,MappingTable!A:A,MappingTable!B:B)</f>
        <v>Gambia</v>
      </c>
      <c r="D54" t="str">
        <f>+_xlfn.XLOOKUP($A54,MappingTable!$A:$A,MappingTable!C:C)</f>
        <v>Gambija</v>
      </c>
      <c r="E54" t="str">
        <f>+_xlfn.XLOOKUP($A54,MappingTable!$A:$A,MappingTable!D:D)</f>
        <v>Gambia</v>
      </c>
      <c r="F54" t="str">
        <f>+_xlfn.XLOOKUP($A54,MappingTable!$A:$A,MappingTable!E:E)</f>
        <v>Gambie</v>
      </c>
      <c r="G54" t="str">
        <f>+_xlfn.XLOOKUP($A54,MappingTable!$A:$A,MappingTable!F:F)</f>
        <v>ガンビア</v>
      </c>
      <c r="H54" t="str">
        <f>+_xlfn.XLOOKUP($A54,MappingTable!$A:$A,MappingTable!G:G)</f>
        <v>Gambia</v>
      </c>
      <c r="I54" t="str">
        <f>+_xlfn.XLOOKUP($A54,MappingTable!$A:$A,MappingTable!H:H)</f>
        <v>Gambia</v>
      </c>
      <c r="J54" t="str">
        <f>+_xlfn.XLOOKUP($A54,MappingTable!$A:$A,MappingTable!I:I)</f>
        <v>Gâmbia</v>
      </c>
      <c r="U54" s="16"/>
    </row>
    <row r="55" spans="1:21" x14ac:dyDescent="0.25">
      <c r="A55" s="10" t="s">
        <v>406</v>
      </c>
      <c r="B55" s="10" t="s">
        <v>407</v>
      </c>
      <c r="C55" t="str">
        <f>+_xlfn.XLOOKUP(A55,MappingTable!A:A,MappingTable!B:B)</f>
        <v>Georgia</v>
      </c>
      <c r="D55" t="str">
        <f>+_xlfn.XLOOKUP($A55,MappingTable!$A:$A,MappingTable!C:C)</f>
        <v>Gruzija</v>
      </c>
      <c r="E55" t="str">
        <f>+_xlfn.XLOOKUP($A55,MappingTable!$A:$A,MappingTable!D:D)</f>
        <v>Georgien</v>
      </c>
      <c r="F55" t="str">
        <f>+_xlfn.XLOOKUP($A55,MappingTable!$A:$A,MappingTable!E:E)</f>
        <v>Géorgie</v>
      </c>
      <c r="G55" t="str">
        <f>+_xlfn.XLOOKUP($A55,MappingTable!$A:$A,MappingTable!F:F)</f>
        <v>ジョージア</v>
      </c>
      <c r="H55" t="str">
        <f>+_xlfn.XLOOKUP($A55,MappingTable!$A:$A,MappingTable!G:G)</f>
        <v>Georgia</v>
      </c>
      <c r="I55" t="str">
        <f>+_xlfn.XLOOKUP($A55,MappingTable!$A:$A,MappingTable!H:H)</f>
        <v>Georgia</v>
      </c>
      <c r="J55" t="str">
        <f>+_xlfn.XLOOKUP($A55,MappingTable!$A:$A,MappingTable!I:I)</f>
        <v>Geórgia</v>
      </c>
      <c r="U55" s="16"/>
    </row>
    <row r="56" spans="1:21" x14ac:dyDescent="0.25">
      <c r="A56" s="10" t="s">
        <v>278</v>
      </c>
      <c r="B56" s="10" t="s">
        <v>279</v>
      </c>
      <c r="C56" t="str">
        <f>+_xlfn.XLOOKUP(A56,MappingTable!A:A,MappingTable!B:B)</f>
        <v>Germany</v>
      </c>
      <c r="D56" t="str">
        <f>+_xlfn.XLOOKUP($A56,MappingTable!$A:$A,MappingTable!C:C)</f>
        <v>Njemačka</v>
      </c>
      <c r="E56" t="str">
        <f>+_xlfn.XLOOKUP($A56,MappingTable!$A:$A,MappingTable!D:D)</f>
        <v>Deutschland</v>
      </c>
      <c r="F56" t="str">
        <f>+_xlfn.XLOOKUP($A56,MappingTable!$A:$A,MappingTable!E:E)</f>
        <v>Allemagne</v>
      </c>
      <c r="G56" t="str">
        <f>+_xlfn.XLOOKUP($A56,MappingTable!$A:$A,MappingTable!F:F)</f>
        <v>ドイツ</v>
      </c>
      <c r="H56" t="str">
        <f>+_xlfn.XLOOKUP($A56,MappingTable!$A:$A,MappingTable!G:G)</f>
        <v>Germania</v>
      </c>
      <c r="I56" t="str">
        <f>+_xlfn.XLOOKUP($A56,MappingTable!$A:$A,MappingTable!H:H)</f>
        <v>Alemania</v>
      </c>
      <c r="J56" t="str">
        <f>+_xlfn.XLOOKUP($A56,MappingTable!$A:$A,MappingTable!I:I)</f>
        <v>Alemanha</v>
      </c>
      <c r="U56" s="16"/>
    </row>
    <row r="57" spans="1:21" x14ac:dyDescent="0.25">
      <c r="A57" s="10" t="s">
        <v>417</v>
      </c>
      <c r="B57" s="10" t="s">
        <v>418</v>
      </c>
      <c r="C57" t="str">
        <f>+_xlfn.XLOOKUP(A57,MappingTable!A:A,MappingTable!B:B)</f>
        <v>Ghana</v>
      </c>
      <c r="D57" t="str">
        <f>+_xlfn.XLOOKUP($A57,MappingTable!$A:$A,MappingTable!C:C)</f>
        <v>Gana</v>
      </c>
      <c r="E57" t="str">
        <f>+_xlfn.XLOOKUP($A57,MappingTable!$A:$A,MappingTable!D:D)</f>
        <v>Ghana</v>
      </c>
      <c r="F57" t="str">
        <f>+_xlfn.XLOOKUP($A57,MappingTable!$A:$A,MappingTable!E:E)</f>
        <v>Ghana</v>
      </c>
      <c r="G57" t="str">
        <f>+_xlfn.XLOOKUP($A57,MappingTable!$A:$A,MappingTable!F:F)</f>
        <v>ガーナ</v>
      </c>
      <c r="H57" t="str">
        <f>+_xlfn.XLOOKUP($A57,MappingTable!$A:$A,MappingTable!G:G)</f>
        <v>Ghana</v>
      </c>
      <c r="I57" t="str">
        <f>+_xlfn.XLOOKUP($A57,MappingTable!$A:$A,MappingTable!H:H)</f>
        <v>Ghana</v>
      </c>
      <c r="J57" t="str">
        <f>+_xlfn.XLOOKUP($A57,MappingTable!$A:$A,MappingTable!I:I)</f>
        <v>Gana</v>
      </c>
      <c r="U57" s="16"/>
    </row>
    <row r="58" spans="1:21" x14ac:dyDescent="0.25">
      <c r="A58" s="10" t="s">
        <v>450</v>
      </c>
      <c r="B58" s="10" t="s">
        <v>451</v>
      </c>
      <c r="C58" t="str">
        <f>+_xlfn.XLOOKUP(A58,MappingTable!A:A,MappingTable!B:B)</f>
        <v>Greece</v>
      </c>
      <c r="D58" t="str">
        <f>+_xlfn.XLOOKUP($A58,MappingTable!$A:$A,MappingTable!C:C)</f>
        <v>Grčka</v>
      </c>
      <c r="E58" t="str">
        <f>+_xlfn.XLOOKUP($A58,MappingTable!$A:$A,MappingTable!D:D)</f>
        <v>Griechenland</v>
      </c>
      <c r="F58" t="str">
        <f>+_xlfn.XLOOKUP($A58,MappingTable!$A:$A,MappingTable!E:E)</f>
        <v>Grèce</v>
      </c>
      <c r="G58" t="str">
        <f>+_xlfn.XLOOKUP($A58,MappingTable!$A:$A,MappingTable!F:F)</f>
        <v>ギリシャ</v>
      </c>
      <c r="H58" t="str">
        <f>+_xlfn.XLOOKUP($A58,MappingTable!$A:$A,MappingTable!G:G)</f>
        <v>Grecia</v>
      </c>
      <c r="I58" t="str">
        <f>+_xlfn.XLOOKUP($A58,MappingTable!$A:$A,MappingTable!H:H)</f>
        <v>Grecia</v>
      </c>
      <c r="J58" t="str">
        <f>+_xlfn.XLOOKUP($A58,MappingTable!$A:$A,MappingTable!I:I)</f>
        <v>Grécia</v>
      </c>
      <c r="U58" s="16"/>
    </row>
    <row r="59" spans="1:21" x14ac:dyDescent="0.25">
      <c r="A59" s="10" t="s">
        <v>425</v>
      </c>
      <c r="B59" s="10" t="s">
        <v>426</v>
      </c>
      <c r="C59" t="str">
        <f>+_xlfn.XLOOKUP(A59,MappingTable!A:A,MappingTable!B:B)</f>
        <v>Greenland</v>
      </c>
      <c r="D59" t="str">
        <f>+_xlfn.XLOOKUP($A59,MappingTable!$A:$A,MappingTable!C:C)</f>
        <v>Grenland</v>
      </c>
      <c r="E59" t="str">
        <f>+_xlfn.XLOOKUP($A59,MappingTable!$A:$A,MappingTable!D:D)</f>
        <v>Grönland</v>
      </c>
      <c r="F59" t="str">
        <f>+_xlfn.XLOOKUP($A59,MappingTable!$A:$A,MappingTable!E:E)</f>
        <v>Groenland</v>
      </c>
      <c r="G59" t="str">
        <f>+_xlfn.XLOOKUP($A59,MappingTable!$A:$A,MappingTable!F:F)</f>
        <v>グリーンランド</v>
      </c>
      <c r="H59" t="str">
        <f>+_xlfn.XLOOKUP($A59,MappingTable!$A:$A,MappingTable!G:G)</f>
        <v>Groenlandia</v>
      </c>
      <c r="I59" t="str">
        <f>+_xlfn.XLOOKUP($A59,MappingTable!$A:$A,MappingTable!H:H)</f>
        <v>Groenlandia</v>
      </c>
      <c r="J59" t="str">
        <f>+_xlfn.XLOOKUP($A59,MappingTable!$A:$A,MappingTable!I:I)</f>
        <v>Groenlândia</v>
      </c>
      <c r="U59" s="16"/>
    </row>
    <row r="60" spans="1:21" x14ac:dyDescent="0.25">
      <c r="A60" s="10" t="s">
        <v>458</v>
      </c>
      <c r="B60" s="10" t="s">
        <v>459</v>
      </c>
      <c r="C60" t="str">
        <f>+_xlfn.XLOOKUP(A60,MappingTable!A:A,MappingTable!B:B)</f>
        <v>Guatemala</v>
      </c>
      <c r="D60" t="str">
        <f>+_xlfn.XLOOKUP($A60,MappingTable!$A:$A,MappingTable!C:C)</f>
        <v>Gvatemala</v>
      </c>
      <c r="E60" t="str">
        <f>+_xlfn.XLOOKUP($A60,MappingTable!$A:$A,MappingTable!D:D)</f>
        <v>Guatemala</v>
      </c>
      <c r="F60" t="str">
        <f>+_xlfn.XLOOKUP($A60,MappingTable!$A:$A,MappingTable!E:E)</f>
        <v>Guatemala</v>
      </c>
      <c r="G60" t="str">
        <f>+_xlfn.XLOOKUP($A60,MappingTable!$A:$A,MappingTable!F:F)</f>
        <v>グアテマラ</v>
      </c>
      <c r="H60" t="str">
        <f>+_xlfn.XLOOKUP($A60,MappingTable!$A:$A,MappingTable!G:G)</f>
        <v>Guatemala</v>
      </c>
      <c r="I60" t="str">
        <f>+_xlfn.XLOOKUP($A60,MappingTable!$A:$A,MappingTable!H:H)</f>
        <v>Guatemala</v>
      </c>
      <c r="J60" t="str">
        <f>+_xlfn.XLOOKUP($A60,MappingTable!$A:$A,MappingTable!I:I)</f>
        <v>Guatemala</v>
      </c>
      <c r="U60" s="16"/>
    </row>
    <row r="61" spans="1:21" x14ac:dyDescent="0.25">
      <c r="A61" s="10" t="s">
        <v>467</v>
      </c>
      <c r="B61" s="10" t="s">
        <v>468</v>
      </c>
      <c r="C61" t="str">
        <f>+_xlfn.XLOOKUP(A61,MappingTable!A:A,MappingTable!B:B)</f>
        <v>Hong Kong</v>
      </c>
      <c r="D61" t="str">
        <f>+_xlfn.XLOOKUP($A61,MappingTable!$A:$A,MappingTable!C:C)</f>
        <v>Hong Kong</v>
      </c>
      <c r="E61" t="str">
        <f>+_xlfn.XLOOKUP($A61,MappingTable!$A:$A,MappingTable!D:D)</f>
        <v>Hongkong</v>
      </c>
      <c r="F61" t="str">
        <f>+_xlfn.XLOOKUP($A61,MappingTable!$A:$A,MappingTable!E:E)</f>
        <v>Hong Kong</v>
      </c>
      <c r="G61" t="str">
        <f>+_xlfn.XLOOKUP($A61,MappingTable!$A:$A,MappingTable!F:F)</f>
        <v>香港</v>
      </c>
      <c r="H61" t="str">
        <f>+_xlfn.XLOOKUP($A61,MappingTable!$A:$A,MappingTable!G:G)</f>
        <v>Hong Kong</v>
      </c>
      <c r="I61" t="str">
        <f>+_xlfn.XLOOKUP($A61,MappingTable!$A:$A,MappingTable!H:H)</f>
        <v>Hong Kong</v>
      </c>
      <c r="J61" t="str">
        <f>+_xlfn.XLOOKUP($A61,MappingTable!$A:$A,MappingTable!I:I)</f>
        <v>Hong Kong</v>
      </c>
      <c r="U61" s="16"/>
    </row>
    <row r="62" spans="1:21" x14ac:dyDescent="0.25">
      <c r="A62" s="10" t="s">
        <v>485</v>
      </c>
      <c r="B62" s="10" t="s">
        <v>486</v>
      </c>
      <c r="C62" t="str">
        <f>+_xlfn.XLOOKUP(A62,MappingTable!A:A,MappingTable!B:B)</f>
        <v>Hungary</v>
      </c>
      <c r="D62" t="str">
        <f>+_xlfn.XLOOKUP($A62,MappingTable!$A:$A,MappingTable!C:C)</f>
        <v>Mađarska</v>
      </c>
      <c r="E62" t="str">
        <f>+_xlfn.XLOOKUP($A62,MappingTable!$A:$A,MappingTable!D:D)</f>
        <v>Ungarn</v>
      </c>
      <c r="F62" t="str">
        <f>+_xlfn.XLOOKUP($A62,MappingTable!$A:$A,MappingTable!E:E)</f>
        <v>Hongrie</v>
      </c>
      <c r="G62" t="str">
        <f>+_xlfn.XLOOKUP($A62,MappingTable!$A:$A,MappingTable!F:F)</f>
        <v>ハンガリー</v>
      </c>
      <c r="H62" t="str">
        <f>+_xlfn.XLOOKUP($A62,MappingTable!$A:$A,MappingTable!G:G)</f>
        <v>Ungheria</v>
      </c>
      <c r="I62" t="str">
        <f>+_xlfn.XLOOKUP($A62,MappingTable!$A:$A,MappingTable!H:H)</f>
        <v>Hungría</v>
      </c>
      <c r="J62" t="str">
        <f>+_xlfn.XLOOKUP($A62,MappingTable!$A:$A,MappingTable!I:I)</f>
        <v>Hungria</v>
      </c>
      <c r="U62" s="16"/>
    </row>
    <row r="63" spans="1:21" x14ac:dyDescent="0.25">
      <c r="A63" s="10" t="s">
        <v>539</v>
      </c>
      <c r="B63" s="10" t="s">
        <v>540</v>
      </c>
      <c r="C63" t="str">
        <f>+_xlfn.XLOOKUP(A63,MappingTable!A:A,MappingTable!B:B)</f>
        <v>Iceland</v>
      </c>
      <c r="D63" t="str">
        <f>+_xlfn.XLOOKUP($A63,MappingTable!$A:$A,MappingTable!C:C)</f>
        <v>Island</v>
      </c>
      <c r="E63" t="str">
        <f>+_xlfn.XLOOKUP($A63,MappingTable!$A:$A,MappingTable!D:D)</f>
        <v>Island</v>
      </c>
      <c r="F63" t="str">
        <f>+_xlfn.XLOOKUP($A63,MappingTable!$A:$A,MappingTable!E:E)</f>
        <v>Islande</v>
      </c>
      <c r="G63" t="str">
        <f>+_xlfn.XLOOKUP($A63,MappingTable!$A:$A,MappingTable!F:F)</f>
        <v>アイスランド</v>
      </c>
      <c r="H63" t="str">
        <f>+_xlfn.XLOOKUP($A63,MappingTable!$A:$A,MappingTable!G:G)</f>
        <v>Islanda</v>
      </c>
      <c r="I63" t="str">
        <f>+_xlfn.XLOOKUP($A63,MappingTable!$A:$A,MappingTable!H:H)</f>
        <v>Islandia</v>
      </c>
      <c r="J63" t="str">
        <f>+_xlfn.XLOOKUP($A63,MappingTable!$A:$A,MappingTable!I:I)</f>
        <v>Islândia</v>
      </c>
      <c r="U63" s="16"/>
    </row>
    <row r="64" spans="1:21" x14ac:dyDescent="0.25">
      <c r="A64" s="10" t="s">
        <v>522</v>
      </c>
      <c r="B64" s="10" t="s">
        <v>523</v>
      </c>
      <c r="C64" t="str">
        <f>+_xlfn.XLOOKUP(A64,MappingTable!A:A,MappingTable!B:B)</f>
        <v>India</v>
      </c>
      <c r="D64" t="str">
        <f>+_xlfn.XLOOKUP($A64,MappingTable!$A:$A,MappingTable!C:C)</f>
        <v>Indija</v>
      </c>
      <c r="E64" t="str">
        <f>+_xlfn.XLOOKUP($A64,MappingTable!$A:$A,MappingTable!D:D)</f>
        <v>Indien</v>
      </c>
      <c r="F64" t="str">
        <f>+_xlfn.XLOOKUP($A64,MappingTable!$A:$A,MappingTable!E:E)</f>
        <v>Inde</v>
      </c>
      <c r="G64" t="str">
        <f>+_xlfn.XLOOKUP($A64,MappingTable!$A:$A,MappingTable!F:F)</f>
        <v>インド</v>
      </c>
      <c r="H64" t="str">
        <f>+_xlfn.XLOOKUP($A64,MappingTable!$A:$A,MappingTable!G:G)</f>
        <v>India</v>
      </c>
      <c r="I64" t="str">
        <f>+_xlfn.XLOOKUP($A64,MappingTable!$A:$A,MappingTable!H:H)</f>
        <v>India</v>
      </c>
      <c r="J64" t="str">
        <f>+_xlfn.XLOOKUP($A64,MappingTable!$A:$A,MappingTable!I:I)</f>
        <v>Índia</v>
      </c>
      <c r="U64" s="16"/>
    </row>
    <row r="65" spans="1:21" x14ac:dyDescent="0.25">
      <c r="A65" s="10" t="s">
        <v>494</v>
      </c>
      <c r="B65" s="10" t="s">
        <v>495</v>
      </c>
      <c r="C65" t="str">
        <f>+_xlfn.XLOOKUP(A65,MappingTable!A:A,MappingTable!B:B)</f>
        <v>Indonesia</v>
      </c>
      <c r="D65" t="str">
        <f>+_xlfn.XLOOKUP($A65,MappingTable!$A:$A,MappingTable!C:C)</f>
        <v>Indonezija</v>
      </c>
      <c r="E65" t="str">
        <f>+_xlfn.XLOOKUP($A65,MappingTable!$A:$A,MappingTable!D:D)</f>
        <v>Indonesien</v>
      </c>
      <c r="F65" t="str">
        <f>+_xlfn.XLOOKUP($A65,MappingTable!$A:$A,MappingTable!E:E)</f>
        <v>Indonésie</v>
      </c>
      <c r="G65" t="str">
        <f>+_xlfn.XLOOKUP($A65,MappingTable!$A:$A,MappingTable!F:F)</f>
        <v>インドネシア</v>
      </c>
      <c r="H65" t="str">
        <f>+_xlfn.XLOOKUP($A65,MappingTable!$A:$A,MappingTable!G:G)</f>
        <v>Indonesia</v>
      </c>
      <c r="I65" t="str">
        <f>+_xlfn.XLOOKUP($A65,MappingTable!$A:$A,MappingTable!H:H)</f>
        <v>Indonesia</v>
      </c>
      <c r="J65" t="str">
        <f>+_xlfn.XLOOKUP($A65,MappingTable!$A:$A,MappingTable!I:I)</f>
        <v>Indonésia</v>
      </c>
      <c r="U65" s="16"/>
    </row>
    <row r="66" spans="1:21" x14ac:dyDescent="0.25">
      <c r="A66" s="10" t="s">
        <v>534</v>
      </c>
      <c r="B66" s="10" t="s">
        <v>535</v>
      </c>
      <c r="C66" t="str">
        <f>+_xlfn.XLOOKUP(A66,MappingTable!A:A,MappingTable!B:B)</f>
        <v>Iran</v>
      </c>
      <c r="D66" t="str">
        <f>+_xlfn.XLOOKUP($A66,MappingTable!$A:$A,MappingTable!C:C)</f>
        <v>Iran</v>
      </c>
      <c r="E66" t="str">
        <f>+_xlfn.XLOOKUP($A66,MappingTable!$A:$A,MappingTable!D:D)</f>
        <v>Iran</v>
      </c>
      <c r="F66" t="str">
        <f>+_xlfn.XLOOKUP($A66,MappingTable!$A:$A,MappingTable!E:E)</f>
        <v>Iran</v>
      </c>
      <c r="G66" t="str">
        <f>+_xlfn.XLOOKUP($A66,MappingTable!$A:$A,MappingTable!F:F)</f>
        <v>イラン・イスラム共和国</v>
      </c>
      <c r="H66" t="str">
        <f>+_xlfn.XLOOKUP($A66,MappingTable!$A:$A,MappingTable!G:G)</f>
        <v>Iran</v>
      </c>
      <c r="I66" t="str">
        <f>+_xlfn.XLOOKUP($A66,MappingTable!$A:$A,MappingTable!H:H)</f>
        <v>Irán</v>
      </c>
      <c r="J66" t="str">
        <f>+_xlfn.XLOOKUP($A66,MappingTable!$A:$A,MappingTable!I:I)</f>
        <v>Irã</v>
      </c>
      <c r="U66" s="16"/>
    </row>
    <row r="67" spans="1:21" x14ac:dyDescent="0.25">
      <c r="A67" s="10" t="s">
        <v>529</v>
      </c>
      <c r="B67" s="10" t="s">
        <v>530</v>
      </c>
      <c r="C67" t="str">
        <f>+_xlfn.XLOOKUP(A67,MappingTable!A:A,MappingTable!B:B)</f>
        <v>Iraq</v>
      </c>
      <c r="D67" t="str">
        <f>+_xlfn.XLOOKUP($A67,MappingTable!$A:$A,MappingTable!C:C)</f>
        <v>Irak</v>
      </c>
      <c r="E67" t="str">
        <f>+_xlfn.XLOOKUP($A67,MappingTable!$A:$A,MappingTable!D:D)</f>
        <v>Irak</v>
      </c>
      <c r="F67" t="str">
        <f>+_xlfn.XLOOKUP($A67,MappingTable!$A:$A,MappingTable!E:E)</f>
        <v>Irak</v>
      </c>
      <c r="G67" t="str">
        <f>+_xlfn.XLOOKUP($A67,MappingTable!$A:$A,MappingTable!F:F)</f>
        <v>イラク</v>
      </c>
      <c r="H67" t="str">
        <f>+_xlfn.XLOOKUP($A67,MappingTable!$A:$A,MappingTable!G:G)</f>
        <v>Iraq</v>
      </c>
      <c r="I67" t="str">
        <f>+_xlfn.XLOOKUP($A67,MappingTable!$A:$A,MappingTable!H:H)</f>
        <v>Iraq</v>
      </c>
      <c r="J67" t="str">
        <f>+_xlfn.XLOOKUP($A67,MappingTable!$A:$A,MappingTable!I:I)</f>
        <v>Iraque</v>
      </c>
      <c r="U67" s="16"/>
    </row>
    <row r="68" spans="1:21" x14ac:dyDescent="0.25">
      <c r="A68" s="10" t="s">
        <v>501</v>
      </c>
      <c r="B68" s="10" t="s">
        <v>502</v>
      </c>
      <c r="C68" t="str">
        <f>+_xlfn.XLOOKUP(A68,MappingTable!A:A,MappingTable!B:B)</f>
        <v>Ireland</v>
      </c>
      <c r="D68" t="str">
        <f>+_xlfn.XLOOKUP($A68,MappingTable!$A:$A,MappingTable!C:C)</f>
        <v>Irska</v>
      </c>
      <c r="E68" t="str">
        <f>+_xlfn.XLOOKUP($A68,MappingTable!$A:$A,MappingTable!D:D)</f>
        <v>Irland</v>
      </c>
      <c r="F68" t="str">
        <f>+_xlfn.XLOOKUP($A68,MappingTable!$A:$A,MappingTable!E:E)</f>
        <v>Irlande</v>
      </c>
      <c r="G68" t="str">
        <f>+_xlfn.XLOOKUP($A68,MappingTable!$A:$A,MappingTable!F:F)</f>
        <v>アイルランド</v>
      </c>
      <c r="H68" t="str">
        <f>+_xlfn.XLOOKUP($A68,MappingTable!$A:$A,MappingTable!G:G)</f>
        <v>Irlanda</v>
      </c>
      <c r="I68" t="str">
        <f>+_xlfn.XLOOKUP($A68,MappingTable!$A:$A,MappingTable!H:H)</f>
        <v>Irlanda</v>
      </c>
      <c r="J68" t="str">
        <f>+_xlfn.XLOOKUP($A68,MappingTable!$A:$A,MappingTable!I:I)</f>
        <v>Irlanda</v>
      </c>
      <c r="U68" s="16"/>
    </row>
    <row r="69" spans="1:21" x14ac:dyDescent="0.25">
      <c r="A69" s="10" t="s">
        <v>508</v>
      </c>
      <c r="B69" s="10" t="s">
        <v>509</v>
      </c>
      <c r="C69" t="str">
        <f>+_xlfn.XLOOKUP(A69,MappingTable!A:A,MappingTable!B:B)</f>
        <v>Israel</v>
      </c>
      <c r="D69" t="str">
        <f>+_xlfn.XLOOKUP($A69,MappingTable!$A:$A,MappingTable!C:C)</f>
        <v>Izrael</v>
      </c>
      <c r="E69" t="str">
        <f>+_xlfn.XLOOKUP($A69,MappingTable!$A:$A,MappingTable!D:D)</f>
        <v>Israel</v>
      </c>
      <c r="F69" t="str">
        <f>+_xlfn.XLOOKUP($A69,MappingTable!$A:$A,MappingTable!E:E)</f>
        <v>Israël</v>
      </c>
      <c r="G69" t="str">
        <f>+_xlfn.XLOOKUP($A69,MappingTable!$A:$A,MappingTable!F:F)</f>
        <v>イスラエル</v>
      </c>
      <c r="H69" t="str">
        <f>+_xlfn.XLOOKUP($A69,MappingTable!$A:$A,MappingTable!G:G)</f>
        <v>Israele</v>
      </c>
      <c r="I69" t="str">
        <f>+_xlfn.XLOOKUP($A69,MappingTable!$A:$A,MappingTable!H:H)</f>
        <v>Israel</v>
      </c>
      <c r="J69" t="str">
        <f>+_xlfn.XLOOKUP($A69,MappingTable!$A:$A,MappingTable!I:I)</f>
        <v>Israel</v>
      </c>
      <c r="U69" s="16"/>
    </row>
    <row r="70" spans="1:21" x14ac:dyDescent="0.25">
      <c r="A70" s="10" t="s">
        <v>547</v>
      </c>
      <c r="B70" s="10" t="s">
        <v>548</v>
      </c>
      <c r="C70" t="str">
        <f>+_xlfn.XLOOKUP(A70,MappingTable!A:A,MappingTable!B:B)</f>
        <v>Italy</v>
      </c>
      <c r="D70" t="str">
        <f>+_xlfn.XLOOKUP($A70,MappingTable!$A:$A,MappingTable!C:C)</f>
        <v>Italija</v>
      </c>
      <c r="E70" t="str">
        <f>+_xlfn.XLOOKUP($A70,MappingTable!$A:$A,MappingTable!D:D)</f>
        <v>Italien</v>
      </c>
      <c r="F70" t="str">
        <f>+_xlfn.XLOOKUP($A70,MappingTable!$A:$A,MappingTable!E:E)</f>
        <v>Italie</v>
      </c>
      <c r="G70" t="str">
        <f>+_xlfn.XLOOKUP($A70,MappingTable!$A:$A,MappingTable!F:F)</f>
        <v>イタリア</v>
      </c>
      <c r="H70" t="str">
        <f>+_xlfn.XLOOKUP($A70,MappingTable!$A:$A,MappingTable!G:G)</f>
        <v>Italia</v>
      </c>
      <c r="I70" t="str">
        <f>+_xlfn.XLOOKUP($A70,MappingTable!$A:$A,MappingTable!H:H)</f>
        <v>Italia</v>
      </c>
      <c r="J70" t="str">
        <f>+_xlfn.XLOOKUP($A70,MappingTable!$A:$A,MappingTable!I:I)</f>
        <v>Itália</v>
      </c>
      <c r="U70" s="16"/>
    </row>
    <row r="71" spans="1:21" x14ac:dyDescent="0.25">
      <c r="A71" s="10" t="s">
        <v>558</v>
      </c>
      <c r="B71" s="10" t="s">
        <v>559</v>
      </c>
      <c r="C71" t="str">
        <f>+_xlfn.XLOOKUP(A71,MappingTable!A:A,MappingTable!B:B)</f>
        <v>Jamaica</v>
      </c>
      <c r="D71" t="str">
        <f>+_xlfn.XLOOKUP($A71,MappingTable!$A:$A,MappingTable!C:C)</f>
        <v>Jamajka</v>
      </c>
      <c r="E71" t="str">
        <f>+_xlfn.XLOOKUP($A71,MappingTable!$A:$A,MappingTable!D:D)</f>
        <v>Jamaika</v>
      </c>
      <c r="F71" t="str">
        <f>+_xlfn.XLOOKUP($A71,MappingTable!$A:$A,MappingTable!E:E)</f>
        <v>Jamaïque</v>
      </c>
      <c r="G71" t="str">
        <f>+_xlfn.XLOOKUP($A71,MappingTable!$A:$A,MappingTable!F:F)</f>
        <v>ジャマイカ</v>
      </c>
      <c r="H71" t="str">
        <f>+_xlfn.XLOOKUP($A71,MappingTable!$A:$A,MappingTable!G:G)</f>
        <v>Giamaica</v>
      </c>
      <c r="I71" t="str">
        <f>+_xlfn.XLOOKUP($A71,MappingTable!$A:$A,MappingTable!H:H)</f>
        <v>Jamaica</v>
      </c>
      <c r="J71" t="str">
        <f>+_xlfn.XLOOKUP($A71,MappingTable!$A:$A,MappingTable!I:I)</f>
        <v>Jamaica</v>
      </c>
      <c r="U71" s="16"/>
    </row>
    <row r="72" spans="1:21" x14ac:dyDescent="0.25">
      <c r="A72" s="10" t="s">
        <v>573</v>
      </c>
      <c r="B72" s="10" t="s">
        <v>574</v>
      </c>
      <c r="C72" t="str">
        <f>+_xlfn.XLOOKUP(A72,MappingTable!A:A,MappingTable!B:B)</f>
        <v>Japan</v>
      </c>
      <c r="D72" t="str">
        <f>+_xlfn.XLOOKUP($A72,MappingTable!$A:$A,MappingTable!C:C)</f>
        <v>Japan</v>
      </c>
      <c r="E72" t="str">
        <f>+_xlfn.XLOOKUP($A72,MappingTable!$A:$A,MappingTable!D:D)</f>
        <v>Japan</v>
      </c>
      <c r="F72" t="str">
        <f>+_xlfn.XLOOKUP($A72,MappingTable!$A:$A,MappingTable!E:E)</f>
        <v>Japon</v>
      </c>
      <c r="G72" t="str">
        <f>+_xlfn.XLOOKUP($A72,MappingTable!$A:$A,MappingTable!F:F)</f>
        <v>日本</v>
      </c>
      <c r="H72" t="str">
        <f>+_xlfn.XLOOKUP($A72,MappingTable!$A:$A,MappingTable!G:G)</f>
        <v>Giappone</v>
      </c>
      <c r="I72" t="str">
        <f>+_xlfn.XLOOKUP($A72,MappingTable!$A:$A,MappingTable!H:H)</f>
        <v>Japón</v>
      </c>
      <c r="J72" t="str">
        <f>+_xlfn.XLOOKUP($A72,MappingTable!$A:$A,MappingTable!I:I)</f>
        <v>Japão</v>
      </c>
      <c r="U72" s="16"/>
    </row>
    <row r="73" spans="1:21" x14ac:dyDescent="0.25">
      <c r="A73" s="10" t="s">
        <v>565</v>
      </c>
      <c r="B73" s="10" t="s">
        <v>566</v>
      </c>
      <c r="C73" t="str">
        <f>+_xlfn.XLOOKUP(A73,MappingTable!A:A,MappingTable!B:B)</f>
        <v>Jordan</v>
      </c>
      <c r="D73" t="str">
        <f>+_xlfn.XLOOKUP($A73,MappingTable!$A:$A,MappingTable!C:C)</f>
        <v>Jordan</v>
      </c>
      <c r="E73" t="str">
        <f>+_xlfn.XLOOKUP($A73,MappingTable!$A:$A,MappingTable!D:D)</f>
        <v>Jordanien</v>
      </c>
      <c r="F73" t="str">
        <f>+_xlfn.XLOOKUP($A73,MappingTable!$A:$A,MappingTable!E:E)</f>
        <v>Jordanie</v>
      </c>
      <c r="G73" t="str">
        <f>+_xlfn.XLOOKUP($A73,MappingTable!$A:$A,MappingTable!F:F)</f>
        <v>ヨルダン</v>
      </c>
      <c r="H73" t="str">
        <f>+_xlfn.XLOOKUP($A73,MappingTable!$A:$A,MappingTable!G:G)</f>
        <v>Giordania</v>
      </c>
      <c r="I73" t="str">
        <f>+_xlfn.XLOOKUP($A73,MappingTable!$A:$A,MappingTable!H:H)</f>
        <v>Jordania</v>
      </c>
      <c r="J73" t="str">
        <f>+_xlfn.XLOOKUP($A73,MappingTable!$A:$A,MappingTable!I:I)</f>
        <v>Jordânia</v>
      </c>
      <c r="U73" s="16"/>
    </row>
    <row r="74" spans="1:21" x14ac:dyDescent="0.25">
      <c r="A74" s="10" t="s">
        <v>635</v>
      </c>
      <c r="B74" s="10" t="s">
        <v>636</v>
      </c>
      <c r="C74" t="str">
        <f>+_xlfn.XLOOKUP(A74,MappingTable!A:A,MappingTable!B:B)</f>
        <v>Kazakhstan</v>
      </c>
      <c r="D74" t="str">
        <f>+_xlfn.XLOOKUP($A74,MappingTable!$A:$A,MappingTable!C:C)</f>
        <v>Kazahstan</v>
      </c>
      <c r="E74" t="str">
        <f>+_xlfn.XLOOKUP($A74,MappingTable!$A:$A,MappingTable!D:D)</f>
        <v>Kasachstan</v>
      </c>
      <c r="F74" t="str">
        <f>+_xlfn.XLOOKUP($A74,MappingTable!$A:$A,MappingTable!E:E)</f>
        <v>Kazakhstan</v>
      </c>
      <c r="G74" t="str">
        <f>+_xlfn.XLOOKUP($A74,MappingTable!$A:$A,MappingTable!F:F)</f>
        <v>カザフスタン</v>
      </c>
      <c r="H74" t="str">
        <f>+_xlfn.XLOOKUP($A74,MappingTable!$A:$A,MappingTable!G:G)</f>
        <v>Kazakistan</v>
      </c>
      <c r="I74" t="str">
        <f>+_xlfn.XLOOKUP($A74,MappingTable!$A:$A,MappingTable!H:H)</f>
        <v>Kazajistán</v>
      </c>
      <c r="J74" t="str">
        <f>+_xlfn.XLOOKUP($A74,MappingTable!$A:$A,MappingTable!I:I)</f>
        <v>Cazaquistão</v>
      </c>
      <c r="U74" s="16"/>
    </row>
    <row r="75" spans="1:21" x14ac:dyDescent="0.25">
      <c r="A75" s="10" t="s">
        <v>580</v>
      </c>
      <c r="B75" s="10" t="s">
        <v>581</v>
      </c>
      <c r="C75" t="str">
        <f>+_xlfn.XLOOKUP(A75,MappingTable!A:A,MappingTable!B:B)</f>
        <v>Kenya</v>
      </c>
      <c r="D75" t="str">
        <f>+_xlfn.XLOOKUP($A75,MappingTable!$A:$A,MappingTable!C:C)</f>
        <v>Kenija</v>
      </c>
      <c r="E75" t="str">
        <f>+_xlfn.XLOOKUP($A75,MappingTable!$A:$A,MappingTable!D:D)</f>
        <v>Kenia</v>
      </c>
      <c r="F75" t="str">
        <f>+_xlfn.XLOOKUP($A75,MappingTable!$A:$A,MappingTable!E:E)</f>
        <v>Kenya</v>
      </c>
      <c r="G75" t="str">
        <f>+_xlfn.XLOOKUP($A75,MappingTable!$A:$A,MappingTable!F:F)</f>
        <v>ケニア</v>
      </c>
      <c r="H75" t="str">
        <f>+_xlfn.XLOOKUP($A75,MappingTable!$A:$A,MappingTable!G:G)</f>
        <v>Kenya</v>
      </c>
      <c r="I75" t="str">
        <f>+_xlfn.XLOOKUP($A75,MappingTable!$A:$A,MappingTable!H:H)</f>
        <v>Kenia</v>
      </c>
      <c r="J75" t="str">
        <f>+_xlfn.XLOOKUP($A75,MappingTable!$A:$A,MappingTable!I:I)</f>
        <v>Quênia</v>
      </c>
      <c r="U75" s="16"/>
    </row>
    <row r="76" spans="1:21" x14ac:dyDescent="0.25">
      <c r="A76" s="10" t="s">
        <v>1190</v>
      </c>
      <c r="B76" s="10" t="s">
        <v>1191</v>
      </c>
      <c r="C76" t="str">
        <f>+_xlfn.XLOOKUP(A76,MappingTable!A:A,MappingTable!B:B)</f>
        <v>Vietnam</v>
      </c>
      <c r="D76" t="str">
        <f>+_xlfn.XLOOKUP($A76,MappingTable!$A:$A,MappingTable!C:C)</f>
        <v>Vijetnam</v>
      </c>
      <c r="E76" t="str">
        <f>+_xlfn.XLOOKUP($A76,MappingTable!$A:$A,MappingTable!D:D)</f>
        <v>Vietnam</v>
      </c>
      <c r="F76" t="str">
        <f>+_xlfn.XLOOKUP($A76,MappingTable!$A:$A,MappingTable!E:E)</f>
        <v>Vietnam</v>
      </c>
      <c r="G76" t="str">
        <f>+_xlfn.XLOOKUP($A76,MappingTable!$A:$A,MappingTable!F:F)</f>
        <v>ベトナム</v>
      </c>
      <c r="H76" t="str">
        <f>+_xlfn.XLOOKUP($A76,MappingTable!$A:$A,MappingTable!G:G)</f>
        <v>Vietnam</v>
      </c>
      <c r="I76" t="str">
        <f>+_xlfn.XLOOKUP($A76,MappingTable!$A:$A,MappingTable!H:H)</f>
        <v>Vietnam</v>
      </c>
      <c r="J76" t="str">
        <f>+_xlfn.XLOOKUP($A76,MappingTable!$A:$A,MappingTable!I:I)</f>
        <v>Vietnã</v>
      </c>
      <c r="U76" s="16"/>
    </row>
    <row r="77" spans="1:21" x14ac:dyDescent="0.25">
      <c r="A77" s="10" t="s">
        <v>621</v>
      </c>
      <c r="B77" s="10" t="s">
        <v>622</v>
      </c>
      <c r="C77" t="str">
        <f>+_xlfn.XLOOKUP(A77,MappingTable!A:A,MappingTable!B:B)</f>
        <v>Kuwait</v>
      </c>
      <c r="D77" t="str">
        <f>+_xlfn.XLOOKUP($A77,MappingTable!$A:$A,MappingTable!C:C)</f>
        <v>Kuvajt</v>
      </c>
      <c r="E77" t="str">
        <f>+_xlfn.XLOOKUP($A77,MappingTable!$A:$A,MappingTable!D:D)</f>
        <v>Kuwait</v>
      </c>
      <c r="F77" t="str">
        <f>+_xlfn.XLOOKUP($A77,MappingTable!$A:$A,MappingTable!E:E)</f>
        <v>Koweït</v>
      </c>
      <c r="G77" t="str">
        <f>+_xlfn.XLOOKUP($A77,MappingTable!$A:$A,MappingTable!F:F)</f>
        <v>クウェート</v>
      </c>
      <c r="H77" t="str">
        <f>+_xlfn.XLOOKUP($A77,MappingTable!$A:$A,MappingTable!G:G)</f>
        <v>Kuwait</v>
      </c>
      <c r="I77" t="str">
        <f>+_xlfn.XLOOKUP($A77,MappingTable!$A:$A,MappingTable!H:H)</f>
        <v>Kuwait</v>
      </c>
      <c r="J77" t="str">
        <f>+_xlfn.XLOOKUP($A77,MappingTable!$A:$A,MappingTable!I:I)</f>
        <v>Kuwait</v>
      </c>
      <c r="U77" s="16"/>
    </row>
    <row r="78" spans="1:21" x14ac:dyDescent="0.25">
      <c r="A78" s="10" t="s">
        <v>586</v>
      </c>
      <c r="B78" s="10" t="s">
        <v>587</v>
      </c>
      <c r="C78" t="str">
        <f>+_xlfn.XLOOKUP(A78,MappingTable!A:A,MappingTable!B:B)</f>
        <v>Kyrgyzstan</v>
      </c>
      <c r="D78" t="str">
        <f>+_xlfn.XLOOKUP($A78,MappingTable!$A:$A,MappingTable!C:C)</f>
        <v>Kirgistan</v>
      </c>
      <c r="E78" t="str">
        <f>+_xlfn.XLOOKUP($A78,MappingTable!$A:$A,MappingTable!D:D)</f>
        <v>Kirgisistan</v>
      </c>
      <c r="F78" t="str">
        <f>+_xlfn.XLOOKUP($A78,MappingTable!$A:$A,MappingTable!E:E)</f>
        <v>Kirghizistan</v>
      </c>
      <c r="G78" t="str">
        <f>+_xlfn.XLOOKUP($A78,MappingTable!$A:$A,MappingTable!F:F)</f>
        <v>キルギス</v>
      </c>
      <c r="H78" t="str">
        <f>+_xlfn.XLOOKUP($A78,MappingTable!$A:$A,MappingTable!G:G)</f>
        <v>Kirghizistan</v>
      </c>
      <c r="I78" t="str">
        <f>+_xlfn.XLOOKUP($A78,MappingTable!$A:$A,MappingTable!H:H)</f>
        <v>Kirguistán</v>
      </c>
      <c r="J78" t="str">
        <f>+_xlfn.XLOOKUP($A78,MappingTable!$A:$A,MappingTable!I:I)</f>
        <v>Quirguistão</v>
      </c>
      <c r="U78" s="16"/>
    </row>
    <row r="79" spans="1:21" x14ac:dyDescent="0.25">
      <c r="A79" s="10" t="s">
        <v>643</v>
      </c>
      <c r="B79" s="10" t="s">
        <v>644</v>
      </c>
      <c r="C79" t="str">
        <f>+_xlfn.XLOOKUP(A79,MappingTable!A:A,MappingTable!B:B)</f>
        <v>Laos</v>
      </c>
      <c r="D79" t="str">
        <f>+_xlfn.XLOOKUP($A79,MappingTable!$A:$A,MappingTable!C:C)</f>
        <v>Laos</v>
      </c>
      <c r="E79" t="str">
        <f>+_xlfn.XLOOKUP($A79,MappingTable!$A:$A,MappingTable!D:D)</f>
        <v>Laos</v>
      </c>
      <c r="F79" t="str">
        <f>+_xlfn.XLOOKUP($A79,MappingTable!$A:$A,MappingTable!E:E)</f>
        <v>Laos</v>
      </c>
      <c r="G79" t="str">
        <f>+_xlfn.XLOOKUP($A79,MappingTable!$A:$A,MappingTable!F:F)</f>
        <v>ラオス人民民主共和国</v>
      </c>
      <c r="H79" t="str">
        <f>+_xlfn.XLOOKUP($A79,MappingTable!$A:$A,MappingTable!G:G)</f>
        <v>Laos</v>
      </c>
      <c r="I79" t="str">
        <f>+_xlfn.XLOOKUP($A79,MappingTable!$A:$A,MappingTable!H:H)</f>
        <v>República Democrática Popular de Lao</v>
      </c>
      <c r="J79" t="str">
        <f>+_xlfn.XLOOKUP($A79,MappingTable!$A:$A,MappingTable!I:I)</f>
        <v>Laos</v>
      </c>
      <c r="U79" s="16"/>
    </row>
    <row r="80" spans="1:21" x14ac:dyDescent="0.25">
      <c r="A80" s="10" t="s">
        <v>695</v>
      </c>
      <c r="B80" s="10" t="s">
        <v>696</v>
      </c>
      <c r="C80" t="str">
        <f>+_xlfn.XLOOKUP(A80,MappingTable!A:A,MappingTable!B:B)</f>
        <v>Latvia</v>
      </c>
      <c r="D80" t="str">
        <f>+_xlfn.XLOOKUP($A80,MappingTable!$A:$A,MappingTable!C:C)</f>
        <v>Latvija</v>
      </c>
      <c r="E80" t="str">
        <f>+_xlfn.XLOOKUP($A80,MappingTable!$A:$A,MappingTable!D:D)</f>
        <v>Lettland</v>
      </c>
      <c r="F80" t="str">
        <f>+_xlfn.XLOOKUP($A80,MappingTable!$A:$A,MappingTable!E:E)</f>
        <v>Lettonie</v>
      </c>
      <c r="G80" t="str">
        <f>+_xlfn.XLOOKUP($A80,MappingTable!$A:$A,MappingTable!F:F)</f>
        <v>ラトビア</v>
      </c>
      <c r="H80" t="str">
        <f>+_xlfn.XLOOKUP($A80,MappingTable!$A:$A,MappingTable!G:G)</f>
        <v>Lettonia</v>
      </c>
      <c r="I80" t="str">
        <f>+_xlfn.XLOOKUP($A80,MappingTable!$A:$A,MappingTable!H:H)</f>
        <v>Letonia</v>
      </c>
      <c r="J80" t="str">
        <f>+_xlfn.XLOOKUP($A80,MappingTable!$A:$A,MappingTable!I:I)</f>
        <v>Letônia</v>
      </c>
      <c r="U80" s="16"/>
    </row>
    <row r="81" spans="1:21" x14ac:dyDescent="0.25">
      <c r="A81" s="10" t="s">
        <v>647</v>
      </c>
      <c r="B81" s="10" t="s">
        <v>648</v>
      </c>
      <c r="C81" t="str">
        <f>+_xlfn.XLOOKUP(A81,MappingTable!A:A,MappingTable!B:B)</f>
        <v>Lebanon</v>
      </c>
      <c r="D81" t="str">
        <f>+_xlfn.XLOOKUP($A81,MappingTable!$A:$A,MappingTable!C:C)</f>
        <v>Libanon</v>
      </c>
      <c r="E81" t="str">
        <f>+_xlfn.XLOOKUP($A81,MappingTable!$A:$A,MappingTable!D:D)</f>
        <v>Libanon</v>
      </c>
      <c r="F81" t="str">
        <f>+_xlfn.XLOOKUP($A81,MappingTable!$A:$A,MappingTable!E:E)</f>
        <v>Liban</v>
      </c>
      <c r="G81" t="str">
        <f>+_xlfn.XLOOKUP($A81,MappingTable!$A:$A,MappingTable!F:F)</f>
        <v>レバノン</v>
      </c>
      <c r="H81" t="str">
        <f>+_xlfn.XLOOKUP($A81,MappingTable!$A:$A,MappingTable!G:G)</f>
        <v>Libano</v>
      </c>
      <c r="I81" t="str">
        <f>+_xlfn.XLOOKUP($A81,MappingTable!$A:$A,MappingTable!H:H)</f>
        <v>Líbano</v>
      </c>
      <c r="J81" t="str">
        <f>+_xlfn.XLOOKUP($A81,MappingTable!$A:$A,MappingTable!I:I)</f>
        <v>Líbano</v>
      </c>
      <c r="U81" s="16"/>
    </row>
    <row r="82" spans="1:21" x14ac:dyDescent="0.25">
      <c r="A82" s="10" t="s">
        <v>676</v>
      </c>
      <c r="B82" s="10" t="s">
        <v>677</v>
      </c>
      <c r="C82" t="str">
        <f>+_xlfn.XLOOKUP(A82,MappingTable!A:A,MappingTable!B:B)</f>
        <v>Lesotho</v>
      </c>
      <c r="D82" t="str">
        <f>+_xlfn.XLOOKUP($A82,MappingTable!$A:$A,MappingTable!C:C)</f>
        <v>Lesoto</v>
      </c>
      <c r="E82" t="str">
        <f>+_xlfn.XLOOKUP($A82,MappingTable!$A:$A,MappingTable!D:D)</f>
        <v>Lesotho</v>
      </c>
      <c r="F82" t="str">
        <f>+_xlfn.XLOOKUP($A82,MappingTable!$A:$A,MappingTable!E:E)</f>
        <v>Lesotho</v>
      </c>
      <c r="G82" t="str">
        <f>+_xlfn.XLOOKUP($A82,MappingTable!$A:$A,MappingTable!F:F)</f>
        <v>レソト</v>
      </c>
      <c r="H82" t="str">
        <f>+_xlfn.XLOOKUP($A82,MappingTable!$A:$A,MappingTable!G:G)</f>
        <v>Lesotho</v>
      </c>
      <c r="I82" t="str">
        <f>+_xlfn.XLOOKUP($A82,MappingTable!$A:$A,MappingTable!H:H)</f>
        <v>Lesoto</v>
      </c>
      <c r="J82" t="str">
        <f>+_xlfn.XLOOKUP($A82,MappingTable!$A:$A,MappingTable!I:I)</f>
        <v>Lesoto</v>
      </c>
      <c r="U82" s="16"/>
    </row>
    <row r="83" spans="1:21" x14ac:dyDescent="0.25">
      <c r="A83" s="10" t="s">
        <v>671</v>
      </c>
      <c r="B83" s="10" t="s">
        <v>672</v>
      </c>
      <c r="C83" t="str">
        <f>+_xlfn.XLOOKUP(A83,MappingTable!A:A,MappingTable!B:B)</f>
        <v>Liberia</v>
      </c>
      <c r="D83" t="str">
        <f>+_xlfn.XLOOKUP($A83,MappingTable!$A:$A,MappingTable!C:C)</f>
        <v>Liberija</v>
      </c>
      <c r="E83" t="str">
        <f>+_xlfn.XLOOKUP($A83,MappingTable!$A:$A,MappingTable!D:D)</f>
        <v>Liberia</v>
      </c>
      <c r="F83" t="str">
        <f>+_xlfn.XLOOKUP($A83,MappingTable!$A:$A,MappingTable!E:E)</f>
        <v>Libéria</v>
      </c>
      <c r="G83" t="str">
        <f>+_xlfn.XLOOKUP($A83,MappingTable!$A:$A,MappingTable!F:F)</f>
        <v>リベリア</v>
      </c>
      <c r="H83" t="str">
        <f>+_xlfn.XLOOKUP($A83,MappingTable!$A:$A,MappingTable!G:G)</f>
        <v>Liberia</v>
      </c>
      <c r="I83" t="str">
        <f>+_xlfn.XLOOKUP($A83,MappingTable!$A:$A,MappingTable!H:H)</f>
        <v>Liberia</v>
      </c>
      <c r="J83" t="str">
        <f>+_xlfn.XLOOKUP($A83,MappingTable!$A:$A,MappingTable!I:I)</f>
        <v>Libéria</v>
      </c>
      <c r="U83" s="16"/>
    </row>
    <row r="84" spans="1:21" x14ac:dyDescent="0.25">
      <c r="A84" s="10" t="s">
        <v>704</v>
      </c>
      <c r="B84" s="10" t="s">
        <v>705</v>
      </c>
      <c r="C84" t="str">
        <f>+_xlfn.XLOOKUP(A84,MappingTable!A:A,MappingTable!B:B)</f>
        <v>Libya</v>
      </c>
      <c r="D84" t="str">
        <f>+_xlfn.XLOOKUP($A84,MappingTable!$A:$A,MappingTable!C:C)</f>
        <v>Libija</v>
      </c>
      <c r="E84" t="str">
        <f>+_xlfn.XLOOKUP($A84,MappingTable!$A:$A,MappingTable!D:D)</f>
        <v>Libyen</v>
      </c>
      <c r="F84" t="str">
        <f>+_xlfn.XLOOKUP($A84,MappingTable!$A:$A,MappingTable!E:E)</f>
        <v>Libye</v>
      </c>
      <c r="G84" t="str">
        <f>+_xlfn.XLOOKUP($A84,MappingTable!$A:$A,MappingTable!F:F)</f>
        <v>リビア</v>
      </c>
      <c r="H84" t="str">
        <f>+_xlfn.XLOOKUP($A84,MappingTable!$A:$A,MappingTable!G:G)</f>
        <v>Libia</v>
      </c>
      <c r="I84" t="str">
        <f>+_xlfn.XLOOKUP($A84,MappingTable!$A:$A,MappingTable!H:H)</f>
        <v>Libia</v>
      </c>
      <c r="J84" t="str">
        <f>+_xlfn.XLOOKUP($A84,MappingTable!$A:$A,MappingTable!I:I)</f>
        <v>Líbia</v>
      </c>
      <c r="U84" s="16"/>
    </row>
    <row r="85" spans="1:21" x14ac:dyDescent="0.25">
      <c r="A85" s="10" t="s">
        <v>663</v>
      </c>
      <c r="B85" s="10" t="s">
        <v>664</v>
      </c>
      <c r="C85" t="str">
        <f>+_xlfn.XLOOKUP(A85,MappingTable!A:A,MappingTable!B:B)</f>
        <v>Liechtenstein</v>
      </c>
      <c r="D85" t="str">
        <f>+_xlfn.XLOOKUP($A85,MappingTable!$A:$A,MappingTable!C:C)</f>
        <v>Lihtenštajn</v>
      </c>
      <c r="E85" t="str">
        <f>+_xlfn.XLOOKUP($A85,MappingTable!$A:$A,MappingTable!D:D)</f>
        <v>Liechtenstein</v>
      </c>
      <c r="F85" t="str">
        <f>+_xlfn.XLOOKUP($A85,MappingTable!$A:$A,MappingTable!E:E)</f>
        <v>Liechtenstein</v>
      </c>
      <c r="G85" t="str">
        <f>+_xlfn.XLOOKUP($A85,MappingTable!$A:$A,MappingTable!F:F)</f>
        <v>リヒテンシュタイン</v>
      </c>
      <c r="H85" t="str">
        <f>+_xlfn.XLOOKUP($A85,MappingTable!$A:$A,MappingTable!G:G)</f>
        <v>Liechtenstein</v>
      </c>
      <c r="I85" t="str">
        <f>+_xlfn.XLOOKUP($A85,MappingTable!$A:$A,MappingTable!H:H)</f>
        <v>Liechtenstein</v>
      </c>
      <c r="J85" t="str">
        <f>+_xlfn.XLOOKUP($A85,MappingTable!$A:$A,MappingTable!I:I)</f>
        <v>Liechtenstein</v>
      </c>
      <c r="U85" s="16"/>
    </row>
    <row r="86" spans="1:21" x14ac:dyDescent="0.25">
      <c r="A86" s="10" t="s">
        <v>680</v>
      </c>
      <c r="B86" s="10" t="s">
        <v>681</v>
      </c>
      <c r="C86" t="str">
        <f>+_xlfn.XLOOKUP(A86,MappingTable!A:A,MappingTable!B:B)</f>
        <v>Lithuania</v>
      </c>
      <c r="D86" t="str">
        <f>+_xlfn.XLOOKUP($A86,MappingTable!$A:$A,MappingTable!C:C)</f>
        <v>Litva</v>
      </c>
      <c r="E86" t="str">
        <f>+_xlfn.XLOOKUP($A86,MappingTable!$A:$A,MappingTable!D:D)</f>
        <v>Litauen</v>
      </c>
      <c r="F86" t="str">
        <f>+_xlfn.XLOOKUP($A86,MappingTable!$A:$A,MappingTable!E:E)</f>
        <v>Lituanie</v>
      </c>
      <c r="G86" t="str">
        <f>+_xlfn.XLOOKUP($A86,MappingTable!$A:$A,MappingTable!F:F)</f>
        <v>リトアニア</v>
      </c>
      <c r="H86" t="str">
        <f>+_xlfn.XLOOKUP($A86,MappingTable!$A:$A,MappingTable!G:G)</f>
        <v>Lituania</v>
      </c>
      <c r="I86" t="str">
        <f>+_xlfn.XLOOKUP($A86,MappingTable!$A:$A,MappingTable!H:H)</f>
        <v>Lituania</v>
      </c>
      <c r="J86" t="str">
        <f>+_xlfn.XLOOKUP($A86,MappingTable!$A:$A,MappingTable!I:I)</f>
        <v>Lituânia</v>
      </c>
      <c r="U86" s="16"/>
    </row>
    <row r="87" spans="1:21" x14ac:dyDescent="0.25">
      <c r="A87" s="10" t="s">
        <v>688</v>
      </c>
      <c r="B87" s="10" t="s">
        <v>689</v>
      </c>
      <c r="C87" t="str">
        <f>+_xlfn.XLOOKUP(A87,MappingTable!A:A,MappingTable!B:B)</f>
        <v>Luxembourg</v>
      </c>
      <c r="D87" t="str">
        <f>+_xlfn.XLOOKUP($A87,MappingTable!$A:$A,MappingTable!C:C)</f>
        <v>Luksemburg</v>
      </c>
      <c r="E87" t="str">
        <f>+_xlfn.XLOOKUP($A87,MappingTable!$A:$A,MappingTable!D:D)</f>
        <v>Luxemburg</v>
      </c>
      <c r="F87" t="str">
        <f>+_xlfn.XLOOKUP($A87,MappingTable!$A:$A,MappingTable!E:E)</f>
        <v>Luxembourg</v>
      </c>
      <c r="G87" t="str">
        <f>+_xlfn.XLOOKUP($A87,MappingTable!$A:$A,MappingTable!F:F)</f>
        <v>ルクセンブルク</v>
      </c>
      <c r="H87" t="str">
        <f>+_xlfn.XLOOKUP($A87,MappingTable!$A:$A,MappingTable!G:G)</f>
        <v>Lussemburgo</v>
      </c>
      <c r="I87" t="str">
        <f>+_xlfn.XLOOKUP($A87,MappingTable!$A:$A,MappingTable!H:H)</f>
        <v>Luxemburgo</v>
      </c>
      <c r="J87" t="str">
        <f>+_xlfn.XLOOKUP($A87,MappingTable!$A:$A,MappingTable!I:I)</f>
        <v>Luxemburgo</v>
      </c>
      <c r="U87" s="16"/>
    </row>
    <row r="88" spans="1:21" x14ac:dyDescent="0.25">
      <c r="A88" s="10" t="s">
        <v>764</v>
      </c>
      <c r="B88" s="10" t="s">
        <v>765</v>
      </c>
      <c r="C88" t="str">
        <f>+_xlfn.XLOOKUP(A88,MappingTable!A:A,MappingTable!B:B)</f>
        <v>Macao</v>
      </c>
      <c r="D88" t="str">
        <f>+_xlfn.XLOOKUP($A88,MappingTable!$A:$A,MappingTable!C:C)</f>
        <v>Makao</v>
      </c>
      <c r="E88" t="str">
        <f>+_xlfn.XLOOKUP($A88,MappingTable!$A:$A,MappingTable!D:D)</f>
        <v>Macao</v>
      </c>
      <c r="F88" t="str">
        <f>+_xlfn.XLOOKUP($A88,MappingTable!$A:$A,MappingTable!E:E)</f>
        <v>Macao</v>
      </c>
      <c r="G88" t="str">
        <f>+_xlfn.XLOOKUP($A88,MappingTable!$A:$A,MappingTable!F:F)</f>
        <v>マカオ</v>
      </c>
      <c r="H88" t="str">
        <f>+_xlfn.XLOOKUP($A88,MappingTable!$A:$A,MappingTable!G:G)</f>
        <v>Macao</v>
      </c>
      <c r="I88" t="str">
        <f>+_xlfn.XLOOKUP($A88,MappingTable!$A:$A,MappingTable!H:H)</f>
        <v>Macao</v>
      </c>
      <c r="J88" t="str">
        <f>+_xlfn.XLOOKUP($A88,MappingTable!$A:$A,MappingTable!I:I)</f>
        <v>Macau</v>
      </c>
      <c r="U88" s="16"/>
    </row>
    <row r="89" spans="1:21" x14ac:dyDescent="0.25">
      <c r="A89" s="10" t="s">
        <v>805</v>
      </c>
      <c r="B89" s="10" t="s">
        <v>806</v>
      </c>
      <c r="C89" t="str">
        <f>+_xlfn.XLOOKUP(A89,MappingTable!A:A,MappingTable!B:B)</f>
        <v>Malaysia</v>
      </c>
      <c r="D89" t="str">
        <f>+_xlfn.XLOOKUP($A89,MappingTable!$A:$A,MappingTable!C:C)</f>
        <v>Malezija</v>
      </c>
      <c r="E89" t="str">
        <f>+_xlfn.XLOOKUP($A89,MappingTable!$A:$A,MappingTable!D:D)</f>
        <v>Malaysia</v>
      </c>
      <c r="F89" t="str">
        <f>+_xlfn.XLOOKUP($A89,MappingTable!$A:$A,MappingTable!E:E)</f>
        <v>Malaisie</v>
      </c>
      <c r="G89" t="str">
        <f>+_xlfn.XLOOKUP($A89,MappingTable!$A:$A,MappingTable!F:F)</f>
        <v>マレーシア</v>
      </c>
      <c r="H89" t="str">
        <f>+_xlfn.XLOOKUP($A89,MappingTable!$A:$A,MappingTable!G:G)</f>
        <v>Malesia</v>
      </c>
      <c r="I89" t="str">
        <f>+_xlfn.XLOOKUP($A89,MappingTable!$A:$A,MappingTable!H:H)</f>
        <v>Malasia</v>
      </c>
      <c r="J89" t="str">
        <f>+_xlfn.XLOOKUP($A89,MappingTable!$A:$A,MappingTable!I:I)</f>
        <v>Malásia</v>
      </c>
      <c r="U89" s="16"/>
    </row>
    <row r="90" spans="1:21" x14ac:dyDescent="0.25">
      <c r="A90" s="10" t="s">
        <v>790</v>
      </c>
      <c r="B90" s="10" t="s">
        <v>791</v>
      </c>
      <c r="C90" t="str">
        <f>+_xlfn.XLOOKUP(A90,MappingTable!A:A,MappingTable!B:B)</f>
        <v>Maldives</v>
      </c>
      <c r="D90" t="str">
        <f>+_xlfn.XLOOKUP($A90,MappingTable!$A:$A,MappingTable!C:C)</f>
        <v>Maldivi</v>
      </c>
      <c r="E90" t="str">
        <f>+_xlfn.XLOOKUP($A90,MappingTable!$A:$A,MappingTable!D:D)</f>
        <v>Malediven</v>
      </c>
      <c r="F90" t="str">
        <f>+_xlfn.XLOOKUP($A90,MappingTable!$A:$A,MappingTable!E:E)</f>
        <v>Maldives</v>
      </c>
      <c r="G90" t="str">
        <f>+_xlfn.XLOOKUP($A90,MappingTable!$A:$A,MappingTable!F:F)</f>
        <v>モルディブ</v>
      </c>
      <c r="H90" t="str">
        <f>+_xlfn.XLOOKUP($A90,MappingTable!$A:$A,MappingTable!G:G)</f>
        <v>Maldive</v>
      </c>
      <c r="I90" t="str">
        <f>+_xlfn.XLOOKUP($A90,MappingTable!$A:$A,MappingTable!H:H)</f>
        <v>Maldivas</v>
      </c>
      <c r="J90" t="str">
        <f>+_xlfn.XLOOKUP($A90,MappingTable!$A:$A,MappingTable!I:I)</f>
        <v>Maldivas</v>
      </c>
      <c r="U90" s="16"/>
    </row>
    <row r="91" spans="1:21" x14ac:dyDescent="0.25">
      <c r="A91" s="10" t="s">
        <v>753</v>
      </c>
      <c r="B91" s="10" t="s">
        <v>754</v>
      </c>
      <c r="C91" t="str">
        <f>+_xlfn.XLOOKUP(A91,MappingTable!A:A,MappingTable!B:B)</f>
        <v>Mali</v>
      </c>
      <c r="D91" t="str">
        <f>+_xlfn.XLOOKUP($A91,MappingTable!$A:$A,MappingTable!C:C)</f>
        <v>Mali</v>
      </c>
      <c r="E91" t="str">
        <f>+_xlfn.XLOOKUP($A91,MappingTable!$A:$A,MappingTable!D:D)</f>
        <v>Mali</v>
      </c>
      <c r="F91" t="str">
        <f>+_xlfn.XLOOKUP($A91,MappingTable!$A:$A,MappingTable!E:E)</f>
        <v>Mali</v>
      </c>
      <c r="G91" t="str">
        <f>+_xlfn.XLOOKUP($A91,MappingTable!$A:$A,MappingTable!F:F)</f>
        <v>マリ</v>
      </c>
      <c r="H91" t="str">
        <f>+_xlfn.XLOOKUP($A91,MappingTable!$A:$A,MappingTable!G:G)</f>
        <v>Mali</v>
      </c>
      <c r="I91" t="str">
        <f>+_xlfn.XLOOKUP($A91,MappingTable!$A:$A,MappingTable!H:H)</f>
        <v>Malí</v>
      </c>
      <c r="J91" t="str">
        <f>+_xlfn.XLOOKUP($A91,MappingTable!$A:$A,MappingTable!I:I)</f>
        <v>Mali</v>
      </c>
      <c r="U91" s="16"/>
    </row>
    <row r="92" spans="1:21" x14ac:dyDescent="0.25">
      <c r="A92" s="10" t="s">
        <v>779</v>
      </c>
      <c r="B92" s="10" t="s">
        <v>780</v>
      </c>
      <c r="C92" t="str">
        <f>+_xlfn.XLOOKUP(A92,MappingTable!A:A,MappingTable!B:B)</f>
        <v>Malta</v>
      </c>
      <c r="D92" t="str">
        <f>+_xlfn.XLOOKUP($A92,MappingTable!$A:$A,MappingTable!C:C)</f>
        <v>Malta</v>
      </c>
      <c r="E92" t="str">
        <f>+_xlfn.XLOOKUP($A92,MappingTable!$A:$A,MappingTable!D:D)</f>
        <v>Malta</v>
      </c>
      <c r="F92" t="str">
        <f>+_xlfn.XLOOKUP($A92,MappingTable!$A:$A,MappingTable!E:E)</f>
        <v>Malte</v>
      </c>
      <c r="G92" t="str">
        <f>+_xlfn.XLOOKUP($A92,MappingTable!$A:$A,MappingTable!F:F)</f>
        <v>マルタ</v>
      </c>
      <c r="H92" t="str">
        <f>+_xlfn.XLOOKUP($A92,MappingTable!$A:$A,MappingTable!G:G)</f>
        <v>Malta</v>
      </c>
      <c r="I92" t="str">
        <f>+_xlfn.XLOOKUP($A92,MappingTable!$A:$A,MappingTable!H:H)</f>
        <v>Malta</v>
      </c>
      <c r="J92" t="str">
        <f>+_xlfn.XLOOKUP($A92,MappingTable!$A:$A,MappingTable!I:I)</f>
        <v>Malta</v>
      </c>
      <c r="U92" s="16"/>
    </row>
    <row r="93" spans="1:21" x14ac:dyDescent="0.25">
      <c r="A93" s="10" t="s">
        <v>783</v>
      </c>
      <c r="B93" s="10" t="s">
        <v>784</v>
      </c>
      <c r="C93" t="str">
        <f>+_xlfn.XLOOKUP(A93,MappingTable!A:A,MappingTable!B:B)</f>
        <v>Mauritius</v>
      </c>
      <c r="D93" t="str">
        <f>+_xlfn.XLOOKUP($A93,MappingTable!$A:$A,MappingTable!C:C)</f>
        <v>Mauricijus</v>
      </c>
      <c r="E93" t="str">
        <f>+_xlfn.XLOOKUP($A93,MappingTable!$A:$A,MappingTable!D:D)</f>
        <v>Mauritius</v>
      </c>
      <c r="F93" t="str">
        <f>+_xlfn.XLOOKUP($A93,MappingTable!$A:$A,MappingTable!E:E)</f>
        <v>Maurice</v>
      </c>
      <c r="G93" t="str">
        <f>+_xlfn.XLOOKUP($A93,MappingTable!$A:$A,MappingTable!F:F)</f>
        <v>モーリシャス</v>
      </c>
      <c r="H93" t="str">
        <f>+_xlfn.XLOOKUP($A93,MappingTable!$A:$A,MappingTable!G:G)</f>
        <v>Mauritius</v>
      </c>
      <c r="I93" t="str">
        <f>+_xlfn.XLOOKUP($A93,MappingTable!$A:$A,MappingTable!H:H)</f>
        <v>Mauricio</v>
      </c>
      <c r="J93" t="str">
        <f>+_xlfn.XLOOKUP($A93,MappingTable!$A:$A,MappingTable!I:I)</f>
        <v>Maurício</v>
      </c>
      <c r="U93" s="16"/>
    </row>
    <row r="94" spans="1:21" x14ac:dyDescent="0.25">
      <c r="A94" s="10" t="s">
        <v>797</v>
      </c>
      <c r="B94" s="10" t="s">
        <v>798</v>
      </c>
      <c r="C94" t="str">
        <f>+_xlfn.XLOOKUP(A94,MappingTable!A:A,MappingTable!B:B)</f>
        <v>Mexico</v>
      </c>
      <c r="D94" t="str">
        <f>+_xlfn.XLOOKUP($A94,MappingTable!$A:$A,MappingTable!C:C)</f>
        <v>Meksiko</v>
      </c>
      <c r="E94" t="str">
        <f>+_xlfn.XLOOKUP($A94,MappingTable!$A:$A,MappingTable!D:D)</f>
        <v>Mexiko</v>
      </c>
      <c r="F94" t="str">
        <f>+_xlfn.XLOOKUP($A94,MappingTable!$A:$A,MappingTable!E:E)</f>
        <v>Mexique</v>
      </c>
      <c r="G94" t="str">
        <f>+_xlfn.XLOOKUP($A94,MappingTable!$A:$A,MappingTable!F:F)</f>
        <v>メキシコ</v>
      </c>
      <c r="H94" t="str">
        <f>+_xlfn.XLOOKUP($A94,MappingTable!$A:$A,MappingTable!G:G)</f>
        <v>Messico</v>
      </c>
      <c r="I94" t="str">
        <f>+_xlfn.XLOOKUP($A94,MappingTable!$A:$A,MappingTable!H:H)</f>
        <v>México</v>
      </c>
      <c r="J94" t="str">
        <f>+_xlfn.XLOOKUP($A94,MappingTable!$A:$A,MappingTable!I:I)</f>
        <v>México</v>
      </c>
      <c r="U94" s="16"/>
    </row>
    <row r="95" spans="1:21" x14ac:dyDescent="0.25">
      <c r="A95" s="10" t="s">
        <v>727</v>
      </c>
      <c r="B95" s="10" t="s">
        <v>728</v>
      </c>
      <c r="C95" t="str">
        <f>+_xlfn.XLOOKUP(A95,MappingTable!A:A,MappingTable!B:B)</f>
        <v>Moldova</v>
      </c>
      <c r="D95" t="str">
        <f>+_xlfn.XLOOKUP($A95,MappingTable!$A:$A,MappingTable!C:C)</f>
        <v>Moldavija</v>
      </c>
      <c r="E95" t="str">
        <f>+_xlfn.XLOOKUP($A95,MappingTable!$A:$A,MappingTable!D:D)</f>
        <v>Moldawien</v>
      </c>
      <c r="F95" t="str">
        <f>+_xlfn.XLOOKUP($A95,MappingTable!$A:$A,MappingTable!E:E)</f>
        <v>Moldavie</v>
      </c>
      <c r="G95" t="str">
        <f>+_xlfn.XLOOKUP($A95,MappingTable!$A:$A,MappingTable!F:F)</f>
        <v>モルドバ共和国</v>
      </c>
      <c r="H95" t="str">
        <f>+_xlfn.XLOOKUP($A95,MappingTable!$A:$A,MappingTable!G:G)</f>
        <v>Moldavia</v>
      </c>
      <c r="I95" t="str">
        <f>+_xlfn.XLOOKUP($A95,MappingTable!$A:$A,MappingTable!H:H)</f>
        <v>Moldavia</v>
      </c>
      <c r="J95" t="str">
        <f>+_xlfn.XLOOKUP($A95,MappingTable!$A:$A,MappingTable!I:I)</f>
        <v>Moldávia</v>
      </c>
      <c r="U95" s="16"/>
    </row>
    <row r="96" spans="1:21" x14ac:dyDescent="0.25">
      <c r="A96" s="10" t="s">
        <v>721</v>
      </c>
      <c r="B96" s="10" t="s">
        <v>722</v>
      </c>
      <c r="C96" t="str">
        <f>+_xlfn.XLOOKUP(A96,MappingTable!A:A,MappingTable!B:B)</f>
        <v>Monaco</v>
      </c>
      <c r="D96" t="str">
        <f>+_xlfn.XLOOKUP($A96,MappingTable!$A:$A,MappingTable!C:C)</f>
        <v>Monako</v>
      </c>
      <c r="E96" t="str">
        <f>+_xlfn.XLOOKUP($A96,MappingTable!$A:$A,MappingTable!D:D)</f>
        <v>Monaco</v>
      </c>
      <c r="F96" t="str">
        <f>+_xlfn.XLOOKUP($A96,MappingTable!$A:$A,MappingTable!E:E)</f>
        <v>Monaco</v>
      </c>
      <c r="G96" t="str">
        <f>+_xlfn.XLOOKUP($A96,MappingTable!$A:$A,MappingTable!F:F)</f>
        <v>モナコ</v>
      </c>
      <c r="H96" t="str">
        <f>+_xlfn.XLOOKUP($A96,MappingTable!$A:$A,MappingTable!G:G)</f>
        <v>Monaco</v>
      </c>
      <c r="I96" t="str">
        <f>+_xlfn.XLOOKUP($A96,MappingTable!$A:$A,MappingTable!H:H)</f>
        <v>Mónaco</v>
      </c>
      <c r="J96" t="str">
        <f>+_xlfn.XLOOKUP($A96,MappingTable!$A:$A,MappingTable!I:I)</f>
        <v>Mônaco</v>
      </c>
      <c r="U96" s="16"/>
    </row>
    <row r="97" spans="1:21" x14ac:dyDescent="0.25">
      <c r="A97" s="10" t="s">
        <v>735</v>
      </c>
      <c r="B97" s="10" t="s">
        <v>736</v>
      </c>
      <c r="C97" t="str">
        <f>+_xlfn.XLOOKUP(A97,MappingTable!A:A,MappingTable!B:B)</f>
        <v>Montenegro</v>
      </c>
      <c r="D97" t="str">
        <f>+_xlfn.XLOOKUP($A97,MappingTable!$A:$A,MappingTable!C:C)</f>
        <v>Crna Gora</v>
      </c>
      <c r="E97" t="str">
        <f>+_xlfn.XLOOKUP($A97,MappingTable!$A:$A,MappingTable!D:D)</f>
        <v>Montenegro</v>
      </c>
      <c r="F97" t="str">
        <f>+_xlfn.XLOOKUP($A97,MappingTable!$A:$A,MappingTable!E:E)</f>
        <v>Monténégro</v>
      </c>
      <c r="G97" t="str">
        <f>+_xlfn.XLOOKUP($A97,MappingTable!$A:$A,MappingTable!F:F)</f>
        <v>モンテネグロ</v>
      </c>
      <c r="H97" t="str">
        <f>+_xlfn.XLOOKUP($A97,MappingTable!$A:$A,MappingTable!G:G)</f>
        <v>Montenegro</v>
      </c>
      <c r="I97" t="str">
        <f>+_xlfn.XLOOKUP($A97,MappingTable!$A:$A,MappingTable!H:H)</f>
        <v>Montenegro</v>
      </c>
      <c r="J97" t="str">
        <f>+_xlfn.XLOOKUP($A97,MappingTable!$A:$A,MappingTable!I:I)</f>
        <v>Montenegro</v>
      </c>
      <c r="U97" s="16"/>
    </row>
    <row r="98" spans="1:21" x14ac:dyDescent="0.25">
      <c r="A98" s="10" t="s">
        <v>712</v>
      </c>
      <c r="B98" s="10" t="s">
        <v>713</v>
      </c>
      <c r="C98" t="str">
        <f>+_xlfn.XLOOKUP(A98,MappingTable!A:A,MappingTable!B:B)</f>
        <v>Morocco</v>
      </c>
      <c r="D98" t="str">
        <f>+_xlfn.XLOOKUP($A98,MappingTable!$A:$A,MappingTable!C:C)</f>
        <v>Maroko</v>
      </c>
      <c r="E98" t="str">
        <f>+_xlfn.XLOOKUP($A98,MappingTable!$A:$A,MappingTable!D:D)</f>
        <v>Marokko</v>
      </c>
      <c r="F98" t="str">
        <f>+_xlfn.XLOOKUP($A98,MappingTable!$A:$A,MappingTable!E:E)</f>
        <v>Maroc</v>
      </c>
      <c r="G98" t="str">
        <f>+_xlfn.XLOOKUP($A98,MappingTable!$A:$A,MappingTable!F:F)</f>
        <v>モロッコ</v>
      </c>
      <c r="H98" t="str">
        <f>+_xlfn.XLOOKUP($A98,MappingTable!$A:$A,MappingTable!G:G)</f>
        <v>Marocco</v>
      </c>
      <c r="I98" t="str">
        <f>+_xlfn.XLOOKUP($A98,MappingTable!$A:$A,MappingTable!H:H)</f>
        <v>Marruecos</v>
      </c>
      <c r="J98" t="str">
        <f>+_xlfn.XLOOKUP($A98,MappingTable!$A:$A,MappingTable!I:I)</f>
        <v>Marrocos</v>
      </c>
      <c r="U98" s="16"/>
    </row>
    <row r="99" spans="1:21" x14ac:dyDescent="0.25">
      <c r="A99" s="10" t="s">
        <v>853</v>
      </c>
      <c r="B99" s="10" t="s">
        <v>854</v>
      </c>
      <c r="C99" t="str">
        <f>+_xlfn.XLOOKUP(A99,MappingTable!A:A,MappingTable!B:B)</f>
        <v>Nepal</v>
      </c>
      <c r="D99" t="str">
        <f>+_xlfn.XLOOKUP($A99,MappingTable!$A:$A,MappingTable!C:C)</f>
        <v>Nepal</v>
      </c>
      <c r="E99" t="str">
        <f>+_xlfn.XLOOKUP($A99,MappingTable!$A:$A,MappingTable!D:D)</f>
        <v>Nepal</v>
      </c>
      <c r="F99" t="str">
        <f>+_xlfn.XLOOKUP($A99,MappingTable!$A:$A,MappingTable!E:E)</f>
        <v>Népal</v>
      </c>
      <c r="G99" t="str">
        <f>+_xlfn.XLOOKUP($A99,MappingTable!$A:$A,MappingTable!F:F)</f>
        <v>ネパール</v>
      </c>
      <c r="H99" t="str">
        <f>+_xlfn.XLOOKUP($A99,MappingTable!$A:$A,MappingTable!G:G)</f>
        <v>Nepal</v>
      </c>
      <c r="I99" t="str">
        <f>+_xlfn.XLOOKUP($A99,MappingTable!$A:$A,MappingTable!H:H)</f>
        <v>Nepal</v>
      </c>
      <c r="J99" t="str">
        <f>+_xlfn.XLOOKUP($A99,MappingTable!$A:$A,MappingTable!I:I)</f>
        <v>Nepal</v>
      </c>
      <c r="U99" s="16"/>
    </row>
    <row r="100" spans="1:21" x14ac:dyDescent="0.25">
      <c r="A100" s="10" t="s">
        <v>836</v>
      </c>
      <c r="B100" s="10" t="s">
        <v>837</v>
      </c>
      <c r="C100" t="str">
        <f>+_xlfn.XLOOKUP(A100,MappingTable!A:A,MappingTable!B:B)</f>
        <v>Netherlands</v>
      </c>
      <c r="D100" t="str">
        <f>+_xlfn.XLOOKUP($A100,MappingTable!$A:$A,MappingTable!C:C)</f>
        <v>Nizozemska</v>
      </c>
      <c r="E100" t="str">
        <f>+_xlfn.XLOOKUP($A100,MappingTable!$A:$A,MappingTable!D:D)</f>
        <v>Niederlande</v>
      </c>
      <c r="F100" t="str">
        <f>+_xlfn.XLOOKUP($A100,MappingTable!$A:$A,MappingTable!E:E)</f>
        <v>Pays-Bas</v>
      </c>
      <c r="G100" t="str">
        <f>+_xlfn.XLOOKUP($A100,MappingTable!$A:$A,MappingTable!F:F)</f>
        <v>オランダ</v>
      </c>
      <c r="H100" t="str">
        <f>+_xlfn.XLOOKUP($A100,MappingTable!$A:$A,MappingTable!G:G)</f>
        <v>Paesi Bassi</v>
      </c>
      <c r="I100" t="str">
        <f>+_xlfn.XLOOKUP($A100,MappingTable!$A:$A,MappingTable!H:H)</f>
        <v>Países Bajos</v>
      </c>
      <c r="J100" t="str">
        <f>+_xlfn.XLOOKUP($A100,MappingTable!$A:$A,MappingTable!I:I)</f>
        <v>Países Baixos</v>
      </c>
      <c r="U100" s="16"/>
    </row>
    <row r="101" spans="1:21" x14ac:dyDescent="0.25">
      <c r="A101" s="10" t="s">
        <v>149</v>
      </c>
      <c r="B101" s="10" t="s">
        <v>150</v>
      </c>
      <c r="C101" t="str">
        <f>+_xlfn.XLOOKUP(A101,MappingTable!A:A,MappingTable!B:B)</f>
        <v>Bonaire, Sint Eustatius and Saba</v>
      </c>
      <c r="D101" t="str">
        <f>+_xlfn.XLOOKUP($A101,MappingTable!$A:$A,MappingTable!C:C)</f>
        <v>Bonaire, Sveti Eustahije i Saba</v>
      </c>
      <c r="E101" t="str">
        <f>+_xlfn.XLOOKUP($A101,MappingTable!$A:$A,MappingTable!D:D)</f>
        <v>Bonaire</v>
      </c>
      <c r="F101" t="str">
        <f>+_xlfn.XLOOKUP($A101,MappingTable!$A:$A,MappingTable!E:E)</f>
        <v>Bonaire, Saint-Eustache et Saba</v>
      </c>
      <c r="G101" t="str">
        <f>+_xlfn.XLOOKUP($A101,MappingTable!$A:$A,MappingTable!F:F)</f>
        <v>ボネール、シント・ユースタティウスおよびサバ</v>
      </c>
      <c r="H101" t="str">
        <f>+_xlfn.XLOOKUP($A101,MappingTable!$A:$A,MappingTable!G:G)</f>
        <v>Isole BES</v>
      </c>
      <c r="I101" t="str">
        <f>+_xlfn.XLOOKUP($A101,MappingTable!$A:$A,MappingTable!H:H)</f>
        <v>Bonaire, San Eustaquio y Saba</v>
      </c>
      <c r="J101" t="str">
        <f>+_xlfn.XLOOKUP($A101,MappingTable!$A:$A,MappingTable!I:I)</f>
        <v>Bonaire, Santo Eustáquio e Saba</v>
      </c>
      <c r="U101" s="16"/>
    </row>
    <row r="102" spans="1:21" x14ac:dyDescent="0.25">
      <c r="A102" s="10" t="s">
        <v>857</v>
      </c>
      <c r="B102" s="10" t="s">
        <v>858</v>
      </c>
      <c r="C102" t="str">
        <f>+_xlfn.XLOOKUP(A102,MappingTable!A:A,MappingTable!B:B)</f>
        <v>New Zealand</v>
      </c>
      <c r="D102" t="str">
        <f>+_xlfn.XLOOKUP($A102,MappingTable!$A:$A,MappingTable!C:C)</f>
        <v>Novi Zeland</v>
      </c>
      <c r="E102" t="str">
        <f>+_xlfn.XLOOKUP($A102,MappingTable!$A:$A,MappingTable!D:D)</f>
        <v>Neuseeland</v>
      </c>
      <c r="F102" t="str">
        <f>+_xlfn.XLOOKUP($A102,MappingTable!$A:$A,MappingTable!E:E)</f>
        <v>Nouvelle-Zélande</v>
      </c>
      <c r="G102" t="str">
        <f>+_xlfn.XLOOKUP($A102,MappingTable!$A:$A,MappingTable!F:F)</f>
        <v>ニュージーランド</v>
      </c>
      <c r="H102" t="str">
        <f>+_xlfn.XLOOKUP($A102,MappingTable!$A:$A,MappingTable!G:G)</f>
        <v>Nuova Zelanda</v>
      </c>
      <c r="I102" t="str">
        <f>+_xlfn.XLOOKUP($A102,MappingTable!$A:$A,MappingTable!H:H)</f>
        <v>Nueva Zelanda</v>
      </c>
      <c r="J102" t="str">
        <f>+_xlfn.XLOOKUP($A102,MappingTable!$A:$A,MappingTable!I:I)</f>
        <v>Nova Zelândia</v>
      </c>
      <c r="U102" s="16"/>
    </row>
    <row r="103" spans="1:21" x14ac:dyDescent="0.25">
      <c r="A103" s="10" t="s">
        <v>831</v>
      </c>
      <c r="B103" s="10" t="s">
        <v>832</v>
      </c>
      <c r="C103" t="str">
        <f>+_xlfn.XLOOKUP(A103,MappingTable!A:A,MappingTable!B:B)</f>
        <v>Nicaragua</v>
      </c>
      <c r="D103" t="str">
        <f>+_xlfn.XLOOKUP($A103,MappingTable!$A:$A,MappingTable!C:C)</f>
        <v>Nikaragva</v>
      </c>
      <c r="E103" t="str">
        <f>+_xlfn.XLOOKUP($A103,MappingTable!$A:$A,MappingTable!D:D)</f>
        <v>Nicaragua</v>
      </c>
      <c r="F103" t="str">
        <f>+_xlfn.XLOOKUP($A103,MappingTable!$A:$A,MappingTable!E:E)</f>
        <v>Nicaragua</v>
      </c>
      <c r="G103" t="str">
        <f>+_xlfn.XLOOKUP($A103,MappingTable!$A:$A,MappingTable!F:F)</f>
        <v>ニカラグア</v>
      </c>
      <c r="H103" t="str">
        <f>+_xlfn.XLOOKUP($A103,MappingTable!$A:$A,MappingTable!G:G)</f>
        <v>Nicaragua</v>
      </c>
      <c r="I103" t="str">
        <f>+_xlfn.XLOOKUP($A103,MappingTable!$A:$A,MappingTable!H:H)</f>
        <v>Nicaragua</v>
      </c>
      <c r="J103" t="str">
        <f>+_xlfn.XLOOKUP($A103,MappingTable!$A:$A,MappingTable!I:I)</f>
        <v>Nicarágua</v>
      </c>
      <c r="U103" s="16"/>
    </row>
    <row r="104" spans="1:21" x14ac:dyDescent="0.25">
      <c r="A104" s="10" t="s">
        <v>826</v>
      </c>
      <c r="B104" s="10" t="s">
        <v>827</v>
      </c>
      <c r="C104" t="str">
        <f>+_xlfn.XLOOKUP(A104,MappingTable!A:A,MappingTable!B:B)</f>
        <v>Nigeria</v>
      </c>
      <c r="D104" t="str">
        <f>+_xlfn.XLOOKUP($A104,MappingTable!$A:$A,MappingTable!C:C)</f>
        <v>Nigerija</v>
      </c>
      <c r="E104" t="str">
        <f>+_xlfn.XLOOKUP($A104,MappingTable!$A:$A,MappingTable!D:D)</f>
        <v>Nigeria</v>
      </c>
      <c r="F104" t="str">
        <f>+_xlfn.XLOOKUP($A104,MappingTable!$A:$A,MappingTable!E:E)</f>
        <v>Nigéria</v>
      </c>
      <c r="G104" t="str">
        <f>+_xlfn.XLOOKUP($A104,MappingTable!$A:$A,MappingTable!F:F)</f>
        <v>ナイジェリア</v>
      </c>
      <c r="H104" t="str">
        <f>+_xlfn.XLOOKUP($A104,MappingTable!$A:$A,MappingTable!G:G)</f>
        <v>Nigeria</v>
      </c>
      <c r="I104" t="str">
        <f>+_xlfn.XLOOKUP($A104,MappingTable!$A:$A,MappingTable!H:H)</f>
        <v>Nigeria</v>
      </c>
      <c r="J104" t="str">
        <f>+_xlfn.XLOOKUP($A104,MappingTable!$A:$A,MappingTable!I:I)</f>
        <v>Nigéria</v>
      </c>
      <c r="U104" s="16"/>
    </row>
    <row r="105" spans="1:21" x14ac:dyDescent="0.25">
      <c r="A105" s="10" t="s">
        <v>744</v>
      </c>
      <c r="B105" s="10" t="s">
        <v>745</v>
      </c>
      <c r="C105" t="str">
        <f>+_xlfn.XLOOKUP(A105,MappingTable!A:A,MappingTable!B:B)</f>
        <v>North Macedonia</v>
      </c>
      <c r="D105" t="str">
        <f>+_xlfn.XLOOKUP($A105,MappingTable!$A:$A,MappingTable!C:C)</f>
        <v>Sjeverna Makedonija</v>
      </c>
      <c r="E105" t="str">
        <f>+_xlfn.XLOOKUP($A105,MappingTable!$A:$A,MappingTable!D:D)</f>
        <v>Nordmazedonien</v>
      </c>
      <c r="F105" t="str">
        <f>+_xlfn.XLOOKUP($A105,MappingTable!$A:$A,MappingTable!E:E)</f>
        <v>Macédoine du Nord</v>
      </c>
      <c r="G105" t="str">
        <f>+_xlfn.XLOOKUP($A105,MappingTable!$A:$A,MappingTable!F:F)</f>
        <v>北マケドニア</v>
      </c>
      <c r="H105" t="str">
        <f>+_xlfn.XLOOKUP($A105,MappingTable!$A:$A,MappingTable!G:G)</f>
        <v>Macedonia del Nord</v>
      </c>
      <c r="I105" t="str">
        <f>+_xlfn.XLOOKUP($A105,MappingTable!$A:$A,MappingTable!H:H)</f>
        <v>Macedonia del Norte</v>
      </c>
      <c r="J105" t="str">
        <f>+_xlfn.XLOOKUP($A105,MappingTable!$A:$A,MappingTable!I:I)</f>
        <v>Macedônia do Norte</v>
      </c>
      <c r="U105" s="16"/>
    </row>
    <row r="106" spans="1:21" x14ac:dyDescent="0.25">
      <c r="A106" s="10" t="s">
        <v>845</v>
      </c>
      <c r="B106" s="10" t="s">
        <v>846</v>
      </c>
      <c r="C106" t="str">
        <f>+_xlfn.XLOOKUP(A106,MappingTable!A:A,MappingTable!B:B)</f>
        <v>Norway</v>
      </c>
      <c r="D106" t="str">
        <f>+_xlfn.XLOOKUP($A106,MappingTable!$A:$A,MappingTable!C:C)</f>
        <v>Norveška</v>
      </c>
      <c r="E106" t="str">
        <f>+_xlfn.XLOOKUP($A106,MappingTable!$A:$A,MappingTable!D:D)</f>
        <v>Norwegen</v>
      </c>
      <c r="F106" t="str">
        <f>+_xlfn.XLOOKUP($A106,MappingTable!$A:$A,MappingTable!E:E)</f>
        <v>Norvège</v>
      </c>
      <c r="G106" t="str">
        <f>+_xlfn.XLOOKUP($A106,MappingTable!$A:$A,MappingTable!F:F)</f>
        <v>ノルウェー</v>
      </c>
      <c r="H106" t="str">
        <f>+_xlfn.XLOOKUP($A106,MappingTable!$A:$A,MappingTable!G:G)</f>
        <v>Norvegia</v>
      </c>
      <c r="I106" t="str">
        <f>+_xlfn.XLOOKUP($A106,MappingTable!$A:$A,MappingTable!H:H)</f>
        <v>Noruega</v>
      </c>
      <c r="J106" t="str">
        <f>+_xlfn.XLOOKUP($A106,MappingTable!$A:$A,MappingTable!I:I)</f>
        <v>Noruega</v>
      </c>
      <c r="U106" s="16"/>
    </row>
    <row r="107" spans="1:21" x14ac:dyDescent="0.25">
      <c r="A107" s="10" t="s">
        <v>866</v>
      </c>
      <c r="B107" s="10" t="s">
        <v>867</v>
      </c>
      <c r="C107" t="str">
        <f>+_xlfn.XLOOKUP(A107,MappingTable!A:A,MappingTable!B:B)</f>
        <v>Oman</v>
      </c>
      <c r="D107" t="str">
        <f>+_xlfn.XLOOKUP($A107,MappingTable!$A:$A,MappingTable!C:C)</f>
        <v>Oman</v>
      </c>
      <c r="E107" t="str">
        <f>+_xlfn.XLOOKUP($A107,MappingTable!$A:$A,MappingTable!D:D)</f>
        <v>Oman</v>
      </c>
      <c r="F107" t="str">
        <f>+_xlfn.XLOOKUP($A107,MappingTable!$A:$A,MappingTable!E:E)</f>
        <v>Oman</v>
      </c>
      <c r="G107" t="str">
        <f>+_xlfn.XLOOKUP($A107,MappingTable!$A:$A,MappingTable!F:F)</f>
        <v>オマーン</v>
      </c>
      <c r="H107" t="str">
        <f>+_xlfn.XLOOKUP($A107,MappingTable!$A:$A,MappingTable!G:G)</f>
        <v>Oman</v>
      </c>
      <c r="I107" t="str">
        <f>+_xlfn.XLOOKUP($A107,MappingTable!$A:$A,MappingTable!H:H)</f>
        <v>Omán</v>
      </c>
      <c r="J107" t="str">
        <f>+_xlfn.XLOOKUP($A107,MappingTable!$A:$A,MappingTable!I:I)</f>
        <v>Omã</v>
      </c>
      <c r="U107" s="16"/>
    </row>
    <row r="108" spans="1:21" x14ac:dyDescent="0.25">
      <c r="A108" s="10" t="s">
        <v>906</v>
      </c>
      <c r="B108" s="10" t="s">
        <v>907</v>
      </c>
      <c r="C108" t="str">
        <f>+_xlfn.XLOOKUP(A108,MappingTable!A:A,MappingTable!B:B)</f>
        <v>Pakistan</v>
      </c>
      <c r="D108" t="str">
        <f>+_xlfn.XLOOKUP($A108,MappingTable!$A:$A,MappingTable!C:C)</f>
        <v>Pakistan</v>
      </c>
      <c r="E108" t="str">
        <f>+_xlfn.XLOOKUP($A108,MappingTable!$A:$A,MappingTable!D:D)</f>
        <v>Pakistan</v>
      </c>
      <c r="F108" t="str">
        <f>+_xlfn.XLOOKUP($A108,MappingTable!$A:$A,MappingTable!E:E)</f>
        <v>Pakistan</v>
      </c>
      <c r="G108" t="str">
        <f>+_xlfn.XLOOKUP($A108,MappingTable!$A:$A,MappingTable!F:F)</f>
        <v>パキスタン</v>
      </c>
      <c r="H108" t="str">
        <f>+_xlfn.XLOOKUP($A108,MappingTable!$A:$A,MappingTable!G:G)</f>
        <v>Pakistan</v>
      </c>
      <c r="I108" t="str">
        <f>+_xlfn.XLOOKUP($A108,MappingTable!$A:$A,MappingTable!H:H)</f>
        <v>Pakistán</v>
      </c>
      <c r="J108" t="str">
        <f>+_xlfn.XLOOKUP($A108,MappingTable!$A:$A,MappingTable!I:I)</f>
        <v>Paquistão</v>
      </c>
      <c r="U108" s="16"/>
    </row>
    <row r="109" spans="1:21" x14ac:dyDescent="0.25">
      <c r="A109" s="10" t="s">
        <v>871</v>
      </c>
      <c r="B109" s="10" t="s">
        <v>872</v>
      </c>
      <c r="C109" t="str">
        <f>+_xlfn.XLOOKUP(A109,MappingTable!A:A,MappingTable!B:B)</f>
        <v>Panama</v>
      </c>
      <c r="D109" t="str">
        <f>+_xlfn.XLOOKUP($A109,MappingTable!$A:$A,MappingTable!C:C)</f>
        <v>Panama</v>
      </c>
      <c r="E109" t="str">
        <f>+_xlfn.XLOOKUP($A109,MappingTable!$A:$A,MappingTable!D:D)</f>
        <v>Panama</v>
      </c>
      <c r="F109" t="str">
        <f>+_xlfn.XLOOKUP($A109,MappingTable!$A:$A,MappingTable!E:E)</f>
        <v>Panama</v>
      </c>
      <c r="G109" t="str">
        <f>+_xlfn.XLOOKUP($A109,MappingTable!$A:$A,MappingTable!F:F)</f>
        <v>パナマ</v>
      </c>
      <c r="H109" t="str">
        <f>+_xlfn.XLOOKUP($A109,MappingTable!$A:$A,MappingTable!G:G)</f>
        <v>Panamá</v>
      </c>
      <c r="I109" t="str">
        <f>+_xlfn.XLOOKUP($A109,MappingTable!$A:$A,MappingTable!H:H)</f>
        <v>Panamá</v>
      </c>
      <c r="J109" t="str">
        <f>+_xlfn.XLOOKUP($A109,MappingTable!$A:$A,MappingTable!I:I)</f>
        <v>Panamá</v>
      </c>
      <c r="U109" s="16"/>
    </row>
    <row r="110" spans="1:21" x14ac:dyDescent="0.25">
      <c r="A110" s="10" t="s">
        <v>890</v>
      </c>
      <c r="B110" s="10" t="s">
        <v>891</v>
      </c>
      <c r="C110" t="str">
        <f>+_xlfn.XLOOKUP(A110,MappingTable!A:A,MappingTable!B:B)</f>
        <v>Papua New Guinea</v>
      </c>
      <c r="D110" t="str">
        <f>+_xlfn.XLOOKUP($A110,MappingTable!$A:$A,MappingTable!C:C)</f>
        <v>Papua Nova Gvineja</v>
      </c>
      <c r="E110" t="str">
        <f>+_xlfn.XLOOKUP($A110,MappingTable!$A:$A,MappingTable!D:D)</f>
        <v>Papua-Neuguinea</v>
      </c>
      <c r="F110" t="str">
        <f>+_xlfn.XLOOKUP($A110,MappingTable!$A:$A,MappingTable!E:E)</f>
        <v>Papouasie-Nouvelle-Guinée</v>
      </c>
      <c r="G110" t="str">
        <f>+_xlfn.XLOOKUP($A110,MappingTable!$A:$A,MappingTable!F:F)</f>
        <v>パプアニューギニア</v>
      </c>
      <c r="H110" t="str">
        <f>+_xlfn.XLOOKUP($A110,MappingTable!$A:$A,MappingTable!G:G)</f>
        <v>Papua Nuova Guinea</v>
      </c>
      <c r="I110" t="str">
        <f>+_xlfn.XLOOKUP($A110,MappingTable!$A:$A,MappingTable!H:H)</f>
        <v>Papua Nueva Guinea</v>
      </c>
      <c r="J110" t="str">
        <f>+_xlfn.XLOOKUP($A110,MappingTable!$A:$A,MappingTable!I:I)</f>
        <v>Papua-Nova Guiné</v>
      </c>
      <c r="U110" s="16"/>
    </row>
    <row r="111" spans="1:21" x14ac:dyDescent="0.25">
      <c r="A111" s="10" t="s">
        <v>941</v>
      </c>
      <c r="B111" s="10" t="s">
        <v>942</v>
      </c>
      <c r="C111" t="str">
        <f>+_xlfn.XLOOKUP(A111,MappingTable!A:A,MappingTable!B:B)</f>
        <v>Paraguay</v>
      </c>
      <c r="D111" t="str">
        <f>+_xlfn.XLOOKUP($A111,MappingTable!$A:$A,MappingTable!C:C)</f>
        <v>Paragvaj</v>
      </c>
      <c r="E111" t="str">
        <f>+_xlfn.XLOOKUP($A111,MappingTable!$A:$A,MappingTable!D:D)</f>
        <v>Paraguay</v>
      </c>
      <c r="F111" t="str">
        <f>+_xlfn.XLOOKUP($A111,MappingTable!$A:$A,MappingTable!E:E)</f>
        <v>Paraguay</v>
      </c>
      <c r="G111" t="str">
        <f>+_xlfn.XLOOKUP($A111,MappingTable!$A:$A,MappingTable!F:F)</f>
        <v>パラグアイ</v>
      </c>
      <c r="H111" t="str">
        <f>+_xlfn.XLOOKUP($A111,MappingTable!$A:$A,MappingTable!G:G)</f>
        <v>Paraguay</v>
      </c>
      <c r="I111" t="str">
        <f>+_xlfn.XLOOKUP($A111,MappingTable!$A:$A,MappingTable!H:H)</f>
        <v>Paraguay</v>
      </c>
      <c r="J111" t="str">
        <f>+_xlfn.XLOOKUP($A111,MappingTable!$A:$A,MappingTable!I:I)</f>
        <v>Paraguai</v>
      </c>
      <c r="U111" s="16"/>
    </row>
    <row r="112" spans="1:21" x14ac:dyDescent="0.25">
      <c r="A112" s="10" t="s">
        <v>875</v>
      </c>
      <c r="B112" s="10" t="s">
        <v>876</v>
      </c>
      <c r="C112" t="str">
        <f>+_xlfn.XLOOKUP(A112,MappingTable!A:A,MappingTable!B:B)</f>
        <v>Peru</v>
      </c>
      <c r="D112" t="str">
        <f>+_xlfn.XLOOKUP($A112,MappingTable!$A:$A,MappingTable!C:C)</f>
        <v>Peru</v>
      </c>
      <c r="E112" t="str">
        <f>+_xlfn.XLOOKUP($A112,MappingTable!$A:$A,MappingTable!D:D)</f>
        <v>Peru</v>
      </c>
      <c r="F112" t="str">
        <f>+_xlfn.XLOOKUP($A112,MappingTable!$A:$A,MappingTable!E:E)</f>
        <v>Pérou</v>
      </c>
      <c r="G112" t="str">
        <f>+_xlfn.XLOOKUP($A112,MappingTable!$A:$A,MappingTable!F:F)</f>
        <v>ペルー</v>
      </c>
      <c r="H112" t="str">
        <f>+_xlfn.XLOOKUP($A112,MappingTable!$A:$A,MappingTable!G:G)</f>
        <v>Perù</v>
      </c>
      <c r="I112" t="str">
        <f>+_xlfn.XLOOKUP($A112,MappingTable!$A:$A,MappingTable!H:H)</f>
        <v>Perú</v>
      </c>
      <c r="J112" t="str">
        <f>+_xlfn.XLOOKUP($A112,MappingTable!$A:$A,MappingTable!I:I)</f>
        <v>Peru</v>
      </c>
      <c r="U112" s="16"/>
    </row>
    <row r="113" spans="1:21" x14ac:dyDescent="0.25">
      <c r="A113" s="10" t="s">
        <v>899</v>
      </c>
      <c r="B113" s="10" t="s">
        <v>900</v>
      </c>
      <c r="C113" t="str">
        <f>+_xlfn.XLOOKUP(A113,MappingTable!A:A,MappingTable!B:B)</f>
        <v>Philippines</v>
      </c>
      <c r="D113" t="str">
        <f>+_xlfn.XLOOKUP($A113,MappingTable!$A:$A,MappingTable!C:C)</f>
        <v>Filipini</v>
      </c>
      <c r="E113" t="str">
        <f>+_xlfn.XLOOKUP($A113,MappingTable!$A:$A,MappingTable!D:D)</f>
        <v>Philippinen</v>
      </c>
      <c r="F113" t="str">
        <f>+_xlfn.XLOOKUP($A113,MappingTable!$A:$A,MappingTable!E:E)</f>
        <v>Philippines</v>
      </c>
      <c r="G113" t="str">
        <f>+_xlfn.XLOOKUP($A113,MappingTable!$A:$A,MappingTable!F:F)</f>
        <v>フィリピン</v>
      </c>
      <c r="H113" t="str">
        <f>+_xlfn.XLOOKUP($A113,MappingTable!$A:$A,MappingTable!G:G)</f>
        <v>Filippine</v>
      </c>
      <c r="I113" t="str">
        <f>+_xlfn.XLOOKUP($A113,MappingTable!$A:$A,MappingTable!H:H)</f>
        <v>Filipinas</v>
      </c>
      <c r="J113" t="str">
        <f>+_xlfn.XLOOKUP($A113,MappingTable!$A:$A,MappingTable!I:I)</f>
        <v>Filipinas</v>
      </c>
      <c r="U113" s="16"/>
    </row>
    <row r="114" spans="1:21" x14ac:dyDescent="0.25">
      <c r="A114" s="10" t="s">
        <v>911</v>
      </c>
      <c r="B114" s="10" t="s">
        <v>912</v>
      </c>
      <c r="C114" t="str">
        <f>+_xlfn.XLOOKUP(A114,MappingTable!A:A,MappingTable!B:B)</f>
        <v>Poland</v>
      </c>
      <c r="D114" t="str">
        <f>+_xlfn.XLOOKUP($A114,MappingTable!$A:$A,MappingTable!C:C)</f>
        <v>Poljska</v>
      </c>
      <c r="E114" t="str">
        <f>+_xlfn.XLOOKUP($A114,MappingTable!$A:$A,MappingTable!D:D)</f>
        <v>Polen</v>
      </c>
      <c r="F114" t="str">
        <f>+_xlfn.XLOOKUP($A114,MappingTable!$A:$A,MappingTable!E:E)</f>
        <v>Pologne</v>
      </c>
      <c r="G114" t="str">
        <f>+_xlfn.XLOOKUP($A114,MappingTable!$A:$A,MappingTable!F:F)</f>
        <v>ポーランド</v>
      </c>
      <c r="H114" t="str">
        <f>+_xlfn.XLOOKUP($A114,MappingTable!$A:$A,MappingTable!G:G)</f>
        <v>Polonia</v>
      </c>
      <c r="I114" t="str">
        <f>+_xlfn.XLOOKUP($A114,MappingTable!$A:$A,MappingTable!H:H)</f>
        <v>Polonia</v>
      </c>
      <c r="J114" t="str">
        <f>+_xlfn.XLOOKUP($A114,MappingTable!$A:$A,MappingTable!I:I)</f>
        <v>Polônia</v>
      </c>
      <c r="U114" s="16"/>
    </row>
    <row r="115" spans="1:21" x14ac:dyDescent="0.25">
      <c r="A115" s="10" t="s">
        <v>933</v>
      </c>
      <c r="B115" s="10" t="s">
        <v>934</v>
      </c>
      <c r="C115" t="str">
        <f>+_xlfn.XLOOKUP(A115,MappingTable!A:A,MappingTable!B:B)</f>
        <v>Portugal</v>
      </c>
      <c r="D115" t="str">
        <f>+_xlfn.XLOOKUP($A115,MappingTable!$A:$A,MappingTable!C:C)</f>
        <v>Portugal</v>
      </c>
      <c r="E115" t="str">
        <f>+_xlfn.XLOOKUP($A115,MappingTable!$A:$A,MappingTable!D:D)</f>
        <v>Portugal</v>
      </c>
      <c r="F115" t="str">
        <f>+_xlfn.XLOOKUP($A115,MappingTable!$A:$A,MappingTable!E:E)</f>
        <v>Portugal</v>
      </c>
      <c r="G115" t="str">
        <f>+_xlfn.XLOOKUP($A115,MappingTable!$A:$A,MappingTable!F:F)</f>
        <v>ポルトガル</v>
      </c>
      <c r="H115" t="str">
        <f>+_xlfn.XLOOKUP($A115,MappingTable!$A:$A,MappingTable!G:G)</f>
        <v>Portogallo</v>
      </c>
      <c r="I115" t="str">
        <f>+_xlfn.XLOOKUP($A115,MappingTable!$A:$A,MappingTable!H:H)</f>
        <v>Portugal</v>
      </c>
      <c r="J115" t="str">
        <f>+_xlfn.XLOOKUP($A115,MappingTable!$A:$A,MappingTable!I:I)</f>
        <v>Portugal</v>
      </c>
      <c r="U115" s="16"/>
    </row>
    <row r="116" spans="1:21" x14ac:dyDescent="0.25">
      <c r="A116" s="10" t="s">
        <v>919</v>
      </c>
      <c r="B116" s="10" t="s">
        <v>920</v>
      </c>
      <c r="C116" t="str">
        <f>+_xlfn.XLOOKUP(A116,MappingTable!A:A,MappingTable!B:B)</f>
        <v>Puerto Rico</v>
      </c>
      <c r="D116" t="str">
        <f>+_xlfn.XLOOKUP($A116,MappingTable!$A:$A,MappingTable!C:C)</f>
        <v>Portoriko</v>
      </c>
      <c r="E116" t="str">
        <f>+_xlfn.XLOOKUP($A116,MappingTable!$A:$A,MappingTable!D:D)</f>
        <v>Puerto Rico</v>
      </c>
      <c r="F116" t="str">
        <f>+_xlfn.XLOOKUP($A116,MappingTable!$A:$A,MappingTable!E:E)</f>
        <v>Porto Rico</v>
      </c>
      <c r="G116" t="str">
        <f>+_xlfn.XLOOKUP($A116,MappingTable!$A:$A,MappingTable!F:F)</f>
        <v>プエルトリコ</v>
      </c>
      <c r="H116" t="str">
        <f>+_xlfn.XLOOKUP($A116,MappingTable!$A:$A,MappingTable!G:G)</f>
        <v>Porto Rico</v>
      </c>
      <c r="I116" t="str">
        <f>+_xlfn.XLOOKUP($A116,MappingTable!$A:$A,MappingTable!H:H)</f>
        <v>Puerto Rico</v>
      </c>
      <c r="J116" t="str">
        <f>+_xlfn.XLOOKUP($A116,MappingTable!$A:$A,MappingTable!I:I)</f>
        <v>Porto Rico</v>
      </c>
      <c r="U116" s="16"/>
    </row>
    <row r="117" spans="1:21" x14ac:dyDescent="0.25">
      <c r="A117" s="10" t="s">
        <v>946</v>
      </c>
      <c r="B117" s="10" t="s">
        <v>947</v>
      </c>
      <c r="C117" t="str">
        <f>+_xlfn.XLOOKUP(A117,MappingTable!A:A,MappingTable!B:B)</f>
        <v>Qatar</v>
      </c>
      <c r="D117" t="str">
        <f>+_xlfn.XLOOKUP($A117,MappingTable!$A:$A,MappingTable!C:C)</f>
        <v>Katar</v>
      </c>
      <c r="E117" t="str">
        <f>+_xlfn.XLOOKUP($A117,MappingTable!$A:$A,MappingTable!D:D)</f>
        <v>Katar</v>
      </c>
      <c r="F117" t="str">
        <f>+_xlfn.XLOOKUP($A117,MappingTable!$A:$A,MappingTable!E:E)</f>
        <v>Qatar</v>
      </c>
      <c r="G117" t="str">
        <f>+_xlfn.XLOOKUP($A117,MappingTable!$A:$A,MappingTable!F:F)</f>
        <v>カタール</v>
      </c>
      <c r="H117" t="str">
        <f>+_xlfn.XLOOKUP($A117,MappingTable!$A:$A,MappingTable!G:G)</f>
        <v>Qatar</v>
      </c>
      <c r="I117" t="str">
        <f>+_xlfn.XLOOKUP($A117,MappingTable!$A:$A,MappingTable!H:H)</f>
        <v>Catar</v>
      </c>
      <c r="J117" t="str">
        <f>+_xlfn.XLOOKUP($A117,MappingTable!$A:$A,MappingTable!I:I)</f>
        <v>Catar</v>
      </c>
      <c r="U117" s="16"/>
    </row>
    <row r="118" spans="1:21" x14ac:dyDescent="0.25">
      <c r="A118" s="10" t="s">
        <v>951</v>
      </c>
      <c r="B118" s="10" t="s">
        <v>952</v>
      </c>
      <c r="C118" t="str">
        <f>+_xlfn.XLOOKUP(A118,MappingTable!A:A,MappingTable!B:B)</f>
        <v>Reunion</v>
      </c>
      <c r="D118" t="str">
        <f>+_xlfn.XLOOKUP($A118,MappingTable!$A:$A,MappingTable!C:C)</f>
        <v>Réunion</v>
      </c>
      <c r="E118" t="str">
        <f>+_xlfn.XLOOKUP($A118,MappingTable!$A:$A,MappingTable!D:D)</f>
        <v>Réunion</v>
      </c>
      <c r="F118" t="str">
        <f>+_xlfn.XLOOKUP($A118,MappingTable!$A:$A,MappingTable!E:E)</f>
        <v>Réunion</v>
      </c>
      <c r="G118" t="str">
        <f>+_xlfn.XLOOKUP($A118,MappingTable!$A:$A,MappingTable!F:F)</f>
        <v>レユニオン</v>
      </c>
      <c r="H118" t="str">
        <f>+_xlfn.XLOOKUP($A118,MappingTable!$A:$A,MappingTable!G:G)</f>
        <v>Réunion</v>
      </c>
      <c r="I118" t="str">
        <f>+_xlfn.XLOOKUP($A118,MappingTable!$A:$A,MappingTable!H:H)</f>
        <v>Reunión</v>
      </c>
      <c r="J118" t="str">
        <f>+_xlfn.XLOOKUP($A118,MappingTable!$A:$A,MappingTable!I:I)</f>
        <v>Reunião</v>
      </c>
      <c r="U118" s="16"/>
    </row>
    <row r="119" spans="1:21" x14ac:dyDescent="0.25">
      <c r="A119" s="10" t="s">
        <v>957</v>
      </c>
      <c r="B119" s="10" t="s">
        <v>958</v>
      </c>
      <c r="C119" t="str">
        <f>+_xlfn.XLOOKUP(A119,MappingTable!A:A,MappingTable!B:B)</f>
        <v>Romania</v>
      </c>
      <c r="D119" t="str">
        <f>+_xlfn.XLOOKUP($A119,MappingTable!$A:$A,MappingTable!C:C)</f>
        <v>Rumunjska</v>
      </c>
      <c r="E119" t="str">
        <f>+_xlfn.XLOOKUP($A119,MappingTable!$A:$A,MappingTable!D:D)</f>
        <v>Rumänien</v>
      </c>
      <c r="F119" t="str">
        <f>+_xlfn.XLOOKUP($A119,MappingTable!$A:$A,MappingTable!E:E)</f>
        <v>Roumanie</v>
      </c>
      <c r="G119" t="str">
        <f>+_xlfn.XLOOKUP($A119,MappingTable!$A:$A,MappingTable!F:F)</f>
        <v>ルーマニア</v>
      </c>
      <c r="H119" t="str">
        <f>+_xlfn.XLOOKUP($A119,MappingTable!$A:$A,MappingTable!G:G)</f>
        <v>Romania</v>
      </c>
      <c r="I119" t="str">
        <f>+_xlfn.XLOOKUP($A119,MappingTable!$A:$A,MappingTable!H:H)</f>
        <v>Rumanía</v>
      </c>
      <c r="J119" t="str">
        <f>+_xlfn.XLOOKUP($A119,MappingTable!$A:$A,MappingTable!I:I)</f>
        <v>Romênia</v>
      </c>
      <c r="U119" s="16"/>
    </row>
    <row r="120" spans="1:21" x14ac:dyDescent="0.25">
      <c r="A120" s="10" t="s">
        <v>972</v>
      </c>
      <c r="B120" s="10" t="s">
        <v>973</v>
      </c>
      <c r="C120" t="str">
        <f>+_xlfn.XLOOKUP(A120,MappingTable!A:A,MappingTable!B:B)</f>
        <v>Russia</v>
      </c>
      <c r="D120" t="str">
        <f>+_xlfn.XLOOKUP($A120,MappingTable!$A:$A,MappingTable!C:C)</f>
        <v>Rusija</v>
      </c>
      <c r="E120" t="str">
        <f>+_xlfn.XLOOKUP($A120,MappingTable!$A:$A,MappingTable!D:D)</f>
        <v>Russische Föderation</v>
      </c>
      <c r="F120" t="str">
        <f>+_xlfn.XLOOKUP($A120,MappingTable!$A:$A,MappingTable!E:E)</f>
        <v>Russie</v>
      </c>
      <c r="G120" t="str">
        <f>+_xlfn.XLOOKUP($A120,MappingTable!$A:$A,MappingTable!F:F)</f>
        <v>ロシア連邦</v>
      </c>
      <c r="H120" t="str">
        <f>+_xlfn.XLOOKUP($A120,MappingTable!$A:$A,MappingTable!G:G)</f>
        <v>Russia</v>
      </c>
      <c r="I120" t="str">
        <f>+_xlfn.XLOOKUP($A120,MappingTable!$A:$A,MappingTable!H:H)</f>
        <v>Rusia</v>
      </c>
      <c r="J120" t="str">
        <f>+_xlfn.XLOOKUP($A120,MappingTable!$A:$A,MappingTable!I:I)</f>
        <v>Rússia</v>
      </c>
      <c r="U120" s="16"/>
    </row>
    <row r="121" spans="1:21" x14ac:dyDescent="0.25">
      <c r="A121" s="10" t="s">
        <v>980</v>
      </c>
      <c r="B121" s="10" t="s">
        <v>981</v>
      </c>
      <c r="C121" t="str">
        <f>+_xlfn.XLOOKUP(A121,MappingTable!A:A,MappingTable!B:B)</f>
        <v>Rwanda</v>
      </c>
      <c r="D121" t="str">
        <f>+_xlfn.XLOOKUP($A121,MappingTable!$A:$A,MappingTable!C:C)</f>
        <v>Ruanda</v>
      </c>
      <c r="E121" t="str">
        <f>+_xlfn.XLOOKUP($A121,MappingTable!$A:$A,MappingTable!D:D)</f>
        <v>Ruanda</v>
      </c>
      <c r="F121" t="str">
        <f>+_xlfn.XLOOKUP($A121,MappingTable!$A:$A,MappingTable!E:E)</f>
        <v>Rwanda</v>
      </c>
      <c r="G121" t="str">
        <f>+_xlfn.XLOOKUP($A121,MappingTable!$A:$A,MappingTable!F:F)</f>
        <v>ルワンダ</v>
      </c>
      <c r="H121" t="str">
        <f>+_xlfn.XLOOKUP($A121,MappingTable!$A:$A,MappingTable!G:G)</f>
        <v>Ruanda</v>
      </c>
      <c r="I121" t="str">
        <f>+_xlfn.XLOOKUP($A121,MappingTable!$A:$A,MappingTable!H:H)</f>
        <v>Ruanda</v>
      </c>
      <c r="J121" t="str">
        <f>+_xlfn.XLOOKUP($A121,MappingTable!$A:$A,MappingTable!I:I)</f>
        <v>Ruanda</v>
      </c>
      <c r="U121" s="16"/>
    </row>
    <row r="122" spans="1:21" x14ac:dyDescent="0.25">
      <c r="A122" s="10" t="s">
        <v>603</v>
      </c>
      <c r="B122" s="10" t="s">
        <v>604</v>
      </c>
      <c r="C122" t="str">
        <f>+_xlfn.XLOOKUP(A122,MappingTable!A:A,MappingTable!B:B)</f>
        <v>Saint Kitts and Nevis</v>
      </c>
      <c r="D122" t="str">
        <f>+_xlfn.XLOOKUP($A122,MappingTable!$A:$A,MappingTable!C:C)</f>
        <v>Sveti Kristofor i Nevis</v>
      </c>
      <c r="E122" t="str">
        <f>+_xlfn.XLOOKUP($A122,MappingTable!$A:$A,MappingTable!D:D)</f>
        <v>St. Kitts und Nevis</v>
      </c>
      <c r="F122" t="str">
        <f>+_xlfn.XLOOKUP($A122,MappingTable!$A:$A,MappingTable!E:E)</f>
        <v>Saint-Christophe-et-Niévès</v>
      </c>
      <c r="G122" t="str">
        <f>+_xlfn.XLOOKUP($A122,MappingTable!$A:$A,MappingTable!F:F)</f>
        <v>セントクリストファー・ネイビス</v>
      </c>
      <c r="H122" t="str">
        <f>+_xlfn.XLOOKUP($A122,MappingTable!$A:$A,MappingTable!G:G)</f>
        <v>Saint Kitts e Nevis</v>
      </c>
      <c r="I122" t="str">
        <f>+_xlfn.XLOOKUP($A122,MappingTable!$A:$A,MappingTable!H:H)</f>
        <v>Saint Kitts y Nevis</v>
      </c>
      <c r="J122" t="str">
        <f>+_xlfn.XLOOKUP($A122,MappingTable!$A:$A,MappingTable!I:I)</f>
        <v>São Cristóvão e Nevis</v>
      </c>
      <c r="U122" s="16"/>
    </row>
    <row r="123" spans="1:21" x14ac:dyDescent="0.25">
      <c r="A123" s="10" t="s">
        <v>654</v>
      </c>
      <c r="B123" s="10" t="s">
        <v>655</v>
      </c>
      <c r="C123" t="str">
        <f>+_xlfn.XLOOKUP(A123,MappingTable!A:A,MappingTable!B:B)</f>
        <v>Saint Lucia</v>
      </c>
      <c r="D123" t="str">
        <f>+_xlfn.XLOOKUP($A123,MappingTable!$A:$A,MappingTable!C:C)</f>
        <v>Sveta Lucija</v>
      </c>
      <c r="E123" t="str">
        <f>+_xlfn.XLOOKUP($A123,MappingTable!$A:$A,MappingTable!D:D)</f>
        <v>St. Lucia</v>
      </c>
      <c r="F123" t="str">
        <f>+_xlfn.XLOOKUP($A123,MappingTable!$A:$A,MappingTable!E:E)</f>
        <v>Sainte-Lucie</v>
      </c>
      <c r="G123" t="str">
        <f>+_xlfn.XLOOKUP($A123,MappingTable!$A:$A,MappingTable!F:F)</f>
        <v>セントルシア</v>
      </c>
      <c r="H123" t="str">
        <f>+_xlfn.XLOOKUP($A123,MappingTable!$A:$A,MappingTable!G:G)</f>
        <v>Santa Lucia</v>
      </c>
      <c r="I123" t="str">
        <f>+_xlfn.XLOOKUP($A123,MappingTable!$A:$A,MappingTable!H:H)</f>
        <v>Santa Lucía</v>
      </c>
      <c r="J123" t="str">
        <f>+_xlfn.XLOOKUP($A123,MappingTable!$A:$A,MappingTable!I:I)</f>
        <v>Santa Lúcia</v>
      </c>
      <c r="U123" s="16"/>
    </row>
    <row r="124" spans="1:21" x14ac:dyDescent="0.25">
      <c r="A124" s="10" t="s">
        <v>984</v>
      </c>
      <c r="B124" s="10" t="s">
        <v>985</v>
      </c>
      <c r="C124" t="str">
        <f>+_xlfn.XLOOKUP(A124,MappingTable!A:A,MappingTable!B:B)</f>
        <v>Saudi Arabia</v>
      </c>
      <c r="D124" t="str">
        <f>+_xlfn.XLOOKUP($A124,MappingTable!$A:$A,MappingTable!C:C)</f>
        <v>Saudijska Arabija</v>
      </c>
      <c r="E124" t="str">
        <f>+_xlfn.XLOOKUP($A124,MappingTable!$A:$A,MappingTable!D:D)</f>
        <v>Saudi-Arabien</v>
      </c>
      <c r="F124" t="str">
        <f>+_xlfn.XLOOKUP($A124,MappingTable!$A:$A,MappingTable!E:E)</f>
        <v>Arabie Saoudite</v>
      </c>
      <c r="G124" t="str">
        <f>+_xlfn.XLOOKUP($A124,MappingTable!$A:$A,MappingTable!F:F)</f>
        <v>サウジアラビア</v>
      </c>
      <c r="H124" t="str">
        <f>+_xlfn.XLOOKUP($A124,MappingTable!$A:$A,MappingTable!G:G)</f>
        <v>Arabia Saudita</v>
      </c>
      <c r="I124" t="str">
        <f>+_xlfn.XLOOKUP($A124,MappingTable!$A:$A,MappingTable!H:H)</f>
        <v>Arabia Saudita</v>
      </c>
      <c r="J124" t="str">
        <f>+_xlfn.XLOOKUP($A124,MappingTable!$A:$A,MappingTable!I:I)</f>
        <v>Arábia Saudita</v>
      </c>
      <c r="U124" s="16"/>
    </row>
    <row r="125" spans="1:21" x14ac:dyDescent="0.25">
      <c r="A125" s="10" t="s">
        <v>1042</v>
      </c>
      <c r="B125" s="10" t="s">
        <v>1043</v>
      </c>
      <c r="C125" t="str">
        <f>+_xlfn.XLOOKUP(A125,MappingTable!A:A,MappingTable!B:B)</f>
        <v>Senegal</v>
      </c>
      <c r="D125" t="str">
        <f>+_xlfn.XLOOKUP($A125,MappingTable!$A:$A,MappingTable!C:C)</f>
        <v>Senegal</v>
      </c>
      <c r="E125" t="str">
        <f>+_xlfn.XLOOKUP($A125,MappingTable!$A:$A,MappingTable!D:D)</f>
        <v>Senegal</v>
      </c>
      <c r="F125" t="str">
        <f>+_xlfn.XLOOKUP($A125,MappingTable!$A:$A,MappingTable!E:E)</f>
        <v>Sénégal</v>
      </c>
      <c r="G125" t="str">
        <f>+_xlfn.XLOOKUP($A125,MappingTable!$A:$A,MappingTable!F:F)</f>
        <v>セネガル</v>
      </c>
      <c r="H125" t="str">
        <f>+_xlfn.XLOOKUP($A125,MappingTable!$A:$A,MappingTable!G:G)</f>
        <v>Senegal</v>
      </c>
      <c r="I125" t="str">
        <f>+_xlfn.XLOOKUP($A125,MappingTable!$A:$A,MappingTable!H:H)</f>
        <v>Senegal</v>
      </c>
      <c r="J125" t="str">
        <f>+_xlfn.XLOOKUP($A125,MappingTable!$A:$A,MappingTable!I:I)</f>
        <v>Senegal</v>
      </c>
      <c r="U125" s="16"/>
    </row>
    <row r="126" spans="1:21" x14ac:dyDescent="0.25">
      <c r="A126" s="10" t="s">
        <v>965</v>
      </c>
      <c r="B126" s="10" t="s">
        <v>966</v>
      </c>
      <c r="C126" t="str">
        <f>+_xlfn.XLOOKUP(A126,MappingTable!A:A,MappingTable!B:B)</f>
        <v>Serbia</v>
      </c>
      <c r="D126" t="str">
        <f>+_xlfn.XLOOKUP($A126,MappingTable!$A:$A,MappingTable!C:C)</f>
        <v>Srbija</v>
      </c>
      <c r="E126" t="str">
        <f>+_xlfn.XLOOKUP($A126,MappingTable!$A:$A,MappingTable!D:D)</f>
        <v>Serbien</v>
      </c>
      <c r="F126" t="str">
        <f>+_xlfn.XLOOKUP($A126,MappingTable!$A:$A,MappingTable!E:E)</f>
        <v>Serbie</v>
      </c>
      <c r="G126" t="str">
        <f>+_xlfn.XLOOKUP($A126,MappingTable!$A:$A,MappingTable!F:F)</f>
        <v>セルビア</v>
      </c>
      <c r="H126" t="str">
        <f>+_xlfn.XLOOKUP($A126,MappingTable!$A:$A,MappingTable!G:G)</f>
        <v>Serbia</v>
      </c>
      <c r="I126" t="str">
        <f>+_xlfn.XLOOKUP($A126,MappingTable!$A:$A,MappingTable!H:H)</f>
        <v>Serbia</v>
      </c>
      <c r="J126" t="str">
        <f>+_xlfn.XLOOKUP($A126,MappingTable!$A:$A,MappingTable!I:I)</f>
        <v>Sérvia</v>
      </c>
      <c r="U126" s="16"/>
    </row>
    <row r="127" spans="1:21" x14ac:dyDescent="0.25">
      <c r="A127" s="10" t="s">
        <v>1036</v>
      </c>
      <c r="B127" s="10" t="s">
        <v>1037</v>
      </c>
      <c r="C127" t="str">
        <f>+_xlfn.XLOOKUP(A127,MappingTable!A:A,MappingTable!B:B)</f>
        <v>Sierra Leone</v>
      </c>
      <c r="D127" t="str">
        <f>+_xlfn.XLOOKUP($A127,MappingTable!$A:$A,MappingTable!C:C)</f>
        <v>Sijera Leone</v>
      </c>
      <c r="E127" t="str">
        <f>+_xlfn.XLOOKUP($A127,MappingTable!$A:$A,MappingTable!D:D)</f>
        <v>Sierra Leone</v>
      </c>
      <c r="F127" t="str">
        <f>+_xlfn.XLOOKUP($A127,MappingTable!$A:$A,MappingTable!E:E)</f>
        <v>Sierra Leone</v>
      </c>
      <c r="G127" t="str">
        <f>+_xlfn.XLOOKUP($A127,MappingTable!$A:$A,MappingTable!F:F)</f>
        <v>シエラレオネ</v>
      </c>
      <c r="H127" t="str">
        <f>+_xlfn.XLOOKUP($A127,MappingTable!$A:$A,MappingTable!G:G)</f>
        <v>Sierra Leone</v>
      </c>
      <c r="I127" t="str">
        <f>+_xlfn.XLOOKUP($A127,MappingTable!$A:$A,MappingTable!H:H)</f>
        <v>Sierra Leona</v>
      </c>
      <c r="J127" t="str">
        <f>+_xlfn.XLOOKUP($A127,MappingTable!$A:$A,MappingTable!I:I)</f>
        <v>Serra Leoa</v>
      </c>
      <c r="U127" s="16"/>
    </row>
    <row r="128" spans="1:21" x14ac:dyDescent="0.25">
      <c r="A128" s="10" t="s">
        <v>1013</v>
      </c>
      <c r="B128" s="10" t="s">
        <v>1014</v>
      </c>
      <c r="C128" t="str">
        <f>+_xlfn.XLOOKUP(A128,MappingTable!A:A,MappingTable!B:B)</f>
        <v>Singapore</v>
      </c>
      <c r="D128" t="str">
        <f>+_xlfn.XLOOKUP($A128,MappingTable!$A:$A,MappingTable!C:C)</f>
        <v>Singapur</v>
      </c>
      <c r="E128" t="str">
        <f>+_xlfn.XLOOKUP($A128,MappingTable!$A:$A,MappingTable!D:D)</f>
        <v>Singapur</v>
      </c>
      <c r="F128" t="str">
        <f>+_xlfn.XLOOKUP($A128,MappingTable!$A:$A,MappingTable!E:E)</f>
        <v>Singapour</v>
      </c>
      <c r="G128" t="str">
        <f>+_xlfn.XLOOKUP($A128,MappingTable!$A:$A,MappingTable!F:F)</f>
        <v>シンガポール</v>
      </c>
      <c r="H128" t="str">
        <f>+_xlfn.XLOOKUP($A128,MappingTable!$A:$A,MappingTable!G:G)</f>
        <v>Singapore</v>
      </c>
      <c r="I128" t="str">
        <f>+_xlfn.XLOOKUP($A128,MappingTable!$A:$A,MappingTable!H:H)</f>
        <v>Singapur</v>
      </c>
      <c r="J128" t="str">
        <f>+_xlfn.XLOOKUP($A128,MappingTable!$A:$A,MappingTable!I:I)</f>
        <v>Singapura</v>
      </c>
      <c r="U128" s="16"/>
    </row>
    <row r="129" spans="1:21" x14ac:dyDescent="0.25">
      <c r="A129" s="10" t="s">
        <v>1027</v>
      </c>
      <c r="B129" s="10" t="s">
        <v>1028</v>
      </c>
      <c r="C129" t="str">
        <f>+_xlfn.XLOOKUP(A129,MappingTable!A:A,MappingTable!B:B)</f>
        <v>Slovakia</v>
      </c>
      <c r="D129" t="str">
        <f>+_xlfn.XLOOKUP($A129,MappingTable!$A:$A,MappingTable!C:C)</f>
        <v>Slovačka</v>
      </c>
      <c r="E129" t="str">
        <f>+_xlfn.XLOOKUP($A129,MappingTable!$A:$A,MappingTable!D:D)</f>
        <v>Slowakei</v>
      </c>
      <c r="F129" t="str">
        <f>+_xlfn.XLOOKUP($A129,MappingTable!$A:$A,MappingTable!E:E)</f>
        <v>Slovaquie</v>
      </c>
      <c r="G129" t="str">
        <f>+_xlfn.XLOOKUP($A129,MappingTable!$A:$A,MappingTable!F:F)</f>
        <v>スロバキア</v>
      </c>
      <c r="H129" t="str">
        <f>+_xlfn.XLOOKUP($A129,MappingTable!$A:$A,MappingTable!G:G)</f>
        <v>Slovacchia</v>
      </c>
      <c r="I129" t="str">
        <f>+_xlfn.XLOOKUP($A129,MappingTable!$A:$A,MappingTable!H:H)</f>
        <v>Eslovaquia</v>
      </c>
      <c r="J129" t="str">
        <f>+_xlfn.XLOOKUP($A129,MappingTable!$A:$A,MappingTable!I:I)</f>
        <v>Eslováquia</v>
      </c>
      <c r="K129" t="s">
        <v>1848</v>
      </c>
      <c r="U129" s="16"/>
    </row>
    <row r="130" spans="1:21" x14ac:dyDescent="0.25">
      <c r="A130" s="10" t="s">
        <v>1019</v>
      </c>
      <c r="B130" s="10" t="s">
        <v>1020</v>
      </c>
      <c r="C130" t="str">
        <f>+_xlfn.XLOOKUP(A130,MappingTable!A:A,MappingTable!B:B)</f>
        <v>Slovenia</v>
      </c>
      <c r="D130" t="str">
        <f>+_xlfn.XLOOKUP($A130,MappingTable!$A:$A,MappingTable!C:C)</f>
        <v>Slovenija</v>
      </c>
      <c r="E130" t="str">
        <f>+_xlfn.XLOOKUP($A130,MappingTable!$A:$A,MappingTable!D:D)</f>
        <v>Slowenien</v>
      </c>
      <c r="F130" t="str">
        <f>+_xlfn.XLOOKUP($A130,MappingTable!$A:$A,MappingTable!E:E)</f>
        <v>Slovénie</v>
      </c>
      <c r="G130" t="str">
        <f>+_xlfn.XLOOKUP($A130,MappingTable!$A:$A,MappingTable!F:F)</f>
        <v>スロベニア</v>
      </c>
      <c r="H130" t="str">
        <f>+_xlfn.XLOOKUP($A130,MappingTable!$A:$A,MappingTable!G:G)</f>
        <v>Slovenia</v>
      </c>
      <c r="I130" t="str">
        <f>+_xlfn.XLOOKUP($A130,MappingTable!$A:$A,MappingTable!H:H)</f>
        <v>Eslovenia</v>
      </c>
      <c r="J130" t="str">
        <f>+_xlfn.XLOOKUP($A130,MappingTable!$A:$A,MappingTable!I:I)</f>
        <v>Eslovênia</v>
      </c>
      <c r="U130" s="16"/>
    </row>
    <row r="131" spans="1:21" x14ac:dyDescent="0.25">
      <c r="A131" s="10" t="s">
        <v>1198</v>
      </c>
      <c r="B131" s="10" t="s">
        <v>1199</v>
      </c>
      <c r="C131" t="str">
        <f>+_xlfn.XLOOKUP(A131,MappingTable!A:A,MappingTable!B:B)</f>
        <v>Kosovo</v>
      </c>
      <c r="D131" t="str">
        <f>+_xlfn.XLOOKUP($A131,MappingTable!$A:$A,MappingTable!C:C)</f>
        <v>Kosovo</v>
      </c>
      <c r="E131" t="str">
        <f>+_xlfn.XLOOKUP($A131,MappingTable!$A:$A,MappingTable!D:D)</f>
        <v>Kosovo</v>
      </c>
      <c r="F131" t="str">
        <f>+_xlfn.XLOOKUP($A131,MappingTable!$A:$A,MappingTable!E:E)</f>
        <v>Kosovo</v>
      </c>
      <c r="G131" t="str">
        <f>+_xlfn.XLOOKUP($A131,MappingTable!$A:$A,MappingTable!F:F)</f>
        <v>コソボ</v>
      </c>
      <c r="H131" t="str">
        <f>+_xlfn.XLOOKUP($A131,MappingTable!$A:$A,MappingTable!G:G)</f>
        <v>Kosovo</v>
      </c>
      <c r="I131" t="str">
        <f>+_xlfn.XLOOKUP($A131,MappingTable!$A:$A,MappingTable!H:H)</f>
        <v>Kosovo</v>
      </c>
      <c r="J131" t="str">
        <f>+_xlfn.XLOOKUP($A131,MappingTable!$A:$A,MappingTable!I:I)</f>
        <v>Kosovo</v>
      </c>
      <c r="U131" s="16"/>
    </row>
    <row r="132" spans="1:21" x14ac:dyDescent="0.25">
      <c r="A132" s="10" t="s">
        <v>612</v>
      </c>
      <c r="B132" s="10" t="s">
        <v>613</v>
      </c>
      <c r="C132" t="str">
        <f>+_xlfn.XLOOKUP(A132,MappingTable!A:A,MappingTable!B:B)</f>
        <v>South Korea</v>
      </c>
      <c r="D132" t="str">
        <f>+_xlfn.XLOOKUP($A132,MappingTable!$A:$A,MappingTable!C:C)</f>
        <v>Južna Koreja</v>
      </c>
      <c r="E132" t="str">
        <f>+_xlfn.XLOOKUP($A132,MappingTable!$A:$A,MappingTable!D:D)</f>
        <v>Südkorea</v>
      </c>
      <c r="F132" t="str">
        <f>+_xlfn.XLOOKUP($A132,MappingTable!$A:$A,MappingTable!E:E)</f>
        <v>Corée du Sud</v>
      </c>
      <c r="G132" t="str">
        <f>+_xlfn.XLOOKUP($A132,MappingTable!$A:$A,MappingTable!F:F)</f>
        <v>大韓民国</v>
      </c>
      <c r="H132" t="str">
        <f>+_xlfn.XLOOKUP($A132,MappingTable!$A:$A,MappingTable!G:G)</f>
        <v>Corea del Sud</v>
      </c>
      <c r="I132" t="str">
        <f>+_xlfn.XLOOKUP($A132,MappingTable!$A:$A,MappingTable!H:H)</f>
        <v>República de Corea</v>
      </c>
      <c r="J132" t="str">
        <f>+_xlfn.XLOOKUP($A132,MappingTable!$A:$A,MappingTable!I:I)</f>
        <v>Coreia do Sul</v>
      </c>
      <c r="U132" s="16"/>
    </row>
    <row r="133" spans="1:21" x14ac:dyDescent="0.25">
      <c r="A133" s="10" t="s">
        <v>338</v>
      </c>
      <c r="B133" s="10" t="s">
        <v>339</v>
      </c>
      <c r="C133" t="str">
        <f>+_xlfn.XLOOKUP(A133,MappingTable!A:A,MappingTable!B:B)</f>
        <v>Spain</v>
      </c>
      <c r="D133" t="str">
        <f>+_xlfn.XLOOKUP($A133,MappingTable!$A:$A,MappingTable!C:C)</f>
        <v>Španjolska</v>
      </c>
      <c r="E133" t="str">
        <f>+_xlfn.XLOOKUP($A133,MappingTable!$A:$A,MappingTable!D:D)</f>
        <v>Spanien</v>
      </c>
      <c r="F133" t="str">
        <f>+_xlfn.XLOOKUP($A133,MappingTable!$A:$A,MappingTable!E:E)</f>
        <v>Espagne</v>
      </c>
      <c r="G133" t="str">
        <f>+_xlfn.XLOOKUP($A133,MappingTable!$A:$A,MappingTable!F:F)</f>
        <v>スペイン</v>
      </c>
      <c r="H133" t="str">
        <f>+_xlfn.XLOOKUP($A133,MappingTable!$A:$A,MappingTable!G:G)</f>
        <v>Spagna</v>
      </c>
      <c r="I133" t="str">
        <f>+_xlfn.XLOOKUP($A133,MappingTable!$A:$A,MappingTable!H:H)</f>
        <v>España</v>
      </c>
      <c r="J133" t="str">
        <f>+_xlfn.XLOOKUP($A133,MappingTable!$A:$A,MappingTable!I:I)</f>
        <v>Espanha</v>
      </c>
      <c r="U133" s="16"/>
    </row>
    <row r="134" spans="1:21" x14ac:dyDescent="0.25">
      <c r="A134" s="10" t="s">
        <v>667</v>
      </c>
      <c r="B134" s="10" t="s">
        <v>668</v>
      </c>
      <c r="C134" t="str">
        <f>+_xlfn.XLOOKUP(A134,MappingTable!A:A,MappingTable!B:B)</f>
        <v>Sri Lanka</v>
      </c>
      <c r="D134" t="str">
        <f>+_xlfn.XLOOKUP($A134,MappingTable!$A:$A,MappingTable!C:C)</f>
        <v>Šri Lanka</v>
      </c>
      <c r="E134" t="str">
        <f>+_xlfn.XLOOKUP($A134,MappingTable!$A:$A,MappingTable!D:D)</f>
        <v>Sri Lanka</v>
      </c>
      <c r="F134" t="str">
        <f>+_xlfn.XLOOKUP($A134,MappingTable!$A:$A,MappingTable!E:E)</f>
        <v>Sri Lanka</v>
      </c>
      <c r="G134" t="str">
        <f>+_xlfn.XLOOKUP($A134,MappingTable!$A:$A,MappingTable!F:F)</f>
        <v>スリランカ</v>
      </c>
      <c r="H134" t="str">
        <f>+_xlfn.XLOOKUP($A134,MappingTable!$A:$A,MappingTable!G:G)</f>
        <v>Sri Lanka</v>
      </c>
      <c r="I134" t="str">
        <f>+_xlfn.XLOOKUP($A134,MappingTable!$A:$A,MappingTable!H:H)</f>
        <v>Sri Lanka</v>
      </c>
      <c r="J134" t="str">
        <f>+_xlfn.XLOOKUP($A134,MappingTable!$A:$A,MappingTable!I:I)</f>
        <v>Sri Lanka</v>
      </c>
      <c r="U134" s="16"/>
    </row>
    <row r="135" spans="1:21" x14ac:dyDescent="0.25">
      <c r="A135" s="10" t="s">
        <v>998</v>
      </c>
      <c r="B135" s="10" t="s">
        <v>999</v>
      </c>
      <c r="C135" t="str">
        <f>+_xlfn.XLOOKUP(A135,MappingTable!A:A,MappingTable!B:B)</f>
        <v>Sudan</v>
      </c>
      <c r="D135" t="str">
        <f>+_xlfn.XLOOKUP($A135,MappingTable!$A:$A,MappingTable!C:C)</f>
        <v>Sudan</v>
      </c>
      <c r="E135" t="str">
        <f>+_xlfn.XLOOKUP($A135,MappingTable!$A:$A,MappingTable!D:D)</f>
        <v>Sudan</v>
      </c>
      <c r="F135" t="str">
        <f>+_xlfn.XLOOKUP($A135,MappingTable!$A:$A,MappingTable!E:E)</f>
        <v>Soudan</v>
      </c>
      <c r="G135" t="str">
        <f>+_xlfn.XLOOKUP($A135,MappingTable!$A:$A,MappingTable!F:F)</f>
        <v>スーダン</v>
      </c>
      <c r="H135" t="str">
        <f>+_xlfn.XLOOKUP($A135,MappingTable!$A:$A,MappingTable!G:G)</f>
        <v>Sudan</v>
      </c>
      <c r="I135" t="str">
        <f>+_xlfn.XLOOKUP($A135,MappingTable!$A:$A,MappingTable!H:H)</f>
        <v>Sudán</v>
      </c>
      <c r="J135" t="str">
        <f>+_xlfn.XLOOKUP($A135,MappingTable!$A:$A,MappingTable!I:I)</f>
        <v>Sudão</v>
      </c>
      <c r="U135" s="16"/>
    </row>
    <row r="136" spans="1:21" x14ac:dyDescent="0.25">
      <c r="A136" s="10" t="s">
        <v>1201</v>
      </c>
      <c r="B136" s="10" t="s">
        <v>1202</v>
      </c>
      <c r="C136" t="str">
        <f>+_xlfn.XLOOKUP(A136,MappingTable!A:A,MappingTable!B:B)</f>
        <v>South Africa</v>
      </c>
      <c r="D136" t="str">
        <f>+_xlfn.XLOOKUP($A136,MappingTable!$A:$A,MappingTable!C:C)</f>
        <v>Južnoafrička Republika</v>
      </c>
      <c r="E136" t="str">
        <f>+_xlfn.XLOOKUP($A136,MappingTable!$A:$A,MappingTable!D:D)</f>
        <v>Südafrika</v>
      </c>
      <c r="F136" t="str">
        <f>+_xlfn.XLOOKUP($A136,MappingTable!$A:$A,MappingTable!E:E)</f>
        <v>Afrique du Sud</v>
      </c>
      <c r="G136" t="str">
        <f>+_xlfn.XLOOKUP($A136,MappingTable!$A:$A,MappingTable!F:F)</f>
        <v>南アフリカ</v>
      </c>
      <c r="H136" t="str">
        <f>+_xlfn.XLOOKUP($A136,MappingTable!$A:$A,MappingTable!G:G)</f>
        <v>Sudafrica</v>
      </c>
      <c r="I136" t="str">
        <f>+_xlfn.XLOOKUP($A136,MappingTable!$A:$A,MappingTable!H:H)</f>
        <v>Sudáfrica</v>
      </c>
      <c r="J136" t="str">
        <f>+_xlfn.XLOOKUP($A136,MappingTable!$A:$A,MappingTable!I:I)</f>
        <v>África do Sul</v>
      </c>
      <c r="U136" s="16"/>
    </row>
    <row r="137" spans="1:21" x14ac:dyDescent="0.25">
      <c r="A137" s="10" t="s">
        <v>1004</v>
      </c>
      <c r="B137" s="10" t="s">
        <v>1005</v>
      </c>
      <c r="C137" t="str">
        <f>+_xlfn.XLOOKUP(A137,MappingTable!A:A,MappingTable!B:B)</f>
        <v>Sweden</v>
      </c>
      <c r="D137" t="str">
        <f>+_xlfn.XLOOKUP($A137,MappingTable!$A:$A,MappingTable!C:C)</f>
        <v>Švedska</v>
      </c>
      <c r="E137" t="str">
        <f>+_xlfn.XLOOKUP($A137,MappingTable!$A:$A,MappingTable!D:D)</f>
        <v>Schweden</v>
      </c>
      <c r="F137" t="str">
        <f>+_xlfn.XLOOKUP($A137,MappingTable!$A:$A,MappingTable!E:E)</f>
        <v>Suède</v>
      </c>
      <c r="G137" t="str">
        <f>+_xlfn.XLOOKUP($A137,MappingTable!$A:$A,MappingTable!F:F)</f>
        <v>スウェーデン</v>
      </c>
      <c r="H137" t="str">
        <f>+_xlfn.XLOOKUP($A137,MappingTable!$A:$A,MappingTable!G:G)</f>
        <v>Svezia</v>
      </c>
      <c r="I137" t="str">
        <f>+_xlfn.XLOOKUP($A137,MappingTable!$A:$A,MappingTable!H:H)</f>
        <v>Suecia</v>
      </c>
      <c r="J137" t="str">
        <f>+_xlfn.XLOOKUP($A137,MappingTable!$A:$A,MappingTable!I:I)</f>
        <v>Suécia</v>
      </c>
      <c r="U137" s="16"/>
    </row>
    <row r="138" spans="1:21" x14ac:dyDescent="0.25">
      <c r="A138" s="10" t="s">
        <v>200</v>
      </c>
      <c r="B138" s="10" t="s">
        <v>201</v>
      </c>
      <c r="C138" t="str">
        <f>+_xlfn.XLOOKUP(A138,MappingTable!A:A,MappingTable!B:B)</f>
        <v>Switzerland</v>
      </c>
      <c r="D138" t="str">
        <f>+_xlfn.XLOOKUP($A138,MappingTable!$A:$A,MappingTable!C:C)</f>
        <v>Švicarska</v>
      </c>
      <c r="E138" t="str">
        <f>+_xlfn.XLOOKUP($A138,MappingTable!$A:$A,MappingTable!D:D)</f>
        <v>Schweiz</v>
      </c>
      <c r="F138" t="str">
        <f>+_xlfn.XLOOKUP($A138,MappingTable!$A:$A,MappingTable!E:E)</f>
        <v>Suisse</v>
      </c>
      <c r="G138" t="str">
        <f>+_xlfn.XLOOKUP($A138,MappingTable!$A:$A,MappingTable!F:F)</f>
        <v>スイス</v>
      </c>
      <c r="H138" t="str">
        <f>+_xlfn.XLOOKUP($A138,MappingTable!$A:$A,MappingTable!G:G)</f>
        <v>Svizzera</v>
      </c>
      <c r="I138" t="str">
        <f>+_xlfn.XLOOKUP($A138,MappingTable!$A:$A,MappingTable!H:H)</f>
        <v>Suiza</v>
      </c>
      <c r="J138" t="str">
        <f>+_xlfn.XLOOKUP($A138,MappingTable!$A:$A,MappingTable!I:I)</f>
        <v>Suíça</v>
      </c>
      <c r="U138" s="16"/>
    </row>
    <row r="139" spans="1:21" x14ac:dyDescent="0.25">
      <c r="A139" s="10" t="s">
        <v>1115</v>
      </c>
      <c r="B139" s="10" t="s">
        <v>1116</v>
      </c>
      <c r="C139" t="str">
        <f>+_xlfn.XLOOKUP(A139,MappingTable!A:A,MappingTable!B:B)</f>
        <v>Türkiye</v>
      </c>
      <c r="D139" t="str">
        <f>+_xlfn.XLOOKUP($A139,MappingTable!$A:$A,MappingTable!C:C)</f>
        <v>Turska</v>
      </c>
      <c r="E139" t="str">
        <f>+_xlfn.XLOOKUP($A139,MappingTable!$A:$A,MappingTable!D:D)</f>
        <v>Türkei</v>
      </c>
      <c r="F139" t="str">
        <f>+_xlfn.XLOOKUP($A139,MappingTable!$A:$A,MappingTable!E:E)</f>
        <v>Turquie</v>
      </c>
      <c r="G139" t="str">
        <f>+_xlfn.XLOOKUP($A139,MappingTable!$A:$A,MappingTable!F:F)</f>
        <v>トルコ</v>
      </c>
      <c r="H139" t="str">
        <f>+_xlfn.XLOOKUP($A139,MappingTable!$A:$A,MappingTable!G:G)</f>
        <v>Turchia</v>
      </c>
      <c r="I139" t="str">
        <f>+_xlfn.XLOOKUP($A139,MappingTable!$A:$A,MappingTable!H:H)</f>
        <v>Turquía</v>
      </c>
      <c r="J139" t="str">
        <f>+_xlfn.XLOOKUP($A139,MappingTable!$A:$A,MappingTable!I:I)</f>
        <v>Turquia</v>
      </c>
      <c r="U139" s="16"/>
    </row>
    <row r="140" spans="1:21" x14ac:dyDescent="0.25">
      <c r="A140" s="10" t="s">
        <v>1082</v>
      </c>
      <c r="B140" s="10" t="s">
        <v>1083</v>
      </c>
      <c r="C140" t="str">
        <f>+_xlfn.XLOOKUP(A140,MappingTable!A:A,MappingTable!B:B)</f>
        <v>Thailand</v>
      </c>
      <c r="D140" t="str">
        <f>+_xlfn.XLOOKUP($A140,MappingTable!$A:$A,MappingTable!C:C)</f>
        <v>Tajland</v>
      </c>
      <c r="E140" t="str">
        <f>+_xlfn.XLOOKUP($A140,MappingTable!$A:$A,MappingTable!D:D)</f>
        <v>Thailand</v>
      </c>
      <c r="F140" t="str">
        <f>+_xlfn.XLOOKUP($A140,MappingTable!$A:$A,MappingTable!E:E)</f>
        <v>Thaïlande</v>
      </c>
      <c r="G140" t="str">
        <f>+_xlfn.XLOOKUP($A140,MappingTable!$A:$A,MappingTable!F:F)</f>
        <v>タイ</v>
      </c>
      <c r="H140" t="str">
        <f>+_xlfn.XLOOKUP($A140,MappingTable!$A:$A,MappingTable!G:G)</f>
        <v>Thailandia</v>
      </c>
      <c r="I140" t="str">
        <f>+_xlfn.XLOOKUP($A140,MappingTable!$A:$A,MappingTable!H:H)</f>
        <v>Tailandia</v>
      </c>
      <c r="J140" t="str">
        <f>+_xlfn.XLOOKUP($A140,MappingTable!$A:$A,MappingTable!I:I)</f>
        <v>Tailândia</v>
      </c>
      <c r="U140" s="16"/>
    </row>
    <row r="141" spans="1:21" x14ac:dyDescent="0.25">
      <c r="A141" s="10" t="s">
        <v>1124</v>
      </c>
      <c r="B141" s="10" t="s">
        <v>1125</v>
      </c>
      <c r="C141" t="str">
        <f>+_xlfn.XLOOKUP(A141,MappingTable!A:A,MappingTable!B:B)</f>
        <v>Taiwan</v>
      </c>
      <c r="D141" t="str">
        <f>+_xlfn.XLOOKUP($A141,MappingTable!$A:$A,MappingTable!C:C)</f>
        <v>Tajvan</v>
      </c>
      <c r="E141" t="str">
        <f>+_xlfn.XLOOKUP($A141,MappingTable!$A:$A,MappingTable!D:D)</f>
        <v>Taiwan</v>
      </c>
      <c r="F141" t="str">
        <f>+_xlfn.XLOOKUP($A141,MappingTable!$A:$A,MappingTable!E:E)</f>
        <v>Taïwan</v>
      </c>
      <c r="G141" t="str">
        <f>+_xlfn.XLOOKUP($A141,MappingTable!$A:$A,MappingTable!F:F)</f>
        <v>台湾</v>
      </c>
      <c r="H141" t="str">
        <f>+_xlfn.XLOOKUP($A141,MappingTable!$A:$A,MappingTable!G:G)</f>
        <v>Repubblica di Cina</v>
      </c>
      <c r="I141" t="str">
        <f>+_xlfn.XLOOKUP($A141,MappingTable!$A:$A,MappingTable!H:H)</f>
        <v>Taiwán</v>
      </c>
      <c r="J141" t="str">
        <f>+_xlfn.XLOOKUP($A141,MappingTable!$A:$A,MappingTable!I:I)</f>
        <v>Taiwan</v>
      </c>
      <c r="U141" s="16"/>
    </row>
    <row r="142" spans="1:21" x14ac:dyDescent="0.25">
      <c r="A142" s="10" t="s">
        <v>1079</v>
      </c>
      <c r="B142" s="10" t="s">
        <v>1080</v>
      </c>
      <c r="C142" t="str">
        <f>+_xlfn.XLOOKUP(A142,MappingTable!A:A,MappingTable!B:B)</f>
        <v>Togo</v>
      </c>
      <c r="D142" t="str">
        <f>+_xlfn.XLOOKUP($A142,MappingTable!$A:$A,MappingTable!C:C)</f>
        <v>Togo</v>
      </c>
      <c r="E142" t="str">
        <f>+_xlfn.XLOOKUP($A142,MappingTable!$A:$A,MappingTable!D:D)</f>
        <v>Togo</v>
      </c>
      <c r="F142" t="str">
        <f>+_xlfn.XLOOKUP($A142,MappingTable!$A:$A,MappingTable!E:E)</f>
        <v>Togo</v>
      </c>
      <c r="G142" t="str">
        <f>+_xlfn.XLOOKUP($A142,MappingTable!$A:$A,MappingTable!F:F)</f>
        <v>トーゴ</v>
      </c>
      <c r="H142" t="str">
        <f>+_xlfn.XLOOKUP($A142,MappingTable!$A:$A,MappingTable!G:G)</f>
        <v>Togo</v>
      </c>
      <c r="I142" t="str">
        <f>+_xlfn.XLOOKUP($A142,MappingTable!$A:$A,MappingTable!H:H)</f>
        <v>Togo</v>
      </c>
      <c r="J142" t="str">
        <f>+_xlfn.XLOOKUP($A142,MappingTable!$A:$A,MappingTable!I:I)</f>
        <v>Togo</v>
      </c>
      <c r="U142" s="16"/>
    </row>
    <row r="143" spans="1:21" x14ac:dyDescent="0.25">
      <c r="A143" s="10" t="s">
        <v>1071</v>
      </c>
      <c r="B143" s="10" t="s">
        <v>1072</v>
      </c>
      <c r="C143" t="str">
        <f>+_xlfn.XLOOKUP(A143,MappingTable!A:A,MappingTable!B:B)</f>
        <v>Chad</v>
      </c>
      <c r="D143" t="str">
        <f>+_xlfn.XLOOKUP($A143,MappingTable!$A:$A,MappingTable!C:C)</f>
        <v>Čad</v>
      </c>
      <c r="E143" t="str">
        <f>+_xlfn.XLOOKUP($A143,MappingTable!$A:$A,MappingTable!D:D)</f>
        <v>Tschad</v>
      </c>
      <c r="F143" t="str">
        <f>+_xlfn.XLOOKUP($A143,MappingTable!$A:$A,MappingTable!E:E)</f>
        <v>Tchad</v>
      </c>
      <c r="G143" t="str">
        <f>+_xlfn.XLOOKUP($A143,MappingTable!$A:$A,MappingTable!F:F)</f>
        <v>チャド</v>
      </c>
      <c r="H143" t="str">
        <f>+_xlfn.XLOOKUP($A143,MappingTable!$A:$A,MappingTable!G:G)</f>
        <v>Ciad</v>
      </c>
      <c r="I143" t="str">
        <f>+_xlfn.XLOOKUP($A143,MappingTable!$A:$A,MappingTable!H:H)</f>
        <v>Chad</v>
      </c>
      <c r="J143" t="str">
        <f>+_xlfn.XLOOKUP($A143,MappingTable!$A:$A,MappingTable!I:I)</f>
        <v>Chade</v>
      </c>
      <c r="U143" s="16"/>
    </row>
    <row r="144" spans="1:21" x14ac:dyDescent="0.25">
      <c r="A144" s="10" t="s">
        <v>1104</v>
      </c>
      <c r="B144" s="10" t="s">
        <v>1105</v>
      </c>
      <c r="C144" t="str">
        <f>+_xlfn.XLOOKUP(A144,MappingTable!A:A,MappingTable!B:B)</f>
        <v>Tunisia</v>
      </c>
      <c r="D144" t="str">
        <f>+_xlfn.XLOOKUP($A144,MappingTable!$A:$A,MappingTable!C:C)</f>
        <v>Tunis</v>
      </c>
      <c r="E144" t="str">
        <f>+_xlfn.XLOOKUP($A144,MappingTable!$A:$A,MappingTable!D:D)</f>
        <v>Tunesien</v>
      </c>
      <c r="F144" t="str">
        <f>+_xlfn.XLOOKUP($A144,MappingTable!$A:$A,MappingTable!E:E)</f>
        <v>Tunisie</v>
      </c>
      <c r="G144" t="str">
        <f>+_xlfn.XLOOKUP($A144,MappingTable!$A:$A,MappingTable!F:F)</f>
        <v>チュニジア</v>
      </c>
      <c r="H144" t="str">
        <f>+_xlfn.XLOOKUP($A144,MappingTable!$A:$A,MappingTable!G:G)</f>
        <v>Tunisia</v>
      </c>
      <c r="I144" t="str">
        <f>+_xlfn.XLOOKUP($A144,MappingTable!$A:$A,MappingTable!H:H)</f>
        <v>Túnez</v>
      </c>
      <c r="J144" t="str">
        <f>+_xlfn.XLOOKUP($A144,MappingTable!$A:$A,MappingTable!I:I)</f>
        <v>Tunísia</v>
      </c>
      <c r="U144" s="16"/>
    </row>
    <row r="145" spans="1:21" x14ac:dyDescent="0.25">
      <c r="A145" s="10" t="s">
        <v>1090</v>
      </c>
      <c r="B145" s="10" t="s">
        <v>1091</v>
      </c>
      <c r="C145" t="str">
        <f>+_xlfn.XLOOKUP(A145,MappingTable!A:A,MappingTable!B:B)</f>
        <v>Tajikistan</v>
      </c>
      <c r="D145" t="str">
        <f>+_xlfn.XLOOKUP($A145,MappingTable!$A:$A,MappingTable!C:C)</f>
        <v>Tadžikistan</v>
      </c>
      <c r="E145" t="str">
        <f>+_xlfn.XLOOKUP($A145,MappingTable!$A:$A,MappingTable!D:D)</f>
        <v>Tadschikistan</v>
      </c>
      <c r="F145" t="str">
        <f>+_xlfn.XLOOKUP($A145,MappingTable!$A:$A,MappingTable!E:E)</f>
        <v>Tadjikistan</v>
      </c>
      <c r="G145" t="str">
        <f>+_xlfn.XLOOKUP($A145,MappingTable!$A:$A,MappingTable!F:F)</f>
        <v>タジキスタン</v>
      </c>
      <c r="H145" t="str">
        <f>+_xlfn.XLOOKUP($A145,MappingTable!$A:$A,MappingTable!G:G)</f>
        <v>Tagikistan</v>
      </c>
      <c r="I145" t="str">
        <f>+_xlfn.XLOOKUP($A145,MappingTable!$A:$A,MappingTable!H:H)</f>
        <v>Tayikistán</v>
      </c>
      <c r="J145" t="str">
        <f>+_xlfn.XLOOKUP($A145,MappingTable!$A:$A,MappingTable!I:I)</f>
        <v>Tajiquistão</v>
      </c>
      <c r="U145" s="16"/>
    </row>
    <row r="146" spans="1:21" x14ac:dyDescent="0.25">
      <c r="A146" s="10" t="s">
        <v>1112</v>
      </c>
      <c r="B146" s="10" t="s">
        <v>1113</v>
      </c>
      <c r="C146" t="str">
        <f>+_xlfn.XLOOKUP(A146,MappingTable!A:A,MappingTable!B:B)</f>
        <v>Tonga</v>
      </c>
      <c r="D146" t="str">
        <f>+_xlfn.XLOOKUP($A146,MappingTable!$A:$A,MappingTable!C:C)</f>
        <v>Tonga</v>
      </c>
      <c r="E146" t="str">
        <f>+_xlfn.XLOOKUP($A146,MappingTable!$A:$A,MappingTable!D:D)</f>
        <v>Tonga</v>
      </c>
      <c r="F146" t="str">
        <f>+_xlfn.XLOOKUP($A146,MappingTable!$A:$A,MappingTable!E:E)</f>
        <v>Tonga</v>
      </c>
      <c r="G146" t="str">
        <f>+_xlfn.XLOOKUP($A146,MappingTable!$A:$A,MappingTable!F:F)</f>
        <v>トンガ</v>
      </c>
      <c r="H146" t="str">
        <f>+_xlfn.XLOOKUP($A146,MappingTable!$A:$A,MappingTable!G:G)</f>
        <v>Tonga</v>
      </c>
      <c r="I146" t="str">
        <f>+_xlfn.XLOOKUP($A146,MappingTable!$A:$A,MappingTable!H:H)</f>
        <v>Tonga</v>
      </c>
      <c r="J146" t="str">
        <f>+_xlfn.XLOOKUP($A146,MappingTable!$A:$A,MappingTable!I:I)</f>
        <v>Tonga</v>
      </c>
      <c r="U146" s="16"/>
    </row>
    <row r="147" spans="1:21" x14ac:dyDescent="0.25">
      <c r="A147" s="10" t="s">
        <v>1058</v>
      </c>
      <c r="B147" s="10" t="s">
        <v>1059</v>
      </c>
      <c r="C147" t="str">
        <f>+_xlfn.XLOOKUP(A147,MappingTable!A:A,MappingTable!B:B)</f>
        <v>El Salvador</v>
      </c>
      <c r="D147" t="str">
        <f>+_xlfn.XLOOKUP($A147,MappingTable!$A:$A,MappingTable!C:C)</f>
        <v>Salvador</v>
      </c>
      <c r="E147" t="str">
        <f>+_xlfn.XLOOKUP($A147,MappingTable!$A:$A,MappingTable!D:D)</f>
        <v>El Salvador</v>
      </c>
      <c r="F147" t="str">
        <f>+_xlfn.XLOOKUP($A147,MappingTable!$A:$A,MappingTable!E:E)</f>
        <v>El Salvador</v>
      </c>
      <c r="G147" t="str">
        <f>+_xlfn.XLOOKUP($A147,MappingTable!$A:$A,MappingTable!F:F)</f>
        <v>エルサルバドル</v>
      </c>
      <c r="H147" t="str">
        <f>+_xlfn.XLOOKUP($A147,MappingTable!$A:$A,MappingTable!G:G)</f>
        <v>El Salvador</v>
      </c>
      <c r="I147" t="str">
        <f>+_xlfn.XLOOKUP($A147,MappingTable!$A:$A,MappingTable!H:H)</f>
        <v>El Salvador</v>
      </c>
      <c r="J147" t="str">
        <f>+_xlfn.XLOOKUP($A147,MappingTable!$A:$A,MappingTable!I:I)</f>
        <v>El Salvador</v>
      </c>
      <c r="U147" s="16"/>
    </row>
    <row r="148" spans="1:21" x14ac:dyDescent="0.25">
      <c r="A148" s="10" t="s">
        <v>14</v>
      </c>
      <c r="B148" s="10" t="s">
        <v>15</v>
      </c>
      <c r="C148" t="str">
        <f>+_xlfn.XLOOKUP(A148,MappingTable!A:A,MappingTable!B:B)</f>
        <v>United Arab Emirates</v>
      </c>
      <c r="D148" t="str">
        <f>+_xlfn.XLOOKUP($A148,MappingTable!$A:$A,MappingTable!C:C)</f>
        <v>Ujedinjeni Arapski Emirati</v>
      </c>
      <c r="E148" t="str">
        <f>+_xlfn.XLOOKUP($A148,MappingTable!$A:$A,MappingTable!D:D)</f>
        <v>Vereinigte Arabische Emirate</v>
      </c>
      <c r="F148" t="str">
        <f>+_xlfn.XLOOKUP($A148,MappingTable!$A:$A,MappingTable!E:E)</f>
        <v>Émirats Arabes Unis</v>
      </c>
      <c r="G148" t="str">
        <f>+_xlfn.XLOOKUP($A148,MappingTable!$A:$A,MappingTable!F:F)</f>
        <v>アラブ首長国連邦</v>
      </c>
      <c r="H148" t="str">
        <f>+_xlfn.XLOOKUP($A148,MappingTable!$A:$A,MappingTable!G:G)</f>
        <v>Emirati Arabi Uniti</v>
      </c>
      <c r="I148" t="str">
        <f>+_xlfn.XLOOKUP($A148,MappingTable!$A:$A,MappingTable!H:H)</f>
        <v>Emiratos Árabes Unidos</v>
      </c>
      <c r="J148" t="str">
        <f>+_xlfn.XLOOKUP($A148,MappingTable!$A:$A,MappingTable!I:I)</f>
        <v>Emirados Árabes Unidos</v>
      </c>
      <c r="U148" s="16"/>
    </row>
    <row r="149" spans="1:21" x14ac:dyDescent="0.25">
      <c r="A149" s="10" t="s">
        <v>393</v>
      </c>
      <c r="B149" s="10" t="s">
        <v>394</v>
      </c>
      <c r="C149" t="str">
        <f>+_xlfn.XLOOKUP(A149,MappingTable!A:A,MappingTable!B:B)</f>
        <v>United Kingdom</v>
      </c>
      <c r="D149" t="str">
        <f>+_xlfn.XLOOKUP($A149,MappingTable!$A:$A,MappingTable!C:C)</f>
        <v>Ujedinjeno Kraljevstvo</v>
      </c>
      <c r="E149" t="str">
        <f>+_xlfn.XLOOKUP($A149,MappingTable!$A:$A,MappingTable!D:D)</f>
        <v>Vereinigtes Königreich</v>
      </c>
      <c r="F149" t="str">
        <f>+_xlfn.XLOOKUP($A149,MappingTable!$A:$A,MappingTable!E:E)</f>
        <v>Royaume-Uni</v>
      </c>
      <c r="G149" t="str">
        <f>+_xlfn.XLOOKUP($A149,MappingTable!$A:$A,MappingTable!F:F)</f>
        <v>イギリス</v>
      </c>
      <c r="H149" t="str">
        <f>+_xlfn.XLOOKUP($A149,MappingTable!$A:$A,MappingTable!G:G)</f>
        <v>Regno Unito</v>
      </c>
      <c r="I149" t="str">
        <f>+_xlfn.XLOOKUP($A149,MappingTable!$A:$A,MappingTable!H:H)</f>
        <v>Reino Unido</v>
      </c>
      <c r="J149" t="str">
        <f>+_xlfn.XLOOKUP($A149,MappingTable!$A:$A,MappingTable!I:I)</f>
        <v>Reino Unido</v>
      </c>
      <c r="K149" t="s">
        <v>1849</v>
      </c>
      <c r="U149" s="16"/>
    </row>
    <row r="150" spans="1:21" x14ac:dyDescent="0.25">
      <c r="A150" s="10" t="s">
        <v>1131</v>
      </c>
      <c r="B150" s="10" t="s">
        <v>1132</v>
      </c>
      <c r="C150" t="str">
        <f>+_xlfn.XLOOKUP(A150,MappingTable!A:A,MappingTable!B:B)</f>
        <v>Tanzania</v>
      </c>
      <c r="D150" t="str">
        <f>+_xlfn.XLOOKUP($A150,MappingTable!$A:$A,MappingTable!C:C)</f>
        <v>Tanzanija</v>
      </c>
      <c r="E150" t="str">
        <f>+_xlfn.XLOOKUP($A150,MappingTable!$A:$A,MappingTable!D:D)</f>
        <v>Tansania, Vereinigte Republik</v>
      </c>
      <c r="F150" t="str">
        <f>+_xlfn.XLOOKUP($A150,MappingTable!$A:$A,MappingTable!E:E)</f>
        <v>République unie de Tanzanie</v>
      </c>
      <c r="G150" t="str">
        <f>+_xlfn.XLOOKUP($A150,MappingTable!$A:$A,MappingTable!F:F)</f>
        <v>タンザニア</v>
      </c>
      <c r="H150" t="str">
        <f>+_xlfn.XLOOKUP($A150,MappingTable!$A:$A,MappingTable!G:G)</f>
        <v>Tanzania</v>
      </c>
      <c r="I150" t="str">
        <f>+_xlfn.XLOOKUP($A150,MappingTable!$A:$A,MappingTable!H:H)</f>
        <v>Tanzania</v>
      </c>
      <c r="J150" t="str">
        <f>+_xlfn.XLOOKUP($A150,MappingTable!$A:$A,MappingTable!I:I)</f>
        <v>Tanzânia</v>
      </c>
      <c r="U150" s="16"/>
    </row>
    <row r="151" spans="1:21" x14ac:dyDescent="0.25">
      <c r="A151" s="10" t="s">
        <v>1149</v>
      </c>
      <c r="B151" s="10" t="s">
        <v>1150</v>
      </c>
      <c r="C151" t="str">
        <f>+_xlfn.XLOOKUP(A151,MappingTable!A:A,MappingTable!B:B)</f>
        <v>USA</v>
      </c>
      <c r="D151" t="str">
        <f>+_xlfn.XLOOKUP($A151,MappingTable!$A:$A,MappingTable!C:C)</f>
        <v>Sjedinjene Američke Države</v>
      </c>
      <c r="E151" t="str">
        <f>+_xlfn.XLOOKUP($A151,MappingTable!$A:$A,MappingTable!D:D)</f>
        <v>Vereinigte Staaten von Amerika</v>
      </c>
      <c r="F151" t="str">
        <f>+_xlfn.XLOOKUP($A151,MappingTable!$A:$A,MappingTable!E:E)</f>
        <v>États-Unis d'Amérique</v>
      </c>
      <c r="G151" t="str">
        <f>+_xlfn.XLOOKUP($A151,MappingTable!$A:$A,MappingTable!F:F)</f>
        <v>アメリカ合衆国</v>
      </c>
      <c r="H151" t="str">
        <f>+_xlfn.XLOOKUP($A151,MappingTable!$A:$A,MappingTable!G:G)</f>
        <v>Stati Uniti d'America</v>
      </c>
      <c r="I151" t="str">
        <f>+_xlfn.XLOOKUP($A151,MappingTable!$A:$A,MappingTable!H:H)</f>
        <v>Estados Unidos</v>
      </c>
      <c r="J151" t="str">
        <f>+_xlfn.XLOOKUP($A151,MappingTable!$A:$A,MappingTable!I:I)</f>
        <v>Estados Unidos</v>
      </c>
      <c r="U151" s="16"/>
    </row>
    <row r="152" spans="1:21" x14ac:dyDescent="0.25">
      <c r="A152" s="10" t="s">
        <v>1138</v>
      </c>
      <c r="B152" s="10" t="s">
        <v>1139</v>
      </c>
      <c r="C152" t="str">
        <f>+_xlfn.XLOOKUP(A152,MappingTable!A:A,MappingTable!B:B)</f>
        <v>Ukraine</v>
      </c>
      <c r="D152" t="str">
        <f>+_xlfn.XLOOKUP($A152,MappingTable!$A:$A,MappingTable!C:C)</f>
        <v>Ukrajina</v>
      </c>
      <c r="E152" t="str">
        <f>+_xlfn.XLOOKUP($A152,MappingTable!$A:$A,MappingTable!D:D)</f>
        <v>Ukraine</v>
      </c>
      <c r="F152" t="str">
        <f>+_xlfn.XLOOKUP($A152,MappingTable!$A:$A,MappingTable!E:E)</f>
        <v>Ukraine</v>
      </c>
      <c r="G152" t="str">
        <f>+_xlfn.XLOOKUP($A152,MappingTable!$A:$A,MappingTable!F:F)</f>
        <v>ウクライナ</v>
      </c>
      <c r="H152" t="str">
        <f>+_xlfn.XLOOKUP($A152,MappingTable!$A:$A,MappingTable!G:G)</f>
        <v>Ucraina</v>
      </c>
      <c r="I152" t="str">
        <f>+_xlfn.XLOOKUP($A152,MappingTable!$A:$A,MappingTable!H:H)</f>
        <v>Ucrania</v>
      </c>
      <c r="J152" t="str">
        <f>+_xlfn.XLOOKUP($A152,MappingTable!$A:$A,MappingTable!I:I)</f>
        <v>Ucrânia</v>
      </c>
      <c r="U152" s="16"/>
    </row>
    <row r="153" spans="1:21" x14ac:dyDescent="0.25">
      <c r="A153" s="10" t="s">
        <v>1157</v>
      </c>
      <c r="B153" s="10" t="s">
        <v>1158</v>
      </c>
      <c r="C153" t="str">
        <f>+_xlfn.XLOOKUP(A153,MappingTable!A:A,MappingTable!B:B)</f>
        <v>Uruguay</v>
      </c>
      <c r="D153" t="str">
        <f>+_xlfn.XLOOKUP($A153,MappingTable!$A:$A,MappingTable!C:C)</f>
        <v>Urugvaj</v>
      </c>
      <c r="E153" t="str">
        <f>+_xlfn.XLOOKUP($A153,MappingTable!$A:$A,MappingTable!D:D)</f>
        <v>Uruguay</v>
      </c>
      <c r="F153" t="str">
        <f>+_xlfn.XLOOKUP($A153,MappingTable!$A:$A,MappingTable!E:E)</f>
        <v>Uruguay</v>
      </c>
      <c r="G153" t="str">
        <f>+_xlfn.XLOOKUP($A153,MappingTable!$A:$A,MappingTable!F:F)</f>
        <v>ウルグアイ</v>
      </c>
      <c r="H153" t="str">
        <f>+_xlfn.XLOOKUP($A153,MappingTable!$A:$A,MappingTable!G:G)</f>
        <v>Uruguay</v>
      </c>
      <c r="I153" t="str">
        <f>+_xlfn.XLOOKUP($A153,MappingTable!$A:$A,MappingTable!H:H)</f>
        <v>Uruguay</v>
      </c>
      <c r="J153" t="str">
        <f>+_xlfn.XLOOKUP($A153,MappingTable!$A:$A,MappingTable!I:I)</f>
        <v>Uruguai</v>
      </c>
      <c r="U153" s="16"/>
    </row>
    <row r="154" spans="1:21" x14ac:dyDescent="0.25">
      <c r="A154" s="10" t="s">
        <v>1162</v>
      </c>
      <c r="B154" s="10" t="s">
        <v>1163</v>
      </c>
      <c r="C154" t="str">
        <f>+_xlfn.XLOOKUP(A154,MappingTable!A:A,MappingTable!B:B)</f>
        <v>Uzbekistan</v>
      </c>
      <c r="D154" t="str">
        <f>+_xlfn.XLOOKUP($A154,MappingTable!$A:$A,MappingTable!C:C)</f>
        <v>Uzbekistan</v>
      </c>
      <c r="E154" t="str">
        <f>+_xlfn.XLOOKUP($A154,MappingTable!$A:$A,MappingTable!D:D)</f>
        <v>Usbekistan</v>
      </c>
      <c r="F154" t="str">
        <f>+_xlfn.XLOOKUP($A154,MappingTable!$A:$A,MappingTable!E:E)</f>
        <v>Ouzbékistan</v>
      </c>
      <c r="G154" t="str">
        <f>+_xlfn.XLOOKUP($A154,MappingTable!$A:$A,MappingTable!F:F)</f>
        <v>ウズベキスタン</v>
      </c>
      <c r="H154" t="str">
        <f>+_xlfn.XLOOKUP($A154,MappingTable!$A:$A,MappingTable!G:G)</f>
        <v>Uzbekistan</v>
      </c>
      <c r="I154" t="str">
        <f>+_xlfn.XLOOKUP($A154,MappingTable!$A:$A,MappingTable!H:H)</f>
        <v>Uzbekistán</v>
      </c>
      <c r="J154" t="str">
        <f>+_xlfn.XLOOKUP($A154,MappingTable!$A:$A,MappingTable!I:I)</f>
        <v>Uzbequistão</v>
      </c>
      <c r="U154" s="16"/>
    </row>
    <row r="155" spans="1:21" x14ac:dyDescent="0.25">
      <c r="A155" s="10" t="s">
        <v>1181</v>
      </c>
      <c r="B155" s="10" t="s">
        <v>1182</v>
      </c>
      <c r="C155" t="str">
        <f>+_xlfn.XLOOKUP(A155,MappingTable!A:A,MappingTable!B:B)</f>
        <v>British Virgin Islands</v>
      </c>
      <c r="D155" t="str">
        <f>+_xlfn.XLOOKUP($A155,MappingTable!$A:$A,MappingTable!C:C)</f>
        <v>Britanski Djevičanski otoci</v>
      </c>
      <c r="E155" t="str">
        <f>+_xlfn.XLOOKUP($A155,MappingTable!$A:$A,MappingTable!D:D)</f>
        <v>Britische Jungferninseln</v>
      </c>
      <c r="F155" t="str">
        <f>+_xlfn.XLOOKUP($A155,MappingTable!$A:$A,MappingTable!E:E)</f>
        <v>Îles vierges britanniques</v>
      </c>
      <c r="G155" t="str">
        <f>+_xlfn.XLOOKUP($A155,MappingTable!$A:$A,MappingTable!F:F)</f>
        <v>イギリス領ヴァージン諸島</v>
      </c>
      <c r="H155" t="str">
        <f>+_xlfn.XLOOKUP($A155,MappingTable!$A:$A,MappingTable!G:G)</f>
        <v>Isole Vergini Britanniche</v>
      </c>
      <c r="I155" t="str">
        <f>+_xlfn.XLOOKUP($A155,MappingTable!$A:$A,MappingTable!H:H)</f>
        <v>Islas Vírgenes británicas</v>
      </c>
      <c r="J155" t="str">
        <f>+_xlfn.XLOOKUP($A155,MappingTable!$A:$A,MappingTable!I:I)</f>
        <v>Ilhas Virgens Britânicas</v>
      </c>
      <c r="U155" s="16"/>
    </row>
    <row r="156" spans="1:21" x14ac:dyDescent="0.25">
      <c r="A156" s="10" t="s">
        <v>937</v>
      </c>
      <c r="B156" s="10" t="s">
        <v>938</v>
      </c>
      <c r="C156" t="str">
        <f>+_xlfn.XLOOKUP(A156,MappingTable!A:A,MappingTable!B:B)</f>
        <v>Palau</v>
      </c>
      <c r="D156" t="str">
        <f>+_xlfn.XLOOKUP($A156,MappingTable!$A:$A,MappingTable!C:C)</f>
        <v>Palau</v>
      </c>
      <c r="E156" t="str">
        <f>+_xlfn.XLOOKUP($A156,MappingTable!$A:$A,MappingTable!D:D)</f>
        <v>Palau</v>
      </c>
      <c r="F156" t="str">
        <f>+_xlfn.XLOOKUP($A156,MappingTable!$A:$A,MappingTable!E:E)</f>
        <v>Palaos</v>
      </c>
      <c r="G156" t="str">
        <f>+_xlfn.XLOOKUP($A156,MappingTable!$A:$A,MappingTable!F:F)</f>
        <v>パラオ</v>
      </c>
      <c r="H156" t="str">
        <f>+_xlfn.XLOOKUP($A156,MappingTable!$A:$A,MappingTable!G:G)</f>
        <v>Palau</v>
      </c>
      <c r="I156" t="str">
        <f>+_xlfn.XLOOKUP($A156,MappingTable!$A:$A,MappingTable!H:H)</f>
        <v>Palau</v>
      </c>
      <c r="J156" t="str">
        <f>+_xlfn.XLOOKUP($A156,MappingTable!$A:$A,MappingTable!I:I)</f>
        <v>Palau</v>
      </c>
      <c r="U156" s="16"/>
    </row>
    <row r="157" spans="1:21" x14ac:dyDescent="0.25">
      <c r="A157" s="21" t="s">
        <v>79</v>
      </c>
      <c r="B157" s="21" t="s">
        <v>80</v>
      </c>
      <c r="C157" t="str">
        <f>+_xlfn.XLOOKUP(A157,MappingTable!A:A,MappingTable!B:B)</f>
        <v>Aruba</v>
      </c>
      <c r="D157" t="str">
        <f>+_xlfn.XLOOKUP($A157,MappingTable!$A:$A,MappingTable!C:C)</f>
        <v>Aruba</v>
      </c>
      <c r="E157" t="str">
        <f>+_xlfn.XLOOKUP($A157,MappingTable!$A:$A,MappingTable!D:D)</f>
        <v>Aruba</v>
      </c>
      <c r="F157" t="str">
        <f>+_xlfn.XLOOKUP($A157,MappingTable!$A:$A,MappingTable!E:E)</f>
        <v>Aruba</v>
      </c>
      <c r="G157" t="str">
        <f>+_xlfn.XLOOKUP($A157,MappingTable!$A:$A,MappingTable!F:F)</f>
        <v>アルバ</v>
      </c>
      <c r="H157" t="str">
        <f>+_xlfn.XLOOKUP($A157,MappingTable!$A:$A,MappingTable!G:G)</f>
        <v>Aruba</v>
      </c>
      <c r="I157" t="str">
        <f>+_xlfn.XLOOKUP($A157,MappingTable!$A:$A,MappingTable!H:H)</f>
        <v>Aruba</v>
      </c>
      <c r="J157" t="str">
        <f>+_xlfn.XLOOKUP($A157,MappingTable!$A:$A,MappingTable!I:I)</f>
        <v>Aruba</v>
      </c>
    </row>
    <row r="158" spans="1:21" x14ac:dyDescent="0.25">
      <c r="A158" s="21" t="s">
        <v>104</v>
      </c>
      <c r="B158" s="21" t="s">
        <v>105</v>
      </c>
      <c r="C158" t="str">
        <f>+_xlfn.XLOOKUP(A158,MappingTable!A:A,MappingTable!B:B)</f>
        <v>Bangladesh</v>
      </c>
      <c r="D158" t="str">
        <f>+_xlfn.XLOOKUP($A158,MappingTable!$A:$A,MappingTable!C:C)</f>
        <v>Bangladeš</v>
      </c>
      <c r="E158" t="str">
        <f>+_xlfn.XLOOKUP($A158,MappingTable!$A:$A,MappingTable!D:D)</f>
        <v>Bangladesch</v>
      </c>
      <c r="F158" t="str">
        <f>+_xlfn.XLOOKUP($A158,MappingTable!$A:$A,MappingTable!E:E)</f>
        <v>Bangladesh</v>
      </c>
      <c r="G158" t="str">
        <f>+_xlfn.XLOOKUP($A158,MappingTable!$A:$A,MappingTable!F:F)</f>
        <v>バングラデシュ</v>
      </c>
      <c r="H158" t="str">
        <f>+_xlfn.XLOOKUP($A158,MappingTable!$A:$A,MappingTable!G:G)</f>
        <v>Bangladesh</v>
      </c>
      <c r="I158" t="str">
        <f>+_xlfn.XLOOKUP($A158,MappingTable!$A:$A,MappingTable!H:H)</f>
        <v>Bangladesh</v>
      </c>
      <c r="J158" t="str">
        <f>+_xlfn.XLOOKUP($A158,MappingTable!$A:$A,MappingTable!I:I)</f>
        <v>Bangladesh</v>
      </c>
    </row>
    <row r="159" spans="1:21" x14ac:dyDescent="0.25">
      <c r="A159" s="21" t="s">
        <v>117</v>
      </c>
      <c r="B159" s="21" t="s">
        <v>118</v>
      </c>
      <c r="C159" t="str">
        <f>+_xlfn.XLOOKUP(A159,MappingTable!A:A,MappingTable!B:B)</f>
        <v>Burkina Faso</v>
      </c>
      <c r="D159" t="str">
        <f>+_xlfn.XLOOKUP($A159,MappingTable!$A:$A,MappingTable!C:C)</f>
        <v>Burkina Faso</v>
      </c>
      <c r="E159" t="str">
        <f>+_xlfn.XLOOKUP($A159,MappingTable!$A:$A,MappingTable!D:D)</f>
        <v>Burkina Faso</v>
      </c>
      <c r="F159" t="str">
        <f>+_xlfn.XLOOKUP($A159,MappingTable!$A:$A,MappingTable!E:E)</f>
        <v>Burkina Faso</v>
      </c>
      <c r="G159" t="str">
        <f>+_xlfn.XLOOKUP($A159,MappingTable!$A:$A,MappingTable!F:F)</f>
        <v>ブルキナファソ</v>
      </c>
      <c r="H159" t="str">
        <f>+_xlfn.XLOOKUP($A159,MappingTable!$A:$A,MappingTable!G:G)</f>
        <v>Burkina Faso</v>
      </c>
      <c r="I159" t="str">
        <f>+_xlfn.XLOOKUP($A159,MappingTable!$A:$A,MappingTable!H:H)</f>
        <v>Burkina Faso</v>
      </c>
      <c r="J159" t="str">
        <f>+_xlfn.XLOOKUP($A159,MappingTable!$A:$A,MappingTable!I:I)</f>
        <v>Burquina Faso</v>
      </c>
    </row>
    <row r="160" spans="1:21" x14ac:dyDescent="0.25">
      <c r="A160" s="21" t="s">
        <v>133</v>
      </c>
      <c r="B160" s="21" t="s">
        <v>134</v>
      </c>
      <c r="C160" t="str">
        <f>+_xlfn.XLOOKUP(A160,MappingTable!A:A,MappingTable!B:B)</f>
        <v>Benin</v>
      </c>
      <c r="D160" t="str">
        <f>+_xlfn.XLOOKUP($A160,MappingTable!$A:$A,MappingTable!C:C)</f>
        <v>Benin</v>
      </c>
      <c r="E160" t="str">
        <f>+_xlfn.XLOOKUP($A160,MappingTable!$A:$A,MappingTable!D:D)</f>
        <v>Benin</v>
      </c>
      <c r="F160" t="str">
        <f>+_xlfn.XLOOKUP($A160,MappingTable!$A:$A,MappingTable!E:E)</f>
        <v>Bénin</v>
      </c>
      <c r="G160" t="str">
        <f>+_xlfn.XLOOKUP($A160,MappingTable!$A:$A,MappingTable!F:F)</f>
        <v>ベナン</v>
      </c>
      <c r="H160" t="str">
        <f>+_xlfn.XLOOKUP($A160,MappingTable!$A:$A,MappingTable!G:G)</f>
        <v>Benin</v>
      </c>
      <c r="I160" t="str">
        <f>+_xlfn.XLOOKUP($A160,MappingTable!$A:$A,MappingTable!H:H)</f>
        <v>Benin</v>
      </c>
      <c r="J160" t="str">
        <f>+_xlfn.XLOOKUP($A160,MappingTable!$A:$A,MappingTable!I:I)</f>
        <v>Benin</v>
      </c>
    </row>
    <row r="161" spans="1:10" x14ac:dyDescent="0.25">
      <c r="A161" s="21" t="s">
        <v>1850</v>
      </c>
      <c r="B161" s="21" t="s">
        <v>1851</v>
      </c>
      <c r="C161" t="str">
        <f>+_xlfn.XLOOKUP(A161,MappingTable!A:A,MappingTable!B:B)</f>
        <v>Brunei Darussalam</v>
      </c>
      <c r="D161" t="str">
        <f>+_xlfn.XLOOKUP($A161,MappingTable!$A:$A,MappingTable!C:C)</f>
        <v>Brunej</v>
      </c>
      <c r="E161" t="str">
        <f>+_xlfn.XLOOKUP($A161,MappingTable!$A:$A,MappingTable!D:D)</f>
        <v>Brunei Darussalam</v>
      </c>
      <c r="F161" t="str">
        <f>+_xlfn.XLOOKUP($A161,MappingTable!$A:$A,MappingTable!E:E)</f>
        <v>Brunei</v>
      </c>
      <c r="G161" t="str">
        <f>+_xlfn.XLOOKUP($A161,MappingTable!$A:$A,MappingTable!F:F)</f>
        <v>ブルネイ</v>
      </c>
      <c r="H161" t="str">
        <f>+_xlfn.XLOOKUP($A161,MappingTable!$A:$A,MappingTable!G:G)</f>
        <v>Brunei</v>
      </c>
      <c r="I161" t="str">
        <f>+_xlfn.XLOOKUP($A161,MappingTable!$A:$A,MappingTable!H:H)</f>
        <v>Brunéi</v>
      </c>
      <c r="J161" t="str">
        <f>+_xlfn.XLOOKUP($A161,MappingTable!$A:$A,MappingTable!I:I)</f>
        <v>Brunei</v>
      </c>
    </row>
    <row r="162" spans="1:10" x14ac:dyDescent="0.25">
      <c r="A162" s="21" t="s">
        <v>142</v>
      </c>
      <c r="B162" s="21" t="s">
        <v>143</v>
      </c>
      <c r="C162" t="str">
        <f>+_xlfn.XLOOKUP(A162,MappingTable!A:A,MappingTable!B:B)</f>
        <v>Bolivia</v>
      </c>
      <c r="D162" t="str">
        <f>+_xlfn.XLOOKUP($A162,MappingTable!$A:$A,MappingTable!C:C)</f>
        <v>Bolivija</v>
      </c>
      <c r="E162" t="str">
        <f>+_xlfn.XLOOKUP($A162,MappingTable!$A:$A,MappingTable!D:D)</f>
        <v>Bolivien</v>
      </c>
      <c r="F162" t="str">
        <f>+_xlfn.XLOOKUP($A162,MappingTable!$A:$A,MappingTable!E:E)</f>
        <v>Bolivie</v>
      </c>
      <c r="G162" t="str">
        <f>+_xlfn.XLOOKUP($A162,MappingTable!$A:$A,MappingTable!F:F)</f>
        <v>ボリビア多民族国</v>
      </c>
      <c r="H162" t="str">
        <f>+_xlfn.XLOOKUP($A162,MappingTable!$A:$A,MappingTable!G:G)</f>
        <v>Bolivia</v>
      </c>
      <c r="I162" t="str">
        <f>+_xlfn.XLOOKUP($A162,MappingTable!$A:$A,MappingTable!H:H)</f>
        <v>Bolivia</v>
      </c>
      <c r="J162" t="str">
        <f>+_xlfn.XLOOKUP($A162,MappingTable!$A:$A,MappingTable!I:I)</f>
        <v>Bolívia</v>
      </c>
    </row>
    <row r="163" spans="1:10" x14ac:dyDescent="0.25">
      <c r="A163" s="21" t="s">
        <v>182</v>
      </c>
      <c r="B163" s="21" t="s">
        <v>183</v>
      </c>
      <c r="C163" t="str">
        <f>+_xlfn.XLOOKUP(A163,MappingTable!A:A,MappingTable!B:B)</f>
        <v>Belize</v>
      </c>
      <c r="D163" t="str">
        <f>+_xlfn.XLOOKUP($A163,MappingTable!$A:$A,MappingTable!C:C)</f>
        <v>Belize</v>
      </c>
      <c r="E163" t="str">
        <f>+_xlfn.XLOOKUP($A163,MappingTable!$A:$A,MappingTable!D:D)</f>
        <v>Belize</v>
      </c>
      <c r="F163" t="str">
        <f>+_xlfn.XLOOKUP($A163,MappingTable!$A:$A,MappingTable!E:E)</f>
        <v>Belize</v>
      </c>
      <c r="G163" t="str">
        <f>+_xlfn.XLOOKUP($A163,MappingTable!$A:$A,MappingTable!F:F)</f>
        <v>ベリーズ</v>
      </c>
      <c r="H163" t="str">
        <f>+_xlfn.XLOOKUP($A163,MappingTable!$A:$A,MappingTable!G:G)</f>
        <v>Belize</v>
      </c>
      <c r="I163" t="str">
        <f>+_xlfn.XLOOKUP($A163,MappingTable!$A:$A,MappingTable!H:H)</f>
        <v>Belice</v>
      </c>
      <c r="J163" t="str">
        <f>+_xlfn.XLOOKUP($A163,MappingTable!$A:$A,MappingTable!I:I)</f>
        <v>Belize</v>
      </c>
    </row>
    <row r="164" spans="1:10" x14ac:dyDescent="0.25">
      <c r="A164" s="21" t="s">
        <v>209</v>
      </c>
      <c r="B164" s="21" t="s">
        <v>210</v>
      </c>
      <c r="C164" t="str">
        <f>+_xlfn.XLOOKUP(A164,MappingTable!A:A,MappingTable!B:B)</f>
        <v>Cote d'Ivoire</v>
      </c>
      <c r="D164" t="str">
        <f>+_xlfn.XLOOKUP($A164,MappingTable!$A:$A,MappingTable!C:C)</f>
        <v>Obala Bjelokosti</v>
      </c>
      <c r="E164" t="str">
        <f>+_xlfn.XLOOKUP($A164,MappingTable!$A:$A,MappingTable!D:D)</f>
        <v>Elfenbeinküste</v>
      </c>
      <c r="F164" t="str">
        <f>+_xlfn.XLOOKUP($A164,MappingTable!$A:$A,MappingTable!E:E)</f>
        <v>Côte-d'Ivoire</v>
      </c>
      <c r="G164" t="str">
        <f>+_xlfn.XLOOKUP($A164,MappingTable!$A:$A,MappingTable!F:F)</f>
        <v>コートジボワール</v>
      </c>
      <c r="H164" t="str">
        <f>+_xlfn.XLOOKUP($A164,MappingTable!$A:$A,MappingTable!G:G)</f>
        <v>Costa d'Avorio</v>
      </c>
      <c r="I164" t="str">
        <f>+_xlfn.XLOOKUP($A164,MappingTable!$A:$A,MappingTable!H:H)</f>
        <v>Costa de Marfil</v>
      </c>
      <c r="J164" t="str">
        <f>+_xlfn.XLOOKUP($A164,MappingTable!$A:$A,MappingTable!I:I)</f>
        <v>Costa do Marfim</v>
      </c>
    </row>
    <row r="165" spans="1:10" x14ac:dyDescent="0.25">
      <c r="A165" s="21" t="s">
        <v>1852</v>
      </c>
      <c r="B165" s="21" t="s">
        <v>1853</v>
      </c>
      <c r="C165" t="str">
        <f>+_xlfn.XLOOKUP(A165,MappingTable!A:A,MappingTable!B:B)</f>
        <v>Cook Islands</v>
      </c>
      <c r="D165" t="str">
        <f>+_xlfn.XLOOKUP($A165,MappingTable!$A:$A,MappingTable!C:C)</f>
        <v>Cookovi Otoci</v>
      </c>
      <c r="E165" t="str">
        <f>+_xlfn.XLOOKUP($A165,MappingTable!$A:$A,MappingTable!D:D)</f>
        <v>Cookinseln</v>
      </c>
      <c r="F165" t="str">
        <f>+_xlfn.XLOOKUP($A165,MappingTable!$A:$A,MappingTable!E:E)</f>
        <v>Îles Cook</v>
      </c>
      <c r="G165" t="str">
        <f>+_xlfn.XLOOKUP($A165,MappingTable!$A:$A,MappingTable!F:F)</f>
        <v>クック諸島</v>
      </c>
      <c r="H165" t="str">
        <f>+_xlfn.XLOOKUP($A165,MappingTable!$A:$A,MappingTable!G:G)</f>
        <v>Isole Cook</v>
      </c>
      <c r="I165" t="str">
        <f>+_xlfn.XLOOKUP($A165,MappingTable!$A:$A,MappingTable!H:H)</f>
        <v>Islas Cook</v>
      </c>
      <c r="J165" t="str">
        <f>+_xlfn.XLOOKUP($A165,MappingTable!$A:$A,MappingTable!I:I)</f>
        <v>Ilhas Cook</v>
      </c>
    </row>
    <row r="166" spans="1:10" x14ac:dyDescent="0.25">
      <c r="A166" s="21" t="s">
        <v>224</v>
      </c>
      <c r="B166" s="21" t="s">
        <v>1854</v>
      </c>
      <c r="C166" t="str">
        <f>+_xlfn.XLOOKUP(A166,MappingTable!A:A,MappingTable!B:B)</f>
        <v>Cameron</v>
      </c>
      <c r="D166" t="str">
        <f>+_xlfn.XLOOKUP($A166,MappingTable!$A:$A,MappingTable!C:C)</f>
        <v>Kamerun</v>
      </c>
      <c r="E166" t="str">
        <f>+_xlfn.XLOOKUP($A166,MappingTable!$A:$A,MappingTable!D:D)</f>
        <v>Kamerun</v>
      </c>
      <c r="F166" t="str">
        <f>+_xlfn.XLOOKUP($A166,MappingTable!$A:$A,MappingTable!E:E)</f>
        <v>Cameroun</v>
      </c>
      <c r="G166" t="str">
        <f>+_xlfn.XLOOKUP($A166,MappingTable!$A:$A,MappingTable!F:F)</f>
        <v>カメルーン</v>
      </c>
      <c r="H166" t="str">
        <f>+_xlfn.XLOOKUP($A166,MappingTable!$A:$A,MappingTable!G:G)</f>
        <v>Camerun</v>
      </c>
      <c r="I166" t="str">
        <f>+_xlfn.XLOOKUP($A166,MappingTable!$A:$A,MappingTable!H:H)</f>
        <v>Camerún</v>
      </c>
      <c r="J166" t="str">
        <f>+_xlfn.XLOOKUP($A166,MappingTable!$A:$A,MappingTable!I:I)</f>
        <v>Camarões</v>
      </c>
    </row>
    <row r="167" spans="1:10" x14ac:dyDescent="0.25">
      <c r="A167" s="21" t="s">
        <v>295</v>
      </c>
      <c r="B167" s="21" t="s">
        <v>296</v>
      </c>
      <c r="C167" t="str">
        <f>+_xlfn.XLOOKUP(A167,MappingTable!A:A,MappingTable!B:B)</f>
        <v>Dominica</v>
      </c>
      <c r="D167" t="str">
        <f>+_xlfn.XLOOKUP($A167,MappingTable!$A:$A,MappingTable!C:C)</f>
        <v>Dominika</v>
      </c>
      <c r="E167" t="str">
        <f>+_xlfn.XLOOKUP($A167,MappingTable!$A:$A,MappingTable!D:D)</f>
        <v>Dominica</v>
      </c>
      <c r="F167" t="str">
        <f>+_xlfn.XLOOKUP($A167,MappingTable!$A:$A,MappingTable!E:E)</f>
        <v>Dominique</v>
      </c>
      <c r="G167" t="str">
        <f>+_xlfn.XLOOKUP($A167,MappingTable!$A:$A,MappingTable!F:F)</f>
        <v>ドミニカ国</v>
      </c>
      <c r="H167" t="str">
        <f>+_xlfn.XLOOKUP($A167,MappingTable!$A:$A,MappingTable!G:G)</f>
        <v>Dominica</v>
      </c>
      <c r="I167" t="str">
        <f>+_xlfn.XLOOKUP($A167,MappingTable!$A:$A,MappingTable!H:H)</f>
        <v>Dominica</v>
      </c>
      <c r="J167" t="str">
        <f>+_xlfn.XLOOKUP($A167,MappingTable!$A:$A,MappingTable!I:I)</f>
        <v>Dominica</v>
      </c>
    </row>
    <row r="168" spans="1:10" x14ac:dyDescent="0.25">
      <c r="A168" s="21" t="s">
        <v>300</v>
      </c>
      <c r="B168" s="21" t="s">
        <v>301</v>
      </c>
      <c r="C168" t="str">
        <f>+_xlfn.XLOOKUP(A168,MappingTable!A:A,MappingTable!B:B)</f>
        <v>Dominican Republic</v>
      </c>
      <c r="D168" t="str">
        <f>+_xlfn.XLOOKUP($A168,MappingTable!$A:$A,MappingTable!C:C)</f>
        <v>Dominikanska Republika</v>
      </c>
      <c r="E168" t="str">
        <f>+_xlfn.XLOOKUP($A168,MappingTable!$A:$A,MappingTable!D:D)</f>
        <v>Dominikanische Republik</v>
      </c>
      <c r="F168" t="str">
        <f>+_xlfn.XLOOKUP($A168,MappingTable!$A:$A,MappingTable!E:E)</f>
        <v>République Dominicaine</v>
      </c>
      <c r="G168" t="str">
        <f>+_xlfn.XLOOKUP($A168,MappingTable!$A:$A,MappingTable!F:F)</f>
        <v>ドミニカ共和国</v>
      </c>
      <c r="H168" t="str">
        <f>+_xlfn.XLOOKUP($A168,MappingTable!$A:$A,MappingTable!G:G)</f>
        <v>Repubblica Dominicana</v>
      </c>
      <c r="I168" t="str">
        <f>+_xlfn.XLOOKUP($A168,MappingTable!$A:$A,MappingTable!H:H)</f>
        <v>República Dominicana</v>
      </c>
      <c r="J168" t="str">
        <f>+_xlfn.XLOOKUP($A168,MappingTable!$A:$A,MappingTable!I:I)</f>
        <v>República Dominicana</v>
      </c>
    </row>
    <row r="169" spans="1:10" x14ac:dyDescent="0.25">
      <c r="A169" s="21" t="s">
        <v>387</v>
      </c>
      <c r="B169" s="21" t="s">
        <v>388</v>
      </c>
      <c r="C169" t="str">
        <f>+_xlfn.XLOOKUP(A169,MappingTable!A:A,MappingTable!B:B)</f>
        <v>Gabon</v>
      </c>
      <c r="D169" t="str">
        <f>+_xlfn.XLOOKUP($A169,MappingTable!$A:$A,MappingTable!C:C)</f>
        <v>Gabon</v>
      </c>
      <c r="E169" t="str">
        <f>+_xlfn.XLOOKUP($A169,MappingTable!$A:$A,MappingTable!D:D)</f>
        <v>Gabun</v>
      </c>
      <c r="F169" t="str">
        <f>+_xlfn.XLOOKUP($A169,MappingTable!$A:$A,MappingTable!E:E)</f>
        <v>Gabon</v>
      </c>
      <c r="G169" t="str">
        <f>+_xlfn.XLOOKUP($A169,MappingTable!$A:$A,MappingTable!F:F)</f>
        <v>ガボン</v>
      </c>
      <c r="H169" t="str">
        <f>+_xlfn.XLOOKUP($A169,MappingTable!$A:$A,MappingTable!G:G)</f>
        <v>Gabon</v>
      </c>
      <c r="I169" t="str">
        <f>+_xlfn.XLOOKUP($A169,MappingTable!$A:$A,MappingTable!H:H)</f>
        <v>Gabón</v>
      </c>
      <c r="J169" t="str">
        <f>+_xlfn.XLOOKUP($A169,MappingTable!$A:$A,MappingTable!I:I)</f>
        <v>Gabão</v>
      </c>
    </row>
    <row r="170" spans="1:10" x14ac:dyDescent="0.25">
      <c r="A170" s="21" t="s">
        <v>401</v>
      </c>
      <c r="B170" s="21" t="s">
        <v>402</v>
      </c>
      <c r="C170" t="str">
        <f>+_xlfn.XLOOKUP(A170,MappingTable!A:A,MappingTable!B:B)</f>
        <v>Grenada</v>
      </c>
      <c r="D170" t="str">
        <f>+_xlfn.XLOOKUP($A170,MappingTable!$A:$A,MappingTable!C:C)</f>
        <v>Grenada</v>
      </c>
      <c r="E170" t="str">
        <f>+_xlfn.XLOOKUP($A170,MappingTable!$A:$A,MappingTable!D:D)</f>
        <v>Grenada</v>
      </c>
      <c r="F170" t="str">
        <f>+_xlfn.XLOOKUP($A170,MappingTable!$A:$A,MappingTable!E:E)</f>
        <v>Grenade</v>
      </c>
      <c r="G170" t="str">
        <f>+_xlfn.XLOOKUP($A170,MappingTable!$A:$A,MappingTable!F:F)</f>
        <v>グレナダ</v>
      </c>
      <c r="H170" t="str">
        <f>+_xlfn.XLOOKUP($A170,MappingTable!$A:$A,MappingTable!G:G)</f>
        <v>Grenada</v>
      </c>
      <c r="I170" t="str">
        <f>+_xlfn.XLOOKUP($A170,MappingTable!$A:$A,MappingTable!H:H)</f>
        <v>Granada</v>
      </c>
      <c r="J170" t="str">
        <f>+_xlfn.XLOOKUP($A170,MappingTable!$A:$A,MappingTable!I:I)</f>
        <v>Granada</v>
      </c>
    </row>
    <row r="171" spans="1:10" x14ac:dyDescent="0.25">
      <c r="A171" s="21" t="s">
        <v>421</v>
      </c>
      <c r="B171" s="21" t="s">
        <v>422</v>
      </c>
      <c r="C171" t="str">
        <f>+_xlfn.XLOOKUP(A171,MappingTable!A:A,MappingTable!B:B)</f>
        <v>Gibraltar</v>
      </c>
      <c r="D171" t="str">
        <f>+_xlfn.XLOOKUP($A171,MappingTable!$A:$A,MappingTable!C:C)</f>
        <v>Gibraltar</v>
      </c>
      <c r="E171" t="str">
        <f>+_xlfn.XLOOKUP($A171,MappingTable!$A:$A,MappingTable!D:D)</f>
        <v>Gibraltar</v>
      </c>
      <c r="F171" t="str">
        <f>+_xlfn.XLOOKUP($A171,MappingTable!$A:$A,MappingTable!E:E)</f>
        <v>Gibraltar</v>
      </c>
      <c r="G171" t="str">
        <f>+_xlfn.XLOOKUP($A171,MappingTable!$A:$A,MappingTable!F:F)</f>
        <v>ジブラルタル</v>
      </c>
      <c r="H171" t="str">
        <f>+_xlfn.XLOOKUP($A171,MappingTable!$A:$A,MappingTable!G:G)</f>
        <v>Gibilterra</v>
      </c>
      <c r="I171" t="str">
        <f>+_xlfn.XLOOKUP($A171,MappingTable!$A:$A,MappingTable!H:H)</f>
        <v>Gibraltar</v>
      </c>
      <c r="J171" t="str">
        <f>+_xlfn.XLOOKUP($A171,MappingTable!$A:$A,MappingTable!I:I)</f>
        <v>Gibraltar</v>
      </c>
    </row>
    <row r="172" spans="1:10" x14ac:dyDescent="0.25">
      <c r="A172" s="21" t="s">
        <v>439</v>
      </c>
      <c r="B172" s="21" t="s">
        <v>440</v>
      </c>
      <c r="C172" t="str">
        <f>+_xlfn.XLOOKUP(A172,MappingTable!A:A,MappingTable!B:B)</f>
        <v>Guinea</v>
      </c>
      <c r="D172" t="str">
        <f>+_xlfn.XLOOKUP($A172,MappingTable!$A:$A,MappingTable!C:C)</f>
        <v>Gvineja</v>
      </c>
      <c r="E172" t="str">
        <f>+_xlfn.XLOOKUP($A172,MappingTable!$A:$A,MappingTable!D:D)</f>
        <v>Guinea</v>
      </c>
      <c r="F172" t="str">
        <f>+_xlfn.XLOOKUP($A172,MappingTable!$A:$A,MappingTable!E:E)</f>
        <v>Guinée</v>
      </c>
      <c r="G172" t="str">
        <f>+_xlfn.XLOOKUP($A172,MappingTable!$A:$A,MappingTable!F:F)</f>
        <v>ギニア</v>
      </c>
      <c r="H172" t="str">
        <f>+_xlfn.XLOOKUP($A172,MappingTable!$A:$A,MappingTable!G:G)</f>
        <v>Guinea</v>
      </c>
      <c r="I172" t="str">
        <f>+_xlfn.XLOOKUP($A172,MappingTable!$A:$A,MappingTable!H:H)</f>
        <v>Guinea</v>
      </c>
      <c r="J172" t="str">
        <f>+_xlfn.XLOOKUP($A172,MappingTable!$A:$A,MappingTable!I:I)</f>
        <v>Guiné</v>
      </c>
    </row>
    <row r="173" spans="1:10" x14ac:dyDescent="0.25">
      <c r="A173" s="21" t="s">
        <v>462</v>
      </c>
      <c r="B173" s="21" t="s">
        <v>463</v>
      </c>
      <c r="C173" t="str">
        <f>+_xlfn.XLOOKUP(A173,MappingTable!A:A,MappingTable!B:B)</f>
        <v>Guyana</v>
      </c>
      <c r="D173" t="str">
        <f>+_xlfn.XLOOKUP($A173,MappingTable!$A:$A,MappingTable!C:C)</f>
        <v>Gvajana</v>
      </c>
      <c r="E173" t="str">
        <f>+_xlfn.XLOOKUP($A173,MappingTable!$A:$A,MappingTable!D:D)</f>
        <v>Guyana</v>
      </c>
      <c r="F173" t="str">
        <f>+_xlfn.XLOOKUP($A173,MappingTable!$A:$A,MappingTable!E:E)</f>
        <v>Guyana</v>
      </c>
      <c r="G173" t="str">
        <f>+_xlfn.XLOOKUP($A173,MappingTable!$A:$A,MappingTable!F:F)</f>
        <v>ガイアナ</v>
      </c>
      <c r="H173" t="str">
        <f>+_xlfn.XLOOKUP($A173,MappingTable!$A:$A,MappingTable!G:G)</f>
        <v>Guyana</v>
      </c>
      <c r="I173" t="str">
        <f>+_xlfn.XLOOKUP($A173,MappingTable!$A:$A,MappingTable!H:H)</f>
        <v>Guyana</v>
      </c>
      <c r="J173" t="str">
        <f>+_xlfn.XLOOKUP($A173,MappingTable!$A:$A,MappingTable!I:I)</f>
        <v>Guiana</v>
      </c>
    </row>
    <row r="174" spans="1:10" x14ac:dyDescent="0.25">
      <c r="A174" s="21" t="s">
        <v>480</v>
      </c>
      <c r="B174" s="21" t="s">
        <v>481</v>
      </c>
      <c r="C174" t="str">
        <f>+_xlfn.XLOOKUP(A174,MappingTable!A:A,MappingTable!B:B)</f>
        <v>Haiti</v>
      </c>
      <c r="D174" t="str">
        <f>+_xlfn.XLOOKUP($A174,MappingTable!$A:$A,MappingTable!C:C)</f>
        <v>Haiti</v>
      </c>
      <c r="E174" t="str">
        <f>+_xlfn.XLOOKUP($A174,MappingTable!$A:$A,MappingTable!D:D)</f>
        <v>Haiti</v>
      </c>
      <c r="F174" t="str">
        <f>+_xlfn.XLOOKUP($A174,MappingTable!$A:$A,MappingTable!E:E)</f>
        <v>Haïti</v>
      </c>
      <c r="G174" t="str">
        <f>+_xlfn.XLOOKUP($A174,MappingTable!$A:$A,MappingTable!F:F)</f>
        <v>ハイチ</v>
      </c>
      <c r="H174" t="str">
        <f>+_xlfn.XLOOKUP($A174,MappingTable!$A:$A,MappingTable!G:G)</f>
        <v>Haiti</v>
      </c>
      <c r="I174" t="str">
        <f>+_xlfn.XLOOKUP($A174,MappingTable!$A:$A,MappingTable!H:H)</f>
        <v>Haití</v>
      </c>
      <c r="J174" t="str">
        <f>+_xlfn.XLOOKUP($A174,MappingTable!$A:$A,MappingTable!I:I)</f>
        <v>Haiti</v>
      </c>
    </row>
    <row r="175" spans="1:10" x14ac:dyDescent="0.25">
      <c r="A175" s="21" t="s">
        <v>740</v>
      </c>
      <c r="B175" s="21" t="s">
        <v>741</v>
      </c>
      <c r="C175" t="str">
        <f>+_xlfn.XLOOKUP(A175,MappingTable!A:A,MappingTable!B:B)</f>
        <v>Madagascar</v>
      </c>
      <c r="D175" t="str">
        <f>+_xlfn.XLOOKUP($A175,MappingTable!$A:$A,MappingTable!C:C)</f>
        <v>Madagaskar</v>
      </c>
      <c r="E175" t="str">
        <f>+_xlfn.XLOOKUP($A175,MappingTable!$A:$A,MappingTable!D:D)</f>
        <v>Madagaskar</v>
      </c>
      <c r="F175" t="str">
        <f>+_xlfn.XLOOKUP($A175,MappingTable!$A:$A,MappingTable!E:E)</f>
        <v>Madagascar</v>
      </c>
      <c r="G175" t="str">
        <f>+_xlfn.XLOOKUP($A175,MappingTable!$A:$A,MappingTable!F:F)</f>
        <v>マダガスカル</v>
      </c>
      <c r="H175" t="str">
        <f>+_xlfn.XLOOKUP($A175,MappingTable!$A:$A,MappingTable!G:G)</f>
        <v>Madagascar</v>
      </c>
      <c r="I175" t="str">
        <f>+_xlfn.XLOOKUP($A175,MappingTable!$A:$A,MappingTable!H:H)</f>
        <v>Madagascar</v>
      </c>
      <c r="J175" t="str">
        <f>+_xlfn.XLOOKUP($A175,MappingTable!$A:$A,MappingTable!I:I)</f>
        <v>Madagascar</v>
      </c>
    </row>
    <row r="176" spans="1:10" x14ac:dyDescent="0.25">
      <c r="A176" s="21" t="s">
        <v>757</v>
      </c>
      <c r="B176" s="21" t="s">
        <v>758</v>
      </c>
      <c r="C176" t="str">
        <f>+_xlfn.XLOOKUP(A176,MappingTable!A:A,MappingTable!B:B)</f>
        <v>Mongolia</v>
      </c>
      <c r="D176" t="str">
        <f>+_xlfn.XLOOKUP($A176,MappingTable!$A:$A,MappingTable!C:C)</f>
        <v>Mongolija</v>
      </c>
      <c r="E176" t="str">
        <f>+_xlfn.XLOOKUP($A176,MappingTable!$A:$A,MappingTable!D:D)</f>
        <v>Mongolei</v>
      </c>
      <c r="F176" t="str">
        <f>+_xlfn.XLOOKUP($A176,MappingTable!$A:$A,MappingTable!E:E)</f>
        <v>Mongolie</v>
      </c>
      <c r="G176" t="str">
        <f>+_xlfn.XLOOKUP($A176,MappingTable!$A:$A,MappingTable!F:F)</f>
        <v>モンゴル</v>
      </c>
      <c r="H176" t="str">
        <f>+_xlfn.XLOOKUP($A176,MappingTable!$A:$A,MappingTable!G:G)</f>
        <v>Mongolia</v>
      </c>
      <c r="I176" t="str">
        <f>+_xlfn.XLOOKUP($A176,MappingTable!$A:$A,MappingTable!H:H)</f>
        <v>Mongolia</v>
      </c>
      <c r="J176" t="str">
        <f>+_xlfn.XLOOKUP($A176,MappingTable!$A:$A,MappingTable!I:I)</f>
        <v>Mongólia</v>
      </c>
    </row>
    <row r="177" spans="1:10" x14ac:dyDescent="0.25">
      <c r="A177" s="21" t="s">
        <v>1855</v>
      </c>
      <c r="B177" s="21" t="s">
        <v>1856</v>
      </c>
      <c r="C177" t="str">
        <f>+_xlfn.XLOOKUP(A177,MappingTable!A:A,MappingTable!B:B)</f>
        <v>Martinique</v>
      </c>
      <c r="D177" t="str">
        <f>+_xlfn.XLOOKUP($A177,MappingTable!$A:$A,MappingTable!C:C)</f>
        <v>Martinik</v>
      </c>
      <c r="E177" t="str">
        <f>+_xlfn.XLOOKUP($A177,MappingTable!$A:$A,MappingTable!D:D)</f>
        <v>Martinique</v>
      </c>
      <c r="F177" t="str">
        <f>+_xlfn.XLOOKUP($A177,MappingTable!$A:$A,MappingTable!E:E)</f>
        <v>Martinique</v>
      </c>
      <c r="G177" t="str">
        <f>+_xlfn.XLOOKUP($A177,MappingTable!$A:$A,MappingTable!F:F)</f>
        <v>マルティニーク</v>
      </c>
      <c r="H177" t="str">
        <f>+_xlfn.XLOOKUP($A177,MappingTable!$A:$A,MappingTable!G:G)</f>
        <v>Martinica</v>
      </c>
      <c r="I177" t="str">
        <f>+_xlfn.XLOOKUP($A177,MappingTable!$A:$A,MappingTable!H:H)</f>
        <v>Martinica</v>
      </c>
      <c r="J177" t="str">
        <f>+_xlfn.XLOOKUP($A177,MappingTable!$A:$A,MappingTable!I:I)</f>
        <v>Martinica</v>
      </c>
    </row>
    <row r="178" spans="1:10" x14ac:dyDescent="0.25">
      <c r="A178" s="21" t="s">
        <v>769</v>
      </c>
      <c r="B178" s="21" t="s">
        <v>770</v>
      </c>
      <c r="C178" t="str">
        <f>+_xlfn.XLOOKUP(A178,MappingTable!A:A,MappingTable!B:B)</f>
        <v>Mauritania</v>
      </c>
      <c r="D178" t="str">
        <f>+_xlfn.XLOOKUP($A178,MappingTable!$A:$A,MappingTable!C:C)</f>
        <v>Mauretanija</v>
      </c>
      <c r="E178" t="str">
        <f>+_xlfn.XLOOKUP($A178,MappingTable!$A:$A,MappingTable!D:D)</f>
        <v>Mauretanien</v>
      </c>
      <c r="F178" t="str">
        <f>+_xlfn.XLOOKUP($A178,MappingTable!$A:$A,MappingTable!E:E)</f>
        <v>Mauritanie</v>
      </c>
      <c r="G178" t="str">
        <f>+_xlfn.XLOOKUP($A178,MappingTable!$A:$A,MappingTable!F:F)</f>
        <v>モーリタニア</v>
      </c>
      <c r="H178" t="str">
        <f>+_xlfn.XLOOKUP($A178,MappingTable!$A:$A,MappingTable!G:G)</f>
        <v>Mauritania</v>
      </c>
      <c r="I178" t="str">
        <f>+_xlfn.XLOOKUP($A178,MappingTable!$A:$A,MappingTable!H:H)</f>
        <v>Mauritania</v>
      </c>
      <c r="J178" t="str">
        <f>+_xlfn.XLOOKUP($A178,MappingTable!$A:$A,MappingTable!I:I)</f>
        <v>Mauritânia</v>
      </c>
    </row>
    <row r="179" spans="1:10" x14ac:dyDescent="0.25">
      <c r="A179" s="21" t="s">
        <v>776</v>
      </c>
      <c r="B179" s="21" t="s">
        <v>777</v>
      </c>
      <c r="C179" t="str">
        <f>+_xlfn.XLOOKUP(A179,MappingTable!A:A,MappingTable!B:B)</f>
        <v>Montserrat</v>
      </c>
      <c r="D179" t="str">
        <f>+_xlfn.XLOOKUP($A179,MappingTable!$A:$A,MappingTable!C:C)</f>
        <v>Montserrat</v>
      </c>
      <c r="E179" t="str">
        <f>+_xlfn.XLOOKUP($A179,MappingTable!$A:$A,MappingTable!D:D)</f>
        <v>Montserrat</v>
      </c>
      <c r="F179" t="str">
        <f>+_xlfn.XLOOKUP($A179,MappingTable!$A:$A,MappingTable!E:E)</f>
        <v>Montserrat</v>
      </c>
      <c r="G179" t="str">
        <f>+_xlfn.XLOOKUP($A179,MappingTable!$A:$A,MappingTable!F:F)</f>
        <v>モントセラト</v>
      </c>
      <c r="H179" t="str">
        <f>+_xlfn.XLOOKUP($A179,MappingTable!$A:$A,MappingTable!G:G)</f>
        <v>Montserrat</v>
      </c>
      <c r="I179" t="str">
        <f>+_xlfn.XLOOKUP($A179,MappingTable!$A:$A,MappingTable!H:H)</f>
        <v>Montserrat</v>
      </c>
      <c r="J179" t="str">
        <f>+_xlfn.XLOOKUP($A179,MappingTable!$A:$A,MappingTable!I:I)</f>
        <v>Montserrat</v>
      </c>
    </row>
    <row r="180" spans="1:10" x14ac:dyDescent="0.25">
      <c r="A180" s="21" t="s">
        <v>1857</v>
      </c>
      <c r="B180" s="21" t="s">
        <v>1858</v>
      </c>
      <c r="C180" t="str">
        <f>+_xlfn.XLOOKUP(A180,MappingTable!A:A,MappingTable!B:B)</f>
        <v>Malawi</v>
      </c>
      <c r="D180" t="str">
        <f>+_xlfn.XLOOKUP($A180,MappingTable!$A:$A,MappingTable!C:C)</f>
        <v>Malavi</v>
      </c>
      <c r="E180" t="str">
        <f>+_xlfn.XLOOKUP($A180,MappingTable!$A:$A,MappingTable!D:D)</f>
        <v>Malawi</v>
      </c>
      <c r="F180" t="str">
        <f>+_xlfn.XLOOKUP($A180,MappingTable!$A:$A,MappingTable!E:E)</f>
        <v>Malawi</v>
      </c>
      <c r="G180" t="str">
        <f>+_xlfn.XLOOKUP($A180,MappingTable!$A:$A,MappingTable!F:F)</f>
        <v>マラウイ</v>
      </c>
      <c r="H180" t="str">
        <f>+_xlfn.XLOOKUP($A180,MappingTable!$A:$A,MappingTable!G:G)</f>
        <v>Malawi</v>
      </c>
      <c r="I180" t="str">
        <f>+_xlfn.XLOOKUP($A180,MappingTable!$A:$A,MappingTable!H:H)</f>
        <v>Malaui</v>
      </c>
      <c r="J180" t="str">
        <f>+_xlfn.XLOOKUP($A180,MappingTable!$A:$A,MappingTable!I:I)</f>
        <v>Malaui</v>
      </c>
    </row>
    <row r="181" spans="1:10" x14ac:dyDescent="0.25">
      <c r="A181" s="21" t="s">
        <v>813</v>
      </c>
      <c r="B181" s="21" t="s">
        <v>814</v>
      </c>
      <c r="C181" t="str">
        <f>+_xlfn.XLOOKUP(A181,MappingTable!A:A,MappingTable!B:B)</f>
        <v>Mozambique</v>
      </c>
      <c r="D181" t="str">
        <f>+_xlfn.XLOOKUP($A181,MappingTable!$A:$A,MappingTable!C:C)</f>
        <v>Mozambik</v>
      </c>
      <c r="E181" t="str">
        <f>+_xlfn.XLOOKUP($A181,MappingTable!$A:$A,MappingTable!D:D)</f>
        <v>Mosambik</v>
      </c>
      <c r="F181" t="str">
        <f>+_xlfn.XLOOKUP($A181,MappingTable!$A:$A,MappingTable!E:E)</f>
        <v>Mozambique</v>
      </c>
      <c r="G181" t="str">
        <f>+_xlfn.XLOOKUP($A181,MappingTable!$A:$A,MappingTable!F:F)</f>
        <v>モザンビーク</v>
      </c>
      <c r="H181" t="str">
        <f>+_xlfn.XLOOKUP($A181,MappingTable!$A:$A,MappingTable!G:G)</f>
        <v>Mozambico</v>
      </c>
      <c r="I181" t="str">
        <f>+_xlfn.XLOOKUP($A181,MappingTable!$A:$A,MappingTable!H:H)</f>
        <v>Mozambique</v>
      </c>
      <c r="J181" t="str">
        <f>+_xlfn.XLOOKUP($A181,MappingTable!$A:$A,MappingTable!I:I)</f>
        <v>Moçambique</v>
      </c>
    </row>
    <row r="182" spans="1:10" x14ac:dyDescent="0.25">
      <c r="A182" s="21" t="s">
        <v>820</v>
      </c>
      <c r="B182" s="21" t="s">
        <v>821</v>
      </c>
      <c r="C182" t="str">
        <f>+_xlfn.XLOOKUP(A182,MappingTable!A:A,MappingTable!B:B)</f>
        <v>Namibia</v>
      </c>
      <c r="D182" t="str">
        <f>+_xlfn.XLOOKUP($A182,MappingTable!$A:$A,MappingTable!C:C)</f>
        <v>Namibija</v>
      </c>
      <c r="E182" t="str">
        <f>+_xlfn.XLOOKUP($A182,MappingTable!$A:$A,MappingTable!D:D)</f>
        <v>Namibia</v>
      </c>
      <c r="F182" t="str">
        <f>+_xlfn.XLOOKUP($A182,MappingTable!$A:$A,MappingTable!E:E)</f>
        <v>Namibie</v>
      </c>
      <c r="G182" t="str">
        <f>+_xlfn.XLOOKUP($A182,MappingTable!$A:$A,MappingTable!F:F)</f>
        <v>ナミビア</v>
      </c>
      <c r="H182" t="str">
        <f>+_xlfn.XLOOKUP($A182,MappingTable!$A:$A,MappingTable!G:G)</f>
        <v>Namibia</v>
      </c>
      <c r="I182" t="str">
        <f>+_xlfn.XLOOKUP($A182,MappingTable!$A:$A,MappingTable!H:H)</f>
        <v>Namibia</v>
      </c>
      <c r="J182" t="str">
        <f>+_xlfn.XLOOKUP($A182,MappingTable!$A:$A,MappingTable!I:I)</f>
        <v>Namíbia</v>
      </c>
    </row>
    <row r="183" spans="1:10" x14ac:dyDescent="0.25">
      <c r="A183" s="21" t="s">
        <v>924</v>
      </c>
      <c r="B183" s="21" t="s">
        <v>925</v>
      </c>
      <c r="C183" t="str">
        <f>+_xlfn.XLOOKUP(A183,MappingTable!A:A,MappingTable!B:B)</f>
        <v>State of Palestine</v>
      </c>
      <c r="D183" t="str">
        <f>+_xlfn.XLOOKUP($A183,MappingTable!$A:$A,MappingTable!C:C)</f>
        <v>Palestinsko Područje</v>
      </c>
      <c r="E183" t="str">
        <f>+_xlfn.XLOOKUP($A183,MappingTable!$A:$A,MappingTable!D:D)</f>
        <v>Staat Palästina</v>
      </c>
      <c r="F183" t="str">
        <f>+_xlfn.XLOOKUP($A183,MappingTable!$A:$A,MappingTable!E:E)</f>
        <v>Palestine</v>
      </c>
      <c r="G183" t="str">
        <f>+_xlfn.XLOOKUP($A183,MappingTable!$A:$A,MappingTable!F:F)</f>
        <v>パレスチナ</v>
      </c>
      <c r="H183" t="str">
        <f>+_xlfn.XLOOKUP($A183,MappingTable!$A:$A,MappingTable!G:G)</f>
        <v>Stato di Palestina</v>
      </c>
      <c r="I183" t="str">
        <f>+_xlfn.XLOOKUP($A183,MappingTable!$A:$A,MappingTable!H:H)</f>
        <v>Palestina</v>
      </c>
      <c r="J183" t="str">
        <f>+_xlfn.XLOOKUP($A183,MappingTable!$A:$A,MappingTable!I:I)</f>
        <v>Estado da Palestina</v>
      </c>
    </row>
    <row r="184" spans="1:10" x14ac:dyDescent="0.25">
      <c r="A184" s="21" t="s">
        <v>992</v>
      </c>
      <c r="B184" s="21" t="s">
        <v>993</v>
      </c>
      <c r="C184" t="str">
        <f>+_xlfn.XLOOKUP(A184,MappingTable!A:A,MappingTable!B:B)</f>
        <v>Seychelles</v>
      </c>
      <c r="D184" t="str">
        <f>+_xlfn.XLOOKUP($A184,MappingTable!$A:$A,MappingTable!C:C)</f>
        <v>Sejšeli</v>
      </c>
      <c r="E184" t="str">
        <f>+_xlfn.XLOOKUP($A184,MappingTable!$A:$A,MappingTable!D:D)</f>
        <v>Seychellen</v>
      </c>
      <c r="F184" t="str">
        <f>+_xlfn.XLOOKUP($A184,MappingTable!$A:$A,MappingTable!E:E)</f>
        <v>Seychelles</v>
      </c>
      <c r="G184" t="str">
        <f>+_xlfn.XLOOKUP($A184,MappingTable!$A:$A,MappingTable!F:F)</f>
        <v>セーシェル</v>
      </c>
      <c r="H184" t="str">
        <f>+_xlfn.XLOOKUP($A184,MappingTable!$A:$A,MappingTable!G:G)</f>
        <v>Seychelles</v>
      </c>
      <c r="I184" t="str">
        <f>+_xlfn.XLOOKUP($A184,MappingTable!$A:$A,MappingTable!H:H)</f>
        <v>Seychelles</v>
      </c>
      <c r="J184" t="str">
        <f>+_xlfn.XLOOKUP($A184,MappingTable!$A:$A,MappingTable!I:I)</f>
        <v>Seicheles</v>
      </c>
    </row>
    <row r="185" spans="1:10" x14ac:dyDescent="0.25">
      <c r="A185" s="21" t="s">
        <v>1050</v>
      </c>
      <c r="B185" s="21" t="s">
        <v>1051</v>
      </c>
      <c r="C185" t="str">
        <f>+_xlfn.XLOOKUP(A185,MappingTable!A:A,MappingTable!B:B)</f>
        <v>Sao Tome and Principe</v>
      </c>
      <c r="D185" t="str">
        <f>+_xlfn.XLOOKUP($A185,MappingTable!$A:$A,MappingTable!C:C)</f>
        <v>Sveti Toma i Princip</v>
      </c>
      <c r="E185" t="str">
        <f>+_xlfn.XLOOKUP($A185,MappingTable!$A:$A,MappingTable!D:D)</f>
        <v>São Tomé und Príncipe</v>
      </c>
      <c r="F185" t="str">
        <f>+_xlfn.XLOOKUP($A185,MappingTable!$A:$A,MappingTable!E:E)</f>
        <v>São Tomé-et-Principe</v>
      </c>
      <c r="G185" t="str">
        <f>+_xlfn.XLOOKUP($A185,MappingTable!$A:$A,MappingTable!F:F)</f>
        <v>サントメ・プリンシペ</v>
      </c>
      <c r="H185" t="str">
        <f>+_xlfn.XLOOKUP($A185,MappingTable!$A:$A,MappingTable!G:G)</f>
        <v>São Tomé e Príncipe</v>
      </c>
      <c r="I185" t="str">
        <f>+_xlfn.XLOOKUP($A185,MappingTable!$A:$A,MappingTable!H:H)</f>
        <v>Santo Tomé y Príncipe</v>
      </c>
      <c r="J185" t="str">
        <f>+_xlfn.XLOOKUP($A185,MappingTable!$A:$A,MappingTable!I:I)</f>
        <v>São Tomé e Príncipe</v>
      </c>
    </row>
    <row r="186" spans="1:10" x14ac:dyDescent="0.25">
      <c r="A186" s="21" t="s">
        <v>1099</v>
      </c>
      <c r="B186" s="21" t="s">
        <v>1100</v>
      </c>
      <c r="C186" t="str">
        <f>+_xlfn.XLOOKUP(A186,MappingTable!A:A,MappingTable!B:B)</f>
        <v>Timor-Leste</v>
      </c>
      <c r="D186" t="str">
        <f>+_xlfn.XLOOKUP($A186,MappingTable!$A:$A,MappingTable!C:C)</f>
        <v>Timor-Leste</v>
      </c>
      <c r="E186" t="str">
        <f>+_xlfn.XLOOKUP($A186,MappingTable!$A:$A,MappingTable!D:D)</f>
        <v>Osttimor</v>
      </c>
      <c r="F186" t="str">
        <f>+_xlfn.XLOOKUP($A186,MappingTable!$A:$A,MappingTable!E:E)</f>
        <v>Timor-Leste</v>
      </c>
      <c r="G186" t="str">
        <f>+_xlfn.XLOOKUP($A186,MappingTable!$A:$A,MappingTable!F:F)</f>
        <v>東ティモール</v>
      </c>
      <c r="H186" t="str">
        <f>+_xlfn.XLOOKUP($A186,MappingTable!$A:$A,MappingTable!G:G)</f>
        <v>Timor Est</v>
      </c>
      <c r="I186" t="str">
        <f>+_xlfn.XLOOKUP($A186,MappingTable!$A:$A,MappingTable!H:H)</f>
        <v>Timor-Leste</v>
      </c>
      <c r="J186" t="str">
        <f>+_xlfn.XLOOKUP($A186,MappingTable!$A:$A,MappingTable!I:I)</f>
        <v>Timor-Leste</v>
      </c>
    </row>
    <row r="187" spans="1:10" x14ac:dyDescent="0.25">
      <c r="A187" s="21" t="s">
        <v>1145</v>
      </c>
      <c r="B187" s="21" t="s">
        <v>1146</v>
      </c>
      <c r="C187" t="str">
        <f>+_xlfn.XLOOKUP(A187,MappingTable!A:A,MappingTable!B:B)</f>
        <v>Uganda</v>
      </c>
      <c r="D187" t="str">
        <f>+_xlfn.XLOOKUP($A187,MappingTable!$A:$A,MappingTable!C:C)</f>
        <v>Uganda</v>
      </c>
      <c r="E187" t="str">
        <f>+_xlfn.XLOOKUP($A187,MappingTable!$A:$A,MappingTable!D:D)</f>
        <v>Uganda</v>
      </c>
      <c r="F187" t="str">
        <f>+_xlfn.XLOOKUP($A187,MappingTable!$A:$A,MappingTable!E:E)</f>
        <v>Ouganda</v>
      </c>
      <c r="G187" t="str">
        <f>+_xlfn.XLOOKUP($A187,MappingTable!$A:$A,MappingTable!F:F)</f>
        <v>ウガンダ</v>
      </c>
      <c r="H187" t="str">
        <f>+_xlfn.XLOOKUP($A187,MappingTable!$A:$A,MappingTable!G:G)</f>
        <v>Uganda</v>
      </c>
      <c r="I187" t="str">
        <f>+_xlfn.XLOOKUP($A187,MappingTable!$A:$A,MappingTable!H:H)</f>
        <v>Uganda</v>
      </c>
      <c r="J187" t="str">
        <f>+_xlfn.XLOOKUP($A187,MappingTable!$A:$A,MappingTable!I:I)</f>
        <v>Uganda</v>
      </c>
    </row>
    <row r="188" spans="1:10" ht="30" x14ac:dyDescent="0.25">
      <c r="A188" s="21" t="s">
        <v>1169</v>
      </c>
      <c r="B188" s="21" t="s">
        <v>1170</v>
      </c>
      <c r="C188" t="str">
        <f>+_xlfn.XLOOKUP(A188,MappingTable!A:A,MappingTable!B:B)</f>
        <v>Saint Vincent and the Grenadines</v>
      </c>
      <c r="D188" t="str">
        <f>+_xlfn.XLOOKUP($A188,MappingTable!$A:$A,MappingTable!C:C)</f>
        <v>Sveti Vincent i Grenadini</v>
      </c>
      <c r="E188" t="str">
        <f>+_xlfn.XLOOKUP($A188,MappingTable!$A:$A,MappingTable!D:D)</f>
        <v>St. Vincent und die Grenadinen</v>
      </c>
      <c r="F188" t="str">
        <f>+_xlfn.XLOOKUP($A188,MappingTable!$A:$A,MappingTable!E:E)</f>
        <v>Saint-Vincent-et-les-Grenadines</v>
      </c>
      <c r="G188" t="str">
        <f>+_xlfn.XLOOKUP($A188,MappingTable!$A:$A,MappingTable!F:F)</f>
        <v>セントビンセントおよびグレナディーン諸島</v>
      </c>
      <c r="H188" t="str">
        <f>+_xlfn.XLOOKUP($A188,MappingTable!$A:$A,MappingTable!G:G)</f>
        <v>Saint Vincent e Grenadine</v>
      </c>
      <c r="I188" t="str">
        <f>+_xlfn.XLOOKUP($A188,MappingTable!$A:$A,MappingTable!H:H)</f>
        <v>San Vicente y las Granadinas</v>
      </c>
      <c r="J188" t="str">
        <f>+_xlfn.XLOOKUP($A188,MappingTable!$A:$A,MappingTable!I:I)</f>
        <v>São Vicente e Granadinas</v>
      </c>
    </row>
    <row r="189" spans="1:10" x14ac:dyDescent="0.25">
      <c r="A189" s="21" t="s">
        <v>1195</v>
      </c>
      <c r="B189" s="21" t="s">
        <v>1196</v>
      </c>
      <c r="C189" t="str">
        <f>+_xlfn.XLOOKUP(A189,MappingTable!A:A,MappingTable!B:B)</f>
        <v>Samoa</v>
      </c>
      <c r="D189" t="str">
        <f>+_xlfn.XLOOKUP($A189,MappingTable!$A:$A,MappingTable!C:C)</f>
        <v>Samoa</v>
      </c>
      <c r="E189" t="str">
        <f>+_xlfn.XLOOKUP($A189,MappingTable!$A:$A,MappingTable!D:D)</f>
        <v>Samoa</v>
      </c>
      <c r="F189" t="str">
        <f>+_xlfn.XLOOKUP($A189,MappingTable!$A:$A,MappingTable!E:E)</f>
        <v>Samoa</v>
      </c>
      <c r="G189" t="str">
        <f>+_xlfn.XLOOKUP($A189,MappingTable!$A:$A,MappingTable!F:F)</f>
        <v>サモア</v>
      </c>
      <c r="H189" t="str">
        <f>+_xlfn.XLOOKUP($A189,MappingTable!$A:$A,MappingTable!G:G)</f>
        <v>Samoa</v>
      </c>
      <c r="I189" t="str">
        <f>+_xlfn.XLOOKUP($A189,MappingTable!$A:$A,MappingTable!H:H)</f>
        <v>Samoa</v>
      </c>
      <c r="J189" t="str">
        <f>+_xlfn.XLOOKUP($A189,MappingTable!$A:$A,MappingTable!I:I)</f>
        <v>Samoa</v>
      </c>
    </row>
    <row r="190" spans="1:10" x14ac:dyDescent="0.25">
      <c r="A190" s="21" t="s">
        <v>1210</v>
      </c>
      <c r="B190" s="21" t="s">
        <v>1211</v>
      </c>
      <c r="C190" t="str">
        <f>+_xlfn.XLOOKUP(A190,MappingTable!A:A,MappingTable!B:B)</f>
        <v>Zimbabwe</v>
      </c>
      <c r="D190" t="str">
        <f>+_xlfn.XLOOKUP($A190,MappingTable!$A:$A,MappingTable!C:C)</f>
        <v>Zimbabve</v>
      </c>
      <c r="E190" t="str">
        <f>+_xlfn.XLOOKUP($A190,MappingTable!$A:$A,MappingTable!D:D)</f>
        <v>Simbabwe</v>
      </c>
      <c r="F190" t="str">
        <f>+_xlfn.XLOOKUP($A190,MappingTable!$A:$A,MappingTable!E:E)</f>
        <v>Zimbabwe</v>
      </c>
      <c r="G190" t="str">
        <f>+_xlfn.XLOOKUP($A190,MappingTable!$A:$A,MappingTable!F:F)</f>
        <v>ジンバブエ</v>
      </c>
      <c r="H190" t="str">
        <f>+_xlfn.XLOOKUP($A190,MappingTable!$A:$A,MappingTable!G:G)</f>
        <v>Zimbabwe</v>
      </c>
      <c r="I190" t="str">
        <f>+_xlfn.XLOOKUP($A190,MappingTable!$A:$A,MappingTable!H:H)</f>
        <v>Zimbabue</v>
      </c>
      <c r="J190" t="str">
        <f>+_xlfn.XLOOKUP($A190,MappingTable!$A:$A,MappingTable!I:I)</f>
        <v>Zimbábue</v>
      </c>
    </row>
  </sheetData>
  <autoFilter ref="L1:L156"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189"/>
  <sheetViews>
    <sheetView workbookViewId="0">
      <selection activeCell="A3" sqref="A3"/>
    </sheetView>
  </sheetViews>
  <sheetFormatPr defaultRowHeight="15" x14ac:dyDescent="0.25"/>
  <cols>
    <col min="1" max="1" width="12" customWidth="1"/>
    <col min="2" max="2" width="13.140625" bestFit="1" customWidth="1"/>
    <col min="3" max="3" width="25" customWidth="1"/>
    <col min="4" max="4" width="13.85546875" bestFit="1" customWidth="1"/>
    <col min="5" max="5" width="23.5703125" bestFit="1" customWidth="1"/>
    <col min="6" max="6" width="14.85546875" bestFit="1" customWidth="1"/>
  </cols>
  <sheetData>
    <row r="1" spans="1:6" ht="28.9" customHeight="1" x14ac:dyDescent="0.25">
      <c r="A1" s="5" t="s">
        <v>1217</v>
      </c>
      <c r="B1" s="5" t="s">
        <v>1220</v>
      </c>
      <c r="C1" s="5" t="s">
        <v>1221</v>
      </c>
      <c r="D1" s="6" t="s">
        <v>1223</v>
      </c>
      <c r="E1" s="6" t="s">
        <v>1224</v>
      </c>
      <c r="F1" s="7" t="s">
        <v>1222</v>
      </c>
    </row>
    <row r="2" spans="1:6" x14ac:dyDescent="0.25">
      <c r="A2" s="15">
        <v>1</v>
      </c>
      <c r="B2" s="10" t="str">
        <f ca="1">OFFSET(Regions!D1,A2,0)</f>
        <v>GLBL</v>
      </c>
      <c r="C2" s="10" t="str">
        <f ca="1">OFFSET(Regions!D1,A2,1)</f>
        <v>Global</v>
      </c>
      <c r="D2" s="10" t="str" cm="1">
        <f t="array" aca="1" ref="D2:D189" ca="1">TRANSPOSE(TRIM(_xlfn.TEXTSPLIT(OFFSET(Regions!G1,A2,0),",")))</f>
        <v>AD</v>
      </c>
      <c r="E2" s="10" t="str">
        <f ca="1">+IF(ISBLANK(D2),"",_xlfn.XLOOKUP(D2,Countries!A:A,Countries!B:B,""))</f>
        <v>Andorra</v>
      </c>
      <c r="F2" s="10">
        <f ca="1">OFFSET(Regions!D1,A2,2)</f>
        <v>188</v>
      </c>
    </row>
    <row r="3" spans="1:6" x14ac:dyDescent="0.25">
      <c r="A3" s="10">
        <f ca="1">+IF(ISBLANK(D3),"",A2)</f>
        <v>1</v>
      </c>
      <c r="B3" s="10" t="str">
        <f ca="1">+IF(ISBLANK(D3),"",B2)</f>
        <v>GLBL</v>
      </c>
      <c r="C3" s="10" t="str">
        <f ca="1">+IF(ISBLANK(D3),"",C2)</f>
        <v>Global</v>
      </c>
      <c r="D3" s="10" t="str">
        <f ca="1"/>
        <v>AE</v>
      </c>
      <c r="E3" s="10" t="str">
        <f ca="1">+IF(ISBLANK(D3),"",_xlfn.XLOOKUP(D3,Countries!A:A,Countries!B:B,""))</f>
        <v>United Arab Emirates</v>
      </c>
      <c r="F3" s="10" cm="1">
        <f t="array" aca="1" ref="F3" ca="1">+IF(ISBLANK(D¸¸3),"",F2)</f>
        <v>188</v>
      </c>
    </row>
    <row r="4" spans="1:6" x14ac:dyDescent="0.25">
      <c r="A4" s="10">
        <f t="shared" ref="A4:A67" ca="1" si="0">+IF(ISBLANK(D4),"",A3)</f>
        <v>1</v>
      </c>
      <c r="B4" s="10" t="str">
        <f t="shared" ref="B4:B67" ca="1" si="1">+IF(ISBLANK(D4),"",B3)</f>
        <v>GLBL</v>
      </c>
      <c r="C4" s="10" t="str">
        <f t="shared" ref="C4:C67" ca="1" si="2">+IF(ISBLANK(D4),"",C3)</f>
        <v>Global</v>
      </c>
      <c r="D4" s="10" t="str">
        <f ca="1"/>
        <v>AF</v>
      </c>
      <c r="E4" s="10" t="str">
        <f ca="1">+IF(ISBLANK(D4),"",_xlfn.XLOOKUP(D4,Countries!A:A,Countries!B:B,""))</f>
        <v>Afghanistan</v>
      </c>
      <c r="F4" s="10">
        <f t="shared" ref="F4:F67" ca="1" si="3">+IF(ISBLANK(D4),"",F3)</f>
        <v>188</v>
      </c>
    </row>
    <row r="5" spans="1:6" x14ac:dyDescent="0.25">
      <c r="A5" s="10">
        <f t="shared" ca="1" si="0"/>
        <v>1</v>
      </c>
      <c r="B5" s="10" t="str">
        <f t="shared" ca="1" si="1"/>
        <v>GLBL</v>
      </c>
      <c r="C5" s="10" t="str">
        <f t="shared" ca="1" si="2"/>
        <v>Global</v>
      </c>
      <c r="D5" s="10" t="str">
        <f ca="1"/>
        <v>AG</v>
      </c>
      <c r="E5" s="10" t="str">
        <f ca="1">+IF(ISBLANK(D5),"",_xlfn.XLOOKUP(D5,Countries!A:A,Countries!B:B,""))</f>
        <v>Antigua and Barbuda</v>
      </c>
      <c r="F5" s="10">
        <f t="shared" ca="1" si="3"/>
        <v>188</v>
      </c>
    </row>
    <row r="6" spans="1:6" x14ac:dyDescent="0.25">
      <c r="A6" s="10">
        <f t="shared" ca="1" si="0"/>
        <v>1</v>
      </c>
      <c r="B6" s="10" t="str">
        <f t="shared" ca="1" si="1"/>
        <v>GLBL</v>
      </c>
      <c r="C6" s="10" t="str">
        <f t="shared" ca="1" si="2"/>
        <v>Global</v>
      </c>
      <c r="D6" s="10" t="str">
        <f ca="1"/>
        <v>AI</v>
      </c>
      <c r="E6" s="10" t="str">
        <f ca="1">+IF(ISBLANK(D6),"",_xlfn.XLOOKUP(D6,Countries!A:A,Countries!B:B,""))</f>
        <v>Anguilla</v>
      </c>
      <c r="F6" s="10">
        <f t="shared" ca="1" si="3"/>
        <v>188</v>
      </c>
    </row>
    <row r="7" spans="1:6" x14ac:dyDescent="0.25">
      <c r="A7" s="10">
        <f t="shared" ca="1" si="0"/>
        <v>1</v>
      </c>
      <c r="B7" s="10" t="str">
        <f t="shared" ca="1" si="1"/>
        <v>GLBL</v>
      </c>
      <c r="C7" s="10" t="str">
        <f t="shared" ca="1" si="2"/>
        <v>Global</v>
      </c>
      <c r="D7" s="10" t="str">
        <f ca="1"/>
        <v>AL</v>
      </c>
      <c r="E7" s="10" t="str">
        <f ca="1">+IF(ISBLANK(D7),"",_xlfn.XLOOKUP(D7,Countries!A:A,Countries!B:B,""))</f>
        <v>Albania</v>
      </c>
      <c r="F7" s="10">
        <f t="shared" ca="1" si="3"/>
        <v>188</v>
      </c>
    </row>
    <row r="8" spans="1:6" x14ac:dyDescent="0.25">
      <c r="A8" s="10">
        <f t="shared" ca="1" si="0"/>
        <v>1</v>
      </c>
      <c r="B8" s="10" t="str">
        <f t="shared" ca="1" si="1"/>
        <v>GLBL</v>
      </c>
      <c r="C8" s="10" t="str">
        <f t="shared" ca="1" si="2"/>
        <v>Global</v>
      </c>
      <c r="D8" s="10" t="str">
        <f ca="1"/>
        <v>AM</v>
      </c>
      <c r="E8" s="10" t="str">
        <f ca="1">+IF(ISBLANK(D8),"",_xlfn.XLOOKUP(D8,Countries!A:A,Countries!B:B,""))</f>
        <v>Armenia</v>
      </c>
      <c r="F8" s="10">
        <f t="shared" ca="1" si="3"/>
        <v>188</v>
      </c>
    </row>
    <row r="9" spans="1:6" x14ac:dyDescent="0.25">
      <c r="A9" s="10">
        <f t="shared" ca="1" si="0"/>
        <v>1</v>
      </c>
      <c r="B9" s="10" t="str">
        <f t="shared" ca="1" si="1"/>
        <v>GLBL</v>
      </c>
      <c r="C9" s="10" t="str">
        <f t="shared" ca="1" si="2"/>
        <v>Global</v>
      </c>
      <c r="D9" s="10" t="str">
        <f ca="1"/>
        <v>AO</v>
      </c>
      <c r="E9" s="10" t="str">
        <f ca="1">+IF(ISBLANK(D9),"",_xlfn.XLOOKUP(D9,Countries!A:A,Countries!B:B,""))</f>
        <v>Angola</v>
      </c>
      <c r="F9" s="10">
        <f t="shared" ca="1" si="3"/>
        <v>188</v>
      </c>
    </row>
    <row r="10" spans="1:6" x14ac:dyDescent="0.25">
      <c r="A10" s="10">
        <f t="shared" ca="1" si="0"/>
        <v>1</v>
      </c>
      <c r="B10" s="10" t="str">
        <f t="shared" ca="1" si="1"/>
        <v>GLBL</v>
      </c>
      <c r="C10" s="10" t="str">
        <f t="shared" ca="1" si="2"/>
        <v>Global</v>
      </c>
      <c r="D10" s="10" t="str">
        <f ca="1"/>
        <v>AR</v>
      </c>
      <c r="E10" s="10" t="str">
        <f ca="1">+IF(ISBLANK(D10),"",_xlfn.XLOOKUP(D10,Countries!A:A,Countries!B:B,""))</f>
        <v>Argentina</v>
      </c>
      <c r="F10" s="10">
        <f t="shared" ca="1" si="3"/>
        <v>188</v>
      </c>
    </row>
    <row r="11" spans="1:6" x14ac:dyDescent="0.25">
      <c r="A11" s="10">
        <f t="shared" ca="1" si="0"/>
        <v>1</v>
      </c>
      <c r="B11" s="10" t="str">
        <f t="shared" ca="1" si="1"/>
        <v>GLBL</v>
      </c>
      <c r="C11" s="10" t="str">
        <f t="shared" ca="1" si="2"/>
        <v>Global</v>
      </c>
      <c r="D11" s="10" t="str">
        <f ca="1"/>
        <v>AT</v>
      </c>
      <c r="E11" s="10" t="str">
        <f ca="1">+IF(ISBLANK(D11),"",_xlfn.XLOOKUP(D11,Countries!A:A,Countries!B:B,""))</f>
        <v>Austria</v>
      </c>
      <c r="F11" s="10">
        <f t="shared" ca="1" si="3"/>
        <v>188</v>
      </c>
    </row>
    <row r="12" spans="1:6" x14ac:dyDescent="0.25">
      <c r="A12" s="10">
        <f t="shared" ca="1" si="0"/>
        <v>1</v>
      </c>
      <c r="B12" s="10" t="str">
        <f t="shared" ca="1" si="1"/>
        <v>GLBL</v>
      </c>
      <c r="C12" s="10" t="str">
        <f t="shared" ca="1" si="2"/>
        <v>Global</v>
      </c>
      <c r="D12" s="10" t="str">
        <f ca="1"/>
        <v>AU</v>
      </c>
      <c r="E12" s="10" t="str">
        <f ca="1">+IF(ISBLANK(D12),"",_xlfn.XLOOKUP(D12,Countries!A:A,Countries!B:B,""))</f>
        <v>Australia</v>
      </c>
      <c r="F12" s="10">
        <f t="shared" ca="1" si="3"/>
        <v>188</v>
      </c>
    </row>
    <row r="13" spans="1:6" x14ac:dyDescent="0.25">
      <c r="A13" s="10">
        <f t="shared" ca="1" si="0"/>
        <v>1</v>
      </c>
      <c r="B13" s="10" t="str">
        <f t="shared" ca="1" si="1"/>
        <v>GLBL</v>
      </c>
      <c r="C13" s="10" t="str">
        <f t="shared" ca="1" si="2"/>
        <v>Global</v>
      </c>
      <c r="D13" s="10" t="str">
        <f ca="1"/>
        <v>AZ</v>
      </c>
      <c r="E13" s="10" t="str">
        <f ca="1">+IF(ISBLANK(D13),"",_xlfn.XLOOKUP(D13,Countries!A:A,Countries!B:B,""))</f>
        <v>Azerbaijan</v>
      </c>
      <c r="F13" s="10">
        <f t="shared" ca="1" si="3"/>
        <v>188</v>
      </c>
    </row>
    <row r="14" spans="1:6" x14ac:dyDescent="0.25">
      <c r="A14" s="10">
        <f t="shared" ca="1" si="0"/>
        <v>1</v>
      </c>
      <c r="B14" s="10" t="str">
        <f t="shared" ca="1" si="1"/>
        <v>GLBL</v>
      </c>
      <c r="C14" s="10" t="str">
        <f t="shared" ca="1" si="2"/>
        <v>Global</v>
      </c>
      <c r="D14" s="10" t="str">
        <f ca="1"/>
        <v>BA</v>
      </c>
      <c r="E14" s="10" t="str">
        <f ca="1">+IF(ISBLANK(D14),"",_xlfn.XLOOKUP(D14,Countries!A:A,Countries!B:B,""))</f>
        <v>Bosnia and Herzegovina</v>
      </c>
      <c r="F14" s="10">
        <f t="shared" ca="1" si="3"/>
        <v>188</v>
      </c>
    </row>
    <row r="15" spans="1:6" x14ac:dyDescent="0.25">
      <c r="A15" s="10">
        <f t="shared" ca="1" si="0"/>
        <v>1</v>
      </c>
      <c r="B15" s="10" t="str">
        <f t="shared" ca="1" si="1"/>
        <v>GLBL</v>
      </c>
      <c r="C15" s="10" t="str">
        <f t="shared" ca="1" si="2"/>
        <v>Global</v>
      </c>
      <c r="D15" s="10" t="str">
        <f ca="1"/>
        <v>BB</v>
      </c>
      <c r="E15" s="10" t="str">
        <f ca="1">+IF(ISBLANK(D15),"",_xlfn.XLOOKUP(D15,Countries!A:A,Countries!B:B,""))</f>
        <v>Barbados</v>
      </c>
      <c r="F15" s="10">
        <f t="shared" ca="1" si="3"/>
        <v>188</v>
      </c>
    </row>
    <row r="16" spans="1:6" x14ac:dyDescent="0.25">
      <c r="A16" s="10">
        <f t="shared" ca="1" si="0"/>
        <v>1</v>
      </c>
      <c r="B16" s="10" t="str">
        <f t="shared" ca="1" si="1"/>
        <v>GLBL</v>
      </c>
      <c r="C16" s="10" t="str">
        <f t="shared" ca="1" si="2"/>
        <v>Global</v>
      </c>
      <c r="D16" s="10" t="str">
        <f ca="1"/>
        <v>BE</v>
      </c>
      <c r="E16" s="10" t="str">
        <f ca="1">+IF(ISBLANK(D16),"",_xlfn.XLOOKUP(D16,Countries!A:A,Countries!B:B,""))</f>
        <v>Belgium</v>
      </c>
      <c r="F16" s="10">
        <f t="shared" ca="1" si="3"/>
        <v>188</v>
      </c>
    </row>
    <row r="17" spans="1:6" x14ac:dyDescent="0.25">
      <c r="A17" s="10">
        <f t="shared" ca="1" si="0"/>
        <v>1</v>
      </c>
      <c r="B17" s="10" t="str">
        <f t="shared" ca="1" si="1"/>
        <v>GLBL</v>
      </c>
      <c r="C17" s="10" t="str">
        <f t="shared" ca="1" si="2"/>
        <v>Global</v>
      </c>
      <c r="D17" s="10" t="str">
        <f ca="1"/>
        <v>BG</v>
      </c>
      <c r="E17" s="10" t="str">
        <f ca="1">+IF(ISBLANK(D17),"",_xlfn.XLOOKUP(D17,Countries!A:A,Countries!B:B,""))</f>
        <v>Bulgaria</v>
      </c>
      <c r="F17" s="10">
        <f t="shared" ca="1" si="3"/>
        <v>188</v>
      </c>
    </row>
    <row r="18" spans="1:6" x14ac:dyDescent="0.25">
      <c r="A18" s="10">
        <f t="shared" ca="1" si="0"/>
        <v>1</v>
      </c>
      <c r="B18" s="10" t="str">
        <f t="shared" ca="1" si="1"/>
        <v>GLBL</v>
      </c>
      <c r="C18" s="10" t="str">
        <f t="shared" ca="1" si="2"/>
        <v>Global</v>
      </c>
      <c r="D18" s="10" t="str">
        <f ca="1"/>
        <v>BH</v>
      </c>
      <c r="E18" s="10" t="str">
        <f ca="1">+IF(ISBLANK(D18),"",_xlfn.XLOOKUP(D18,Countries!A:A,Countries!B:B,""))</f>
        <v>Bahrain</v>
      </c>
      <c r="F18" s="10">
        <f t="shared" ca="1" si="3"/>
        <v>188</v>
      </c>
    </row>
    <row r="19" spans="1:6" x14ac:dyDescent="0.25">
      <c r="A19" s="10">
        <f t="shared" ca="1" si="0"/>
        <v>1</v>
      </c>
      <c r="B19" s="10" t="str">
        <f t="shared" ca="1" si="1"/>
        <v>GLBL</v>
      </c>
      <c r="C19" s="10" t="str">
        <f t="shared" ca="1" si="2"/>
        <v>Global</v>
      </c>
      <c r="D19" s="10" t="str">
        <f ca="1"/>
        <v>BM</v>
      </c>
      <c r="E19" s="10" t="str">
        <f ca="1">+IF(ISBLANK(D19),"",_xlfn.XLOOKUP(D19,Countries!A:A,Countries!B:B,""))</f>
        <v>Bermuda</v>
      </c>
      <c r="F19" s="10">
        <f t="shared" ca="1" si="3"/>
        <v>188</v>
      </c>
    </row>
    <row r="20" spans="1:6" x14ac:dyDescent="0.25">
      <c r="A20" s="10">
        <f t="shared" ca="1" si="0"/>
        <v>1</v>
      </c>
      <c r="B20" s="10" t="str">
        <f t="shared" ca="1" si="1"/>
        <v>GLBL</v>
      </c>
      <c r="C20" s="10" t="str">
        <f t="shared" ca="1" si="2"/>
        <v>Global</v>
      </c>
      <c r="D20" s="10" t="str">
        <f ca="1"/>
        <v>BQ</v>
      </c>
      <c r="E20" s="10" t="str">
        <f ca="1">+IF(ISBLANK(D20),"",_xlfn.XLOOKUP(D20,Countries!A:A,Countries!B:B,""))</f>
        <v>Bonaire, Sint Eustatius and Saba</v>
      </c>
      <c r="F20" s="10">
        <f t="shared" ca="1" si="3"/>
        <v>188</v>
      </c>
    </row>
    <row r="21" spans="1:6" x14ac:dyDescent="0.25">
      <c r="A21" s="10">
        <f t="shared" ca="1" si="0"/>
        <v>1</v>
      </c>
      <c r="B21" s="10" t="str">
        <f t="shared" ca="1" si="1"/>
        <v>GLBL</v>
      </c>
      <c r="C21" s="10" t="str">
        <f t="shared" ca="1" si="2"/>
        <v>Global</v>
      </c>
      <c r="D21" s="10" t="str">
        <f ca="1"/>
        <v>BR</v>
      </c>
      <c r="E21" s="10" t="str">
        <f ca="1">+IF(ISBLANK(D21),"",_xlfn.XLOOKUP(D21,Countries!A:A,Countries!B:B,""))</f>
        <v>Brazil</v>
      </c>
      <c r="F21" s="10">
        <f t="shared" ca="1" si="3"/>
        <v>188</v>
      </c>
    </row>
    <row r="22" spans="1:6" x14ac:dyDescent="0.25">
      <c r="A22" s="10">
        <f t="shared" ca="1" si="0"/>
        <v>1</v>
      </c>
      <c r="B22" s="10" t="str">
        <f t="shared" ca="1" si="1"/>
        <v>GLBL</v>
      </c>
      <c r="C22" s="10" t="str">
        <f t="shared" ca="1" si="2"/>
        <v>Global</v>
      </c>
      <c r="D22" s="10" t="str">
        <f ca="1"/>
        <v>BS</v>
      </c>
      <c r="E22" s="10" t="str">
        <f ca="1">+IF(ISBLANK(D22),"",_xlfn.XLOOKUP(D22,Countries!A:A,Countries!B:B,""))</f>
        <v>Bahamas</v>
      </c>
      <c r="F22" s="10">
        <f t="shared" ca="1" si="3"/>
        <v>188</v>
      </c>
    </row>
    <row r="23" spans="1:6" x14ac:dyDescent="0.25">
      <c r="A23" s="10">
        <f t="shared" ca="1" si="0"/>
        <v>1</v>
      </c>
      <c r="B23" s="10" t="str">
        <f t="shared" ca="1" si="1"/>
        <v>GLBL</v>
      </c>
      <c r="C23" s="10" t="str">
        <f t="shared" ca="1" si="2"/>
        <v>Global</v>
      </c>
      <c r="D23" s="10" t="str">
        <f ca="1"/>
        <v>BZ</v>
      </c>
      <c r="E23" s="10" t="str">
        <f ca="1">+IF(ISBLANK(D23),"",_xlfn.XLOOKUP(D23,Countries!A:A,Countries!B:B,""))</f>
        <v>Belize</v>
      </c>
      <c r="F23" s="10">
        <f t="shared" ca="1" si="3"/>
        <v>188</v>
      </c>
    </row>
    <row r="24" spans="1:6" x14ac:dyDescent="0.25">
      <c r="A24" s="10">
        <f t="shared" ca="1" si="0"/>
        <v>1</v>
      </c>
      <c r="B24" s="10" t="str">
        <f t="shared" ca="1" si="1"/>
        <v>GLBL</v>
      </c>
      <c r="C24" s="10" t="str">
        <f t="shared" ca="1" si="2"/>
        <v>Global</v>
      </c>
      <c r="D24" s="10" t="str">
        <f ca="1"/>
        <v>BW</v>
      </c>
      <c r="E24" s="10" t="str">
        <f ca="1">+IF(ISBLANK(D24),"",_xlfn.XLOOKUP(D24,Countries!A:A,Countries!B:B,""))</f>
        <v>Botswana</v>
      </c>
      <c r="F24" s="10">
        <f t="shared" ca="1" si="3"/>
        <v>188</v>
      </c>
    </row>
    <row r="25" spans="1:6" x14ac:dyDescent="0.25">
      <c r="A25" s="10">
        <f t="shared" ca="1" si="0"/>
        <v>1</v>
      </c>
      <c r="B25" s="10" t="str">
        <f t="shared" ca="1" si="1"/>
        <v>GLBL</v>
      </c>
      <c r="C25" s="10" t="str">
        <f t="shared" ca="1" si="2"/>
        <v>Global</v>
      </c>
      <c r="D25" s="10" t="str">
        <f ca="1"/>
        <v>BY</v>
      </c>
      <c r="E25" s="10" t="str">
        <f ca="1">+IF(ISBLANK(D25),"",_xlfn.XLOOKUP(D25,Countries!A:A,Countries!B:B,""))</f>
        <v>Belarus</v>
      </c>
      <c r="F25" s="10">
        <f t="shared" ca="1" si="3"/>
        <v>188</v>
      </c>
    </row>
    <row r="26" spans="1:6" x14ac:dyDescent="0.25">
      <c r="A26" s="10">
        <f t="shared" ca="1" si="0"/>
        <v>1</v>
      </c>
      <c r="B26" s="10" t="str">
        <f t="shared" ca="1" si="1"/>
        <v>GLBL</v>
      </c>
      <c r="C26" s="10" t="str">
        <f t="shared" ca="1" si="2"/>
        <v>Global</v>
      </c>
      <c r="D26" s="10" t="str">
        <f ca="1"/>
        <v>CA</v>
      </c>
      <c r="E26" s="10" t="str">
        <f ca="1">+IF(ISBLANK(D26),"",_xlfn.XLOOKUP(D26,Countries!A:A,Countries!B:B,""))</f>
        <v>Canada</v>
      </c>
      <c r="F26" s="10">
        <f t="shared" ca="1" si="3"/>
        <v>188</v>
      </c>
    </row>
    <row r="27" spans="1:6" x14ac:dyDescent="0.25">
      <c r="A27" s="10">
        <f t="shared" ca="1" si="0"/>
        <v>1</v>
      </c>
      <c r="B27" s="10" t="str">
        <f t="shared" ca="1" si="1"/>
        <v>GLBL</v>
      </c>
      <c r="C27" s="10" t="str">
        <f t="shared" ca="1" si="2"/>
        <v>Global</v>
      </c>
      <c r="D27" s="10" t="str">
        <f ca="1"/>
        <v>CD</v>
      </c>
      <c r="E27" s="10" t="str">
        <f ca="1">+IF(ISBLANK(D27),"",_xlfn.XLOOKUP(D27,Countries!A:A,Countries!B:B,""))</f>
        <v>Congo Kinshasa</v>
      </c>
      <c r="F27" s="10">
        <f t="shared" ca="1" si="3"/>
        <v>188</v>
      </c>
    </row>
    <row r="28" spans="1:6" x14ac:dyDescent="0.25">
      <c r="A28" s="10">
        <f t="shared" ca="1" si="0"/>
        <v>1</v>
      </c>
      <c r="B28" s="10" t="str">
        <f t="shared" ca="1" si="1"/>
        <v>GLBL</v>
      </c>
      <c r="C28" s="10" t="str">
        <f t="shared" ca="1" si="2"/>
        <v>Global</v>
      </c>
      <c r="D28" s="10" t="str">
        <f ca="1"/>
        <v>CH</v>
      </c>
      <c r="E28" s="10" t="str">
        <f ca="1">+IF(ISBLANK(D28),"",_xlfn.XLOOKUP(D28,Countries!A:A,Countries!B:B,""))</f>
        <v>Switzerland</v>
      </c>
      <c r="F28" s="10">
        <f t="shared" ca="1" si="3"/>
        <v>188</v>
      </c>
    </row>
    <row r="29" spans="1:6" x14ac:dyDescent="0.25">
      <c r="A29" s="10">
        <f t="shared" ca="1" si="0"/>
        <v>1</v>
      </c>
      <c r="B29" s="10" t="str">
        <f t="shared" ca="1" si="1"/>
        <v>GLBL</v>
      </c>
      <c r="C29" s="10" t="str">
        <f t="shared" ca="1" si="2"/>
        <v>Global</v>
      </c>
      <c r="D29" s="10" t="str">
        <f ca="1"/>
        <v>CL</v>
      </c>
      <c r="E29" s="10" t="str">
        <f ca="1">+IF(ISBLANK(D29),"",_xlfn.XLOOKUP(D29,Countries!A:A,Countries!B:B,""))</f>
        <v>Chile</v>
      </c>
      <c r="F29" s="10">
        <f t="shared" ca="1" si="3"/>
        <v>188</v>
      </c>
    </row>
    <row r="30" spans="1:6" x14ac:dyDescent="0.25">
      <c r="A30" s="10">
        <f t="shared" ca="1" si="0"/>
        <v>1</v>
      </c>
      <c r="B30" s="10" t="str">
        <f t="shared" ca="1" si="1"/>
        <v>GLBL</v>
      </c>
      <c r="C30" s="10" t="str">
        <f t="shared" ca="1" si="2"/>
        <v>Global</v>
      </c>
      <c r="D30" s="10" t="str">
        <f ca="1"/>
        <v>CN</v>
      </c>
      <c r="E30" s="10" t="str">
        <f ca="1">+IF(ISBLANK(D30),"",_xlfn.XLOOKUP(D30,Countries!A:A,Countries!B:B,""))</f>
        <v>China</v>
      </c>
      <c r="F30" s="10">
        <f t="shared" ca="1" si="3"/>
        <v>188</v>
      </c>
    </row>
    <row r="31" spans="1:6" x14ac:dyDescent="0.25">
      <c r="A31" s="10">
        <f t="shared" ca="1" si="0"/>
        <v>1</v>
      </c>
      <c r="B31" s="10" t="str">
        <f t="shared" ca="1" si="1"/>
        <v>GLBL</v>
      </c>
      <c r="C31" s="10" t="str">
        <f t="shared" ca="1" si="2"/>
        <v>Global</v>
      </c>
      <c r="D31" s="10" t="str">
        <f ca="1"/>
        <v>CO</v>
      </c>
      <c r="E31" s="10" t="str">
        <f ca="1">+IF(ISBLANK(D31),"",_xlfn.XLOOKUP(D31,Countries!A:A,Countries!B:B,""))</f>
        <v>Colombia</v>
      </c>
      <c r="F31" s="10">
        <f t="shared" ca="1" si="3"/>
        <v>188</v>
      </c>
    </row>
    <row r="32" spans="1:6" x14ac:dyDescent="0.25">
      <c r="A32" s="10">
        <f t="shared" ca="1" si="0"/>
        <v>1</v>
      </c>
      <c r="B32" s="10" t="str">
        <f t="shared" ca="1" si="1"/>
        <v>GLBL</v>
      </c>
      <c r="C32" s="10" t="str">
        <f t="shared" ca="1" si="2"/>
        <v>Global</v>
      </c>
      <c r="D32" s="10" t="str">
        <f ca="1"/>
        <v>CR</v>
      </c>
      <c r="E32" s="10" t="str">
        <f ca="1">+IF(ISBLANK(D32),"",_xlfn.XLOOKUP(D32,Countries!A:A,Countries!B:B,""))</f>
        <v>Costa Rica</v>
      </c>
      <c r="F32" s="10">
        <f t="shared" ca="1" si="3"/>
        <v>188</v>
      </c>
    </row>
    <row r="33" spans="1:6" x14ac:dyDescent="0.25">
      <c r="A33" s="10">
        <f t="shared" ca="1" si="0"/>
        <v>1</v>
      </c>
      <c r="B33" s="10" t="str">
        <f t="shared" ca="1" si="1"/>
        <v>GLBL</v>
      </c>
      <c r="C33" s="10" t="str">
        <f t="shared" ca="1" si="2"/>
        <v>Global</v>
      </c>
      <c r="D33" s="10" t="str">
        <f ca="1"/>
        <v>CU</v>
      </c>
      <c r="E33" s="10" t="str">
        <f ca="1">+IF(ISBLANK(D33),"",_xlfn.XLOOKUP(D33,Countries!A:A,Countries!B:B,""))</f>
        <v>Cuba</v>
      </c>
      <c r="F33" s="10">
        <f t="shared" ca="1" si="3"/>
        <v>188</v>
      </c>
    </row>
    <row r="34" spans="1:6" x14ac:dyDescent="0.25">
      <c r="A34" s="10">
        <f t="shared" ca="1" si="0"/>
        <v>1</v>
      </c>
      <c r="B34" s="10" t="str">
        <f t="shared" ca="1" si="1"/>
        <v>GLBL</v>
      </c>
      <c r="C34" s="10" t="str">
        <f t="shared" ca="1" si="2"/>
        <v>Global</v>
      </c>
      <c r="D34" s="10" t="str">
        <f ca="1"/>
        <v>CV</v>
      </c>
      <c r="E34" s="10" t="str">
        <f ca="1">+IF(ISBLANK(D34),"",_xlfn.XLOOKUP(D34,Countries!A:A,Countries!B:B,""))</f>
        <v>Cape Verde</v>
      </c>
      <c r="F34" s="10">
        <f t="shared" ca="1" si="3"/>
        <v>188</v>
      </c>
    </row>
    <row r="35" spans="1:6" x14ac:dyDescent="0.25">
      <c r="A35" s="10">
        <f t="shared" ca="1" si="0"/>
        <v>1</v>
      </c>
      <c r="B35" s="10" t="str">
        <f t="shared" ca="1" si="1"/>
        <v>GLBL</v>
      </c>
      <c r="C35" s="10" t="str">
        <f t="shared" ca="1" si="2"/>
        <v>Global</v>
      </c>
      <c r="D35" s="10" t="str">
        <f ca="1"/>
        <v>CY</v>
      </c>
      <c r="E35" s="10" t="str">
        <f ca="1">+IF(ISBLANK(D35),"",_xlfn.XLOOKUP(D35,Countries!A:A,Countries!B:B,""))</f>
        <v>Cyprus</v>
      </c>
      <c r="F35" s="10">
        <f t="shared" ca="1" si="3"/>
        <v>188</v>
      </c>
    </row>
    <row r="36" spans="1:6" x14ac:dyDescent="0.25">
      <c r="A36" s="10">
        <f t="shared" ca="1" si="0"/>
        <v>1</v>
      </c>
      <c r="B36" s="10" t="str">
        <f t="shared" ca="1" si="1"/>
        <v>GLBL</v>
      </c>
      <c r="C36" s="10" t="str">
        <f t="shared" ca="1" si="2"/>
        <v>Global</v>
      </c>
      <c r="D36" s="10" t="str">
        <f ca="1"/>
        <v>CZ</v>
      </c>
      <c r="E36" s="10" t="str">
        <f ca="1">+IF(ISBLANK(D36),"",_xlfn.XLOOKUP(D36,Countries!A:A,Countries!B:B,""))</f>
        <v>Czech Republic</v>
      </c>
      <c r="F36" s="10">
        <f t="shared" ca="1" si="3"/>
        <v>188</v>
      </c>
    </row>
    <row r="37" spans="1:6" x14ac:dyDescent="0.25">
      <c r="A37" s="10">
        <f t="shared" ca="1" si="0"/>
        <v>1</v>
      </c>
      <c r="B37" s="10" t="str">
        <f t="shared" ca="1" si="1"/>
        <v>GLBL</v>
      </c>
      <c r="C37" s="10" t="str">
        <f t="shared" ca="1" si="2"/>
        <v>Global</v>
      </c>
      <c r="D37" s="10" t="str">
        <f ca="1"/>
        <v>DE</v>
      </c>
      <c r="E37" s="10" t="str">
        <f ca="1">+IF(ISBLANK(D37),"",_xlfn.XLOOKUP(D37,Countries!A:A,Countries!B:B,""))</f>
        <v>Germany</v>
      </c>
      <c r="F37" s="10">
        <f t="shared" ca="1" si="3"/>
        <v>188</v>
      </c>
    </row>
    <row r="38" spans="1:6" x14ac:dyDescent="0.25">
      <c r="A38" s="10">
        <f t="shared" ca="1" si="0"/>
        <v>1</v>
      </c>
      <c r="B38" s="10" t="str">
        <f t="shared" ca="1" si="1"/>
        <v>GLBL</v>
      </c>
      <c r="C38" s="10" t="str">
        <f t="shared" ca="1" si="2"/>
        <v>Global</v>
      </c>
      <c r="D38" s="10" t="str">
        <f ca="1"/>
        <v>DK</v>
      </c>
      <c r="E38" s="10" t="str">
        <f ca="1">+IF(ISBLANK(D38),"",_xlfn.XLOOKUP(D38,Countries!A:A,Countries!B:B,""))</f>
        <v>Denmark</v>
      </c>
      <c r="F38" s="10">
        <f t="shared" ca="1" si="3"/>
        <v>188</v>
      </c>
    </row>
    <row r="39" spans="1:6" x14ac:dyDescent="0.25">
      <c r="A39" s="10">
        <f t="shared" ca="1" si="0"/>
        <v>1</v>
      </c>
      <c r="B39" s="10" t="str">
        <f t="shared" ca="1" si="1"/>
        <v>GLBL</v>
      </c>
      <c r="C39" s="10" t="str">
        <f t="shared" ca="1" si="2"/>
        <v>Global</v>
      </c>
      <c r="D39" s="10" t="str">
        <f ca="1"/>
        <v>DZ</v>
      </c>
      <c r="E39" s="10" t="str">
        <f ca="1">+IF(ISBLANK(D39),"",_xlfn.XLOOKUP(D39,Countries!A:A,Countries!B:B,""))</f>
        <v>Algeria</v>
      </c>
      <c r="F39" s="10">
        <f t="shared" ca="1" si="3"/>
        <v>188</v>
      </c>
    </row>
    <row r="40" spans="1:6" x14ac:dyDescent="0.25">
      <c r="A40" s="10">
        <f t="shared" ca="1" si="0"/>
        <v>1</v>
      </c>
      <c r="B40" s="10" t="str">
        <f t="shared" ca="1" si="1"/>
        <v>GLBL</v>
      </c>
      <c r="C40" s="10" t="str">
        <f t="shared" ca="1" si="2"/>
        <v>Global</v>
      </c>
      <c r="D40" s="10" t="str">
        <f ca="1"/>
        <v>EC</v>
      </c>
      <c r="E40" s="10" t="str">
        <f ca="1">+IF(ISBLANK(D40),"",_xlfn.XLOOKUP(D40,Countries!A:A,Countries!B:B,""))</f>
        <v>Ecuador</v>
      </c>
      <c r="F40" s="10">
        <f t="shared" ca="1" si="3"/>
        <v>188</v>
      </c>
    </row>
    <row r="41" spans="1:6" x14ac:dyDescent="0.25">
      <c r="A41" s="10">
        <f t="shared" ca="1" si="0"/>
        <v>1</v>
      </c>
      <c r="B41" s="10" t="str">
        <f t="shared" ca="1" si="1"/>
        <v>GLBL</v>
      </c>
      <c r="C41" s="10" t="str">
        <f t="shared" ca="1" si="2"/>
        <v>Global</v>
      </c>
      <c r="D41" s="10" t="str">
        <f ca="1"/>
        <v>EE</v>
      </c>
      <c r="E41" s="10" t="str">
        <f ca="1">+IF(ISBLANK(D41),"",_xlfn.XLOOKUP(D41,Countries!A:A,Countries!B:B,""))</f>
        <v>Estonia</v>
      </c>
      <c r="F41" s="10">
        <f t="shared" ca="1" si="3"/>
        <v>188</v>
      </c>
    </row>
    <row r="42" spans="1:6" x14ac:dyDescent="0.25">
      <c r="A42" s="10">
        <f t="shared" ca="1" si="0"/>
        <v>1</v>
      </c>
      <c r="B42" s="10" t="str">
        <f t="shared" ca="1" si="1"/>
        <v>GLBL</v>
      </c>
      <c r="C42" s="10" t="str">
        <f t="shared" ca="1" si="2"/>
        <v>Global</v>
      </c>
      <c r="D42" s="10" t="str">
        <f ca="1"/>
        <v>EG</v>
      </c>
      <c r="E42" s="10" t="str">
        <f ca="1">+IF(ISBLANK(D42),"",_xlfn.XLOOKUP(D42,Countries!A:A,Countries!B:B,""))</f>
        <v>Egypt</v>
      </c>
      <c r="F42" s="10">
        <f t="shared" ca="1" si="3"/>
        <v>188</v>
      </c>
    </row>
    <row r="43" spans="1:6" x14ac:dyDescent="0.25">
      <c r="A43" s="10">
        <f t="shared" ca="1" si="0"/>
        <v>1</v>
      </c>
      <c r="B43" s="10" t="str">
        <f t="shared" ca="1" si="1"/>
        <v>GLBL</v>
      </c>
      <c r="C43" s="10" t="str">
        <f t="shared" ca="1" si="2"/>
        <v>Global</v>
      </c>
      <c r="D43" s="10" t="str">
        <f ca="1"/>
        <v>ES</v>
      </c>
      <c r="E43" s="10" t="str">
        <f ca="1">+IF(ISBLANK(D43),"",_xlfn.XLOOKUP(D43,Countries!A:A,Countries!B:B,""))</f>
        <v>Spain</v>
      </c>
      <c r="F43" s="10">
        <f t="shared" ca="1" si="3"/>
        <v>188</v>
      </c>
    </row>
    <row r="44" spans="1:6" x14ac:dyDescent="0.25">
      <c r="A44" s="10">
        <f t="shared" ca="1" si="0"/>
        <v>1</v>
      </c>
      <c r="B44" s="10" t="str">
        <f t="shared" ca="1" si="1"/>
        <v>GLBL</v>
      </c>
      <c r="C44" s="10" t="str">
        <f t="shared" ca="1" si="2"/>
        <v>Global</v>
      </c>
      <c r="D44" s="10" t="str">
        <f ca="1"/>
        <v>ET</v>
      </c>
      <c r="E44" s="10" t="str">
        <f ca="1">+IF(ISBLANK(D44),"",_xlfn.XLOOKUP(D44,Countries!A:A,Countries!B:B,""))</f>
        <v>Ethiopia</v>
      </c>
      <c r="F44" s="10">
        <f t="shared" ca="1" si="3"/>
        <v>188</v>
      </c>
    </row>
    <row r="45" spans="1:6" x14ac:dyDescent="0.25">
      <c r="A45" s="10">
        <f t="shared" ca="1" si="0"/>
        <v>1</v>
      </c>
      <c r="B45" s="10" t="str">
        <f t="shared" ca="1" si="1"/>
        <v>GLBL</v>
      </c>
      <c r="C45" s="10" t="str">
        <f t="shared" ca="1" si="2"/>
        <v>Global</v>
      </c>
      <c r="D45" s="10" t="str">
        <f ca="1"/>
        <v>FI</v>
      </c>
      <c r="E45" s="10" t="str">
        <f ca="1">+IF(ISBLANK(D45),"",_xlfn.XLOOKUP(D45,Countries!A:A,Countries!B:B,""))</f>
        <v>Finland</v>
      </c>
      <c r="F45" s="10">
        <f t="shared" ca="1" si="3"/>
        <v>188</v>
      </c>
    </row>
    <row r="46" spans="1:6" x14ac:dyDescent="0.25">
      <c r="A46" s="10">
        <f t="shared" ca="1" si="0"/>
        <v>1</v>
      </c>
      <c r="B46" s="10" t="str">
        <f t="shared" ca="1" si="1"/>
        <v>GLBL</v>
      </c>
      <c r="C46" s="10" t="str">
        <f t="shared" ca="1" si="2"/>
        <v>Global</v>
      </c>
      <c r="D46" s="10" t="str">
        <f ca="1"/>
        <v>FJ</v>
      </c>
      <c r="E46" s="10" t="str">
        <f ca="1">+IF(ISBLANK(D46),"",_xlfn.XLOOKUP(D46,Countries!A:A,Countries!B:B,""))</f>
        <v>Fiji</v>
      </c>
      <c r="F46" s="10">
        <f t="shared" ca="1" si="3"/>
        <v>188</v>
      </c>
    </row>
    <row r="47" spans="1:6" x14ac:dyDescent="0.25">
      <c r="A47" s="10">
        <f t="shared" ca="1" si="0"/>
        <v>1</v>
      </c>
      <c r="B47" s="10" t="str">
        <f t="shared" ca="1" si="1"/>
        <v>GLBL</v>
      </c>
      <c r="C47" s="10" t="str">
        <f t="shared" ca="1" si="2"/>
        <v>Global</v>
      </c>
      <c r="D47" s="10" t="str">
        <f ca="1"/>
        <v>FO</v>
      </c>
      <c r="E47" s="10" t="str">
        <f ca="1">+IF(ISBLANK(D47),"",_xlfn.XLOOKUP(D47,Countries!A:A,Countries!B:B,""))</f>
        <v>Faroe Islands</v>
      </c>
      <c r="F47" s="10">
        <f t="shared" ca="1" si="3"/>
        <v>188</v>
      </c>
    </row>
    <row r="48" spans="1:6" x14ac:dyDescent="0.25">
      <c r="A48" s="10">
        <f t="shared" ca="1" si="0"/>
        <v>1</v>
      </c>
      <c r="B48" s="10" t="str">
        <f t="shared" ca="1" si="1"/>
        <v>GLBL</v>
      </c>
      <c r="C48" s="10" t="str">
        <f t="shared" ca="1" si="2"/>
        <v>Global</v>
      </c>
      <c r="D48" s="10" t="str">
        <f ca="1"/>
        <v>FR</v>
      </c>
      <c r="E48" s="10" t="str">
        <f ca="1">+IF(ISBLANK(D48),"",_xlfn.XLOOKUP(D48,Countries!A:A,Countries!B:B,""))</f>
        <v>France</v>
      </c>
      <c r="F48" s="10">
        <f t="shared" ca="1" si="3"/>
        <v>188</v>
      </c>
    </row>
    <row r="49" spans="1:6" x14ac:dyDescent="0.25">
      <c r="A49" s="10">
        <f t="shared" ca="1" si="0"/>
        <v>1</v>
      </c>
      <c r="B49" s="10" t="str">
        <f t="shared" ca="1" si="1"/>
        <v>GLBL</v>
      </c>
      <c r="C49" s="10" t="str">
        <f t="shared" ca="1" si="2"/>
        <v>Global</v>
      </c>
      <c r="D49" s="10" t="str">
        <f ca="1"/>
        <v>GB</v>
      </c>
      <c r="E49" s="10" t="str">
        <f ca="1">+IF(ISBLANK(D49),"",_xlfn.XLOOKUP(D49,Countries!A:A,Countries!B:B,""))</f>
        <v>United Kingdom</v>
      </c>
      <c r="F49" s="10">
        <f t="shared" ca="1" si="3"/>
        <v>188</v>
      </c>
    </row>
    <row r="50" spans="1:6" x14ac:dyDescent="0.25">
      <c r="A50" s="10">
        <f t="shared" ca="1" si="0"/>
        <v>1</v>
      </c>
      <c r="B50" s="10" t="str">
        <f t="shared" ca="1" si="1"/>
        <v>GLBL</v>
      </c>
      <c r="C50" s="10" t="str">
        <f t="shared" ca="1" si="2"/>
        <v>Global</v>
      </c>
      <c r="D50" s="10" t="str">
        <f ca="1"/>
        <v>GE</v>
      </c>
      <c r="E50" s="10" t="str">
        <f ca="1">+IF(ISBLANK(D50),"",_xlfn.XLOOKUP(D50,Countries!A:A,Countries!B:B,""))</f>
        <v>Georgia</v>
      </c>
      <c r="F50" s="10">
        <f t="shared" ca="1" si="3"/>
        <v>188</v>
      </c>
    </row>
    <row r="51" spans="1:6" x14ac:dyDescent="0.25">
      <c r="A51" s="10">
        <f t="shared" ca="1" si="0"/>
        <v>1</v>
      </c>
      <c r="B51" s="10" t="str">
        <f t="shared" ca="1" si="1"/>
        <v>GLBL</v>
      </c>
      <c r="C51" s="10" t="str">
        <f t="shared" ca="1" si="2"/>
        <v>Global</v>
      </c>
      <c r="D51" s="10" t="str">
        <f ca="1"/>
        <v>GG</v>
      </c>
      <c r="E51" s="10" t="str">
        <f ca="1">+IF(ISBLANK(D51),"",_xlfn.XLOOKUP(D51,Countries!A:A,Countries!B:B,""))</f>
        <v>Guernsey</v>
      </c>
      <c r="F51" s="10">
        <f t="shared" ca="1" si="3"/>
        <v>188</v>
      </c>
    </row>
    <row r="52" spans="1:6" x14ac:dyDescent="0.25">
      <c r="A52" s="10">
        <f t="shared" ca="1" si="0"/>
        <v>1</v>
      </c>
      <c r="B52" s="10" t="str">
        <f t="shared" ca="1" si="1"/>
        <v>GLBL</v>
      </c>
      <c r="C52" s="10" t="str">
        <f t="shared" ca="1" si="2"/>
        <v>Global</v>
      </c>
      <c r="D52" s="10" t="str">
        <f ca="1"/>
        <v>GH</v>
      </c>
      <c r="E52" s="10" t="str">
        <f ca="1">+IF(ISBLANK(D52),"",_xlfn.XLOOKUP(D52,Countries!A:A,Countries!B:B,""))</f>
        <v>Ghana</v>
      </c>
      <c r="F52" s="10">
        <f t="shared" ca="1" si="3"/>
        <v>188</v>
      </c>
    </row>
    <row r="53" spans="1:6" x14ac:dyDescent="0.25">
      <c r="A53" s="10">
        <f t="shared" ca="1" si="0"/>
        <v>1</v>
      </c>
      <c r="B53" s="10" t="str">
        <f t="shared" ca="1" si="1"/>
        <v>GLBL</v>
      </c>
      <c r="C53" s="10" t="str">
        <f t="shared" ca="1" si="2"/>
        <v>Global</v>
      </c>
      <c r="D53" s="10" t="str">
        <f ca="1"/>
        <v>GL</v>
      </c>
      <c r="E53" s="10" t="str">
        <f ca="1">+IF(ISBLANK(D53),"",_xlfn.XLOOKUP(D53,Countries!A:A,Countries!B:B,""))</f>
        <v>Greenland</v>
      </c>
      <c r="F53" s="10">
        <f t="shared" ca="1" si="3"/>
        <v>188</v>
      </c>
    </row>
    <row r="54" spans="1:6" x14ac:dyDescent="0.25">
      <c r="A54" s="10">
        <f t="shared" ca="1" si="0"/>
        <v>1</v>
      </c>
      <c r="B54" s="10" t="str">
        <f t="shared" ca="1" si="1"/>
        <v>GLBL</v>
      </c>
      <c r="C54" s="10" t="str">
        <f t="shared" ca="1" si="2"/>
        <v>Global</v>
      </c>
      <c r="D54" s="10" t="str">
        <f ca="1"/>
        <v>GM</v>
      </c>
      <c r="E54" s="10" t="str">
        <f ca="1">+IF(ISBLANK(D54),"",_xlfn.XLOOKUP(D54,Countries!A:A,Countries!B:B,""))</f>
        <v>Gambia</v>
      </c>
      <c r="F54" s="10">
        <f t="shared" ca="1" si="3"/>
        <v>188</v>
      </c>
    </row>
    <row r="55" spans="1:6" x14ac:dyDescent="0.25">
      <c r="A55" s="10">
        <f t="shared" ca="1" si="0"/>
        <v>1</v>
      </c>
      <c r="B55" s="10" t="str">
        <f t="shared" ca="1" si="1"/>
        <v>GLBL</v>
      </c>
      <c r="C55" s="10" t="str">
        <f t="shared" ca="1" si="2"/>
        <v>Global</v>
      </c>
      <c r="D55" s="10" t="str">
        <f ca="1"/>
        <v>GP</v>
      </c>
      <c r="E55" s="10" t="str">
        <f ca="1">+IF(ISBLANK(D55),"",_xlfn.XLOOKUP(D55,Countries!A:A,Countries!B:B,""))</f>
        <v>Guadeloupe</v>
      </c>
      <c r="F55" s="10">
        <f t="shared" ca="1" si="3"/>
        <v>188</v>
      </c>
    </row>
    <row r="56" spans="1:6" x14ac:dyDescent="0.25">
      <c r="A56" s="10">
        <f t="shared" ca="1" si="0"/>
        <v>1</v>
      </c>
      <c r="B56" s="10" t="str">
        <f t="shared" ca="1" si="1"/>
        <v>GLBL</v>
      </c>
      <c r="C56" s="10" t="str">
        <f t="shared" ca="1" si="2"/>
        <v>Global</v>
      </c>
      <c r="D56" s="10" t="str">
        <f ca="1"/>
        <v>GR</v>
      </c>
      <c r="E56" s="10" t="str">
        <f ca="1">+IF(ISBLANK(D56),"",_xlfn.XLOOKUP(D56,Countries!A:A,Countries!B:B,""))</f>
        <v>Greece</v>
      </c>
      <c r="F56" s="10">
        <f t="shared" ca="1" si="3"/>
        <v>188</v>
      </c>
    </row>
    <row r="57" spans="1:6" x14ac:dyDescent="0.25">
      <c r="A57" s="10">
        <f t="shared" ca="1" si="0"/>
        <v>1</v>
      </c>
      <c r="B57" s="10" t="str">
        <f t="shared" ca="1" si="1"/>
        <v>GLBL</v>
      </c>
      <c r="C57" s="10" t="str">
        <f t="shared" ca="1" si="2"/>
        <v>Global</v>
      </c>
      <c r="D57" s="10" t="str">
        <f ca="1"/>
        <v>GT</v>
      </c>
      <c r="E57" s="10" t="str">
        <f ca="1">+IF(ISBLANK(D57),"",_xlfn.XLOOKUP(D57,Countries!A:A,Countries!B:B,""))</f>
        <v>Guatemala</v>
      </c>
      <c r="F57" s="10">
        <f t="shared" ca="1" si="3"/>
        <v>188</v>
      </c>
    </row>
    <row r="58" spans="1:6" x14ac:dyDescent="0.25">
      <c r="A58" s="10">
        <f t="shared" ca="1" si="0"/>
        <v>1</v>
      </c>
      <c r="B58" s="10" t="str">
        <f t="shared" ca="1" si="1"/>
        <v>GLBL</v>
      </c>
      <c r="C58" s="10" t="str">
        <f t="shared" ca="1" si="2"/>
        <v>Global</v>
      </c>
      <c r="D58" s="10" t="str">
        <f ca="1"/>
        <v>HK</v>
      </c>
      <c r="E58" s="10" t="str">
        <f ca="1">+IF(ISBLANK(D58),"",_xlfn.XLOOKUP(D58,Countries!A:A,Countries!B:B,""))</f>
        <v>Hong Kong</v>
      </c>
      <c r="F58" s="10">
        <f t="shared" ca="1" si="3"/>
        <v>188</v>
      </c>
    </row>
    <row r="59" spans="1:6" x14ac:dyDescent="0.25">
      <c r="A59" s="10">
        <f t="shared" ca="1" si="0"/>
        <v>1</v>
      </c>
      <c r="B59" s="10" t="str">
        <f t="shared" ca="1" si="1"/>
        <v>GLBL</v>
      </c>
      <c r="C59" s="10" t="str">
        <f t="shared" ca="1" si="2"/>
        <v>Global</v>
      </c>
      <c r="D59" s="10" t="str">
        <f ca="1"/>
        <v>HR</v>
      </c>
      <c r="E59" s="10" t="str">
        <f ca="1">+IF(ISBLANK(D59),"",_xlfn.XLOOKUP(D59,Countries!A:A,Countries!B:B,""))</f>
        <v>Croatia</v>
      </c>
      <c r="F59" s="10">
        <f t="shared" ca="1" si="3"/>
        <v>188</v>
      </c>
    </row>
    <row r="60" spans="1:6" x14ac:dyDescent="0.25">
      <c r="A60" s="10">
        <f t="shared" ca="1" si="0"/>
        <v>1</v>
      </c>
      <c r="B60" s="10" t="str">
        <f t="shared" ca="1" si="1"/>
        <v>GLBL</v>
      </c>
      <c r="C60" s="10" t="str">
        <f t="shared" ca="1" si="2"/>
        <v>Global</v>
      </c>
      <c r="D60" s="10" t="str">
        <f ca="1"/>
        <v>HU</v>
      </c>
      <c r="E60" s="10" t="str">
        <f ca="1">+IF(ISBLANK(D60),"",_xlfn.XLOOKUP(D60,Countries!A:A,Countries!B:B,""))</f>
        <v>Hungary</v>
      </c>
      <c r="F60" s="10">
        <f t="shared" ca="1" si="3"/>
        <v>188</v>
      </c>
    </row>
    <row r="61" spans="1:6" x14ac:dyDescent="0.25">
      <c r="A61" s="10">
        <f t="shared" ca="1" si="0"/>
        <v>1</v>
      </c>
      <c r="B61" s="10" t="str">
        <f t="shared" ca="1" si="1"/>
        <v>GLBL</v>
      </c>
      <c r="C61" s="10" t="str">
        <f t="shared" ca="1" si="2"/>
        <v>Global</v>
      </c>
      <c r="D61" s="10" t="str">
        <f ca="1"/>
        <v>ID</v>
      </c>
      <c r="E61" s="10" t="str">
        <f ca="1">+IF(ISBLANK(D61),"",_xlfn.XLOOKUP(D61,Countries!A:A,Countries!B:B,""))</f>
        <v>Indonesia</v>
      </c>
      <c r="F61" s="10">
        <f t="shared" ca="1" si="3"/>
        <v>188</v>
      </c>
    </row>
    <row r="62" spans="1:6" x14ac:dyDescent="0.25">
      <c r="A62" s="10">
        <f t="shared" ca="1" si="0"/>
        <v>1</v>
      </c>
      <c r="B62" s="10" t="str">
        <f t="shared" ca="1" si="1"/>
        <v>GLBL</v>
      </c>
      <c r="C62" s="10" t="str">
        <f t="shared" ca="1" si="2"/>
        <v>Global</v>
      </c>
      <c r="D62" s="10" t="str">
        <f ca="1"/>
        <v>IE</v>
      </c>
      <c r="E62" s="10" t="str">
        <f ca="1">+IF(ISBLANK(D62),"",_xlfn.XLOOKUP(D62,Countries!A:A,Countries!B:B,""))</f>
        <v>Ireland</v>
      </c>
      <c r="F62" s="10">
        <f t="shared" ca="1" si="3"/>
        <v>188</v>
      </c>
    </row>
    <row r="63" spans="1:6" x14ac:dyDescent="0.25">
      <c r="A63" s="10">
        <f t="shared" ca="1" si="0"/>
        <v>1</v>
      </c>
      <c r="B63" s="10" t="str">
        <f t="shared" ca="1" si="1"/>
        <v>GLBL</v>
      </c>
      <c r="C63" s="10" t="str">
        <f t="shared" ca="1" si="2"/>
        <v>Global</v>
      </c>
      <c r="D63" s="10" t="str">
        <f ca="1"/>
        <v>IL</v>
      </c>
      <c r="E63" s="10" t="str">
        <f ca="1">+IF(ISBLANK(D63),"",_xlfn.XLOOKUP(D63,Countries!A:A,Countries!B:B,""))</f>
        <v>Israel</v>
      </c>
      <c r="F63" s="10">
        <f t="shared" ca="1" si="3"/>
        <v>188</v>
      </c>
    </row>
    <row r="64" spans="1:6" x14ac:dyDescent="0.25">
      <c r="A64" s="10">
        <f t="shared" ca="1" si="0"/>
        <v>1</v>
      </c>
      <c r="B64" s="10" t="str">
        <f t="shared" ca="1" si="1"/>
        <v>GLBL</v>
      </c>
      <c r="C64" s="10" t="str">
        <f t="shared" ca="1" si="2"/>
        <v>Global</v>
      </c>
      <c r="D64" s="10" t="str">
        <f ca="1"/>
        <v>IN</v>
      </c>
      <c r="E64" s="10" t="str">
        <f ca="1">+IF(ISBLANK(D64),"",_xlfn.XLOOKUP(D64,Countries!A:A,Countries!B:B,""))</f>
        <v>India</v>
      </c>
      <c r="F64" s="10">
        <f t="shared" ca="1" si="3"/>
        <v>188</v>
      </c>
    </row>
    <row r="65" spans="1:6" x14ac:dyDescent="0.25">
      <c r="A65" s="10">
        <f t="shared" ca="1" si="0"/>
        <v>1</v>
      </c>
      <c r="B65" s="10" t="str">
        <f t="shared" ca="1" si="1"/>
        <v>GLBL</v>
      </c>
      <c r="C65" s="10" t="str">
        <f t="shared" ca="1" si="2"/>
        <v>Global</v>
      </c>
      <c r="D65" s="10" t="str">
        <f ca="1"/>
        <v>IQ</v>
      </c>
      <c r="E65" s="10" t="str">
        <f ca="1">+IF(ISBLANK(D65),"",_xlfn.XLOOKUP(D65,Countries!A:A,Countries!B:B,""))</f>
        <v>Iraq</v>
      </c>
      <c r="F65" s="10">
        <f t="shared" ca="1" si="3"/>
        <v>188</v>
      </c>
    </row>
    <row r="66" spans="1:6" x14ac:dyDescent="0.25">
      <c r="A66" s="10">
        <f t="shared" ca="1" si="0"/>
        <v>1</v>
      </c>
      <c r="B66" s="10" t="str">
        <f t="shared" ca="1" si="1"/>
        <v>GLBL</v>
      </c>
      <c r="C66" s="10" t="str">
        <f t="shared" ca="1" si="2"/>
        <v>Global</v>
      </c>
      <c r="D66" s="10" t="str">
        <f ca="1"/>
        <v>IR</v>
      </c>
      <c r="E66" s="10" t="str">
        <f ca="1">+IF(ISBLANK(D66),"",_xlfn.XLOOKUP(D66,Countries!A:A,Countries!B:B,""))</f>
        <v>Iran</v>
      </c>
      <c r="F66" s="10">
        <f t="shared" ca="1" si="3"/>
        <v>188</v>
      </c>
    </row>
    <row r="67" spans="1:6" x14ac:dyDescent="0.25">
      <c r="A67" s="10">
        <f t="shared" ca="1" si="0"/>
        <v>1</v>
      </c>
      <c r="B67" s="10" t="str">
        <f t="shared" ca="1" si="1"/>
        <v>GLBL</v>
      </c>
      <c r="C67" s="10" t="str">
        <f t="shared" ca="1" si="2"/>
        <v>Global</v>
      </c>
      <c r="D67" s="10" t="str">
        <f ca="1"/>
        <v>IS</v>
      </c>
      <c r="E67" s="10" t="str">
        <f ca="1">+IF(ISBLANK(D67),"",_xlfn.XLOOKUP(D67,Countries!A:A,Countries!B:B,""))</f>
        <v>Iceland</v>
      </c>
      <c r="F67" s="10">
        <f t="shared" ca="1" si="3"/>
        <v>188</v>
      </c>
    </row>
    <row r="68" spans="1:6" x14ac:dyDescent="0.25">
      <c r="A68" s="10">
        <f t="shared" ref="A68:A131" ca="1" si="4">+IF(ISBLANK(D68),"",A67)</f>
        <v>1</v>
      </c>
      <c r="B68" s="10" t="str">
        <f t="shared" ref="B68:B131" ca="1" si="5">+IF(ISBLANK(D68),"",B67)</f>
        <v>GLBL</v>
      </c>
      <c r="C68" s="10" t="str">
        <f t="shared" ref="C68:C131" ca="1" si="6">+IF(ISBLANK(D68),"",C67)</f>
        <v>Global</v>
      </c>
      <c r="D68" s="10" t="str">
        <f ca="1"/>
        <v>IT</v>
      </c>
      <c r="E68" s="10" t="str">
        <f ca="1">+IF(ISBLANK(D68),"",_xlfn.XLOOKUP(D68,Countries!A:A,Countries!B:B,""))</f>
        <v>Italy</v>
      </c>
      <c r="F68" s="10">
        <f t="shared" ref="F68:F131" ca="1" si="7">+IF(ISBLANK(D68),"",F67)</f>
        <v>188</v>
      </c>
    </row>
    <row r="69" spans="1:6" x14ac:dyDescent="0.25">
      <c r="A69" s="10">
        <f t="shared" ca="1" si="4"/>
        <v>1</v>
      </c>
      <c r="B69" s="10" t="str">
        <f t="shared" ca="1" si="5"/>
        <v>GLBL</v>
      </c>
      <c r="C69" s="10" t="str">
        <f t="shared" ca="1" si="6"/>
        <v>Global</v>
      </c>
      <c r="D69" s="10" t="str">
        <f ca="1"/>
        <v>JE</v>
      </c>
      <c r="E69" s="10" t="str">
        <f ca="1">+IF(ISBLANK(D69),"",_xlfn.XLOOKUP(D69,Countries!A:A,Countries!B:B,""))</f>
        <v>Jersey</v>
      </c>
      <c r="F69" s="10">
        <f t="shared" ca="1" si="7"/>
        <v>188</v>
      </c>
    </row>
    <row r="70" spans="1:6" x14ac:dyDescent="0.25">
      <c r="A70" s="10">
        <f t="shared" ca="1" si="4"/>
        <v>1</v>
      </c>
      <c r="B70" s="10" t="str">
        <f t="shared" ca="1" si="5"/>
        <v>GLBL</v>
      </c>
      <c r="C70" s="10" t="str">
        <f t="shared" ca="1" si="6"/>
        <v>Global</v>
      </c>
      <c r="D70" s="10" t="str">
        <f ca="1"/>
        <v>JM</v>
      </c>
      <c r="E70" s="10" t="str">
        <f ca="1">+IF(ISBLANK(D70),"",_xlfn.XLOOKUP(D70,Countries!A:A,Countries!B:B,""))</f>
        <v>Jamaica</v>
      </c>
      <c r="F70" s="10">
        <f t="shared" ca="1" si="7"/>
        <v>188</v>
      </c>
    </row>
    <row r="71" spans="1:6" x14ac:dyDescent="0.25">
      <c r="A71" s="10">
        <f t="shared" ca="1" si="4"/>
        <v>1</v>
      </c>
      <c r="B71" s="10" t="str">
        <f t="shared" ca="1" si="5"/>
        <v>GLBL</v>
      </c>
      <c r="C71" s="10" t="str">
        <f t="shared" ca="1" si="6"/>
        <v>Global</v>
      </c>
      <c r="D71" s="10" t="str">
        <f ca="1"/>
        <v>JO</v>
      </c>
      <c r="E71" s="10" t="str">
        <f ca="1">+IF(ISBLANK(D71),"",_xlfn.XLOOKUP(D71,Countries!A:A,Countries!B:B,""))</f>
        <v>Jordan</v>
      </c>
      <c r="F71" s="10">
        <f t="shared" ca="1" si="7"/>
        <v>188</v>
      </c>
    </row>
    <row r="72" spans="1:6" x14ac:dyDescent="0.25">
      <c r="A72" s="10">
        <f t="shared" ca="1" si="4"/>
        <v>1</v>
      </c>
      <c r="B72" s="10" t="str">
        <f t="shared" ca="1" si="5"/>
        <v>GLBL</v>
      </c>
      <c r="C72" s="10" t="str">
        <f t="shared" ca="1" si="6"/>
        <v>Global</v>
      </c>
      <c r="D72" s="10" t="str">
        <f ca="1"/>
        <v>JP</v>
      </c>
      <c r="E72" s="10" t="str">
        <f ca="1">+IF(ISBLANK(D72),"",_xlfn.XLOOKUP(D72,Countries!A:A,Countries!B:B,""))</f>
        <v>Japan</v>
      </c>
      <c r="F72" s="10">
        <f t="shared" ca="1" si="7"/>
        <v>188</v>
      </c>
    </row>
    <row r="73" spans="1:6" x14ac:dyDescent="0.25">
      <c r="A73" s="10">
        <f t="shared" ca="1" si="4"/>
        <v>1</v>
      </c>
      <c r="B73" s="10" t="str">
        <f t="shared" ca="1" si="5"/>
        <v>GLBL</v>
      </c>
      <c r="C73" s="10" t="str">
        <f t="shared" ca="1" si="6"/>
        <v>Global</v>
      </c>
      <c r="D73" s="10" t="str">
        <f ca="1"/>
        <v>KE</v>
      </c>
      <c r="E73" s="10" t="str">
        <f ca="1">+IF(ISBLANK(D73),"",_xlfn.XLOOKUP(D73,Countries!A:A,Countries!B:B,""))</f>
        <v>Kenya</v>
      </c>
      <c r="F73" s="10">
        <f t="shared" ca="1" si="7"/>
        <v>188</v>
      </c>
    </row>
    <row r="74" spans="1:6" x14ac:dyDescent="0.25">
      <c r="A74" s="10">
        <f t="shared" ca="1" si="4"/>
        <v>1</v>
      </c>
      <c r="B74" s="10" t="str">
        <f t="shared" ca="1" si="5"/>
        <v>GLBL</v>
      </c>
      <c r="C74" s="10" t="str">
        <f t="shared" ca="1" si="6"/>
        <v>Global</v>
      </c>
      <c r="D74" s="10" t="str">
        <f ca="1"/>
        <v>KG</v>
      </c>
      <c r="E74" s="10" t="str">
        <f ca="1">+IF(ISBLANK(D74),"",_xlfn.XLOOKUP(D74,Countries!A:A,Countries!B:B,""))</f>
        <v>Kyrgyzstan</v>
      </c>
      <c r="F74" s="10">
        <f t="shared" ca="1" si="7"/>
        <v>188</v>
      </c>
    </row>
    <row r="75" spans="1:6" x14ac:dyDescent="0.25">
      <c r="A75" s="10">
        <f t="shared" ca="1" si="4"/>
        <v>1</v>
      </c>
      <c r="B75" s="10" t="str">
        <f t="shared" ca="1" si="5"/>
        <v>GLBL</v>
      </c>
      <c r="C75" s="10" t="str">
        <f t="shared" ca="1" si="6"/>
        <v>Global</v>
      </c>
      <c r="D75" s="10" t="str">
        <f ca="1"/>
        <v>KH</v>
      </c>
      <c r="E75" s="10" t="str">
        <f ca="1">+IF(ISBLANK(D75),"",_xlfn.XLOOKUP(D75,Countries!A:A,Countries!B:B,""))</f>
        <v>Cambodia</v>
      </c>
      <c r="F75" s="10">
        <f t="shared" ca="1" si="7"/>
        <v>188</v>
      </c>
    </row>
    <row r="76" spans="1:6" x14ac:dyDescent="0.25">
      <c r="A76" s="10">
        <f t="shared" ca="1" si="4"/>
        <v>1</v>
      </c>
      <c r="B76" s="10" t="str">
        <f t="shared" ca="1" si="5"/>
        <v>GLBL</v>
      </c>
      <c r="C76" s="10" t="str">
        <f t="shared" ca="1" si="6"/>
        <v>Global</v>
      </c>
      <c r="D76" s="10" t="str">
        <f ca="1"/>
        <v>KN</v>
      </c>
      <c r="E76" s="10" t="str">
        <f ca="1">+IF(ISBLANK(D76),"",_xlfn.XLOOKUP(D76,Countries!A:A,Countries!B:B,""))</f>
        <v>Saint Kitts and Nevis</v>
      </c>
      <c r="F76" s="10">
        <f t="shared" ca="1" si="7"/>
        <v>188</v>
      </c>
    </row>
    <row r="77" spans="1:6" x14ac:dyDescent="0.25">
      <c r="A77" s="10">
        <f t="shared" ca="1" si="4"/>
        <v>1</v>
      </c>
      <c r="B77" s="10" t="str">
        <f t="shared" ca="1" si="5"/>
        <v>GLBL</v>
      </c>
      <c r="C77" s="10" t="str">
        <f t="shared" ca="1" si="6"/>
        <v>Global</v>
      </c>
      <c r="D77" s="10" t="str">
        <f ca="1"/>
        <v>KR</v>
      </c>
      <c r="E77" s="10" t="str">
        <f ca="1">+IF(ISBLANK(D77),"",_xlfn.XLOOKUP(D77,Countries!A:A,Countries!B:B,""))</f>
        <v>South Korea</v>
      </c>
      <c r="F77" s="10">
        <f t="shared" ca="1" si="7"/>
        <v>188</v>
      </c>
    </row>
    <row r="78" spans="1:6" x14ac:dyDescent="0.25">
      <c r="A78" s="10">
        <f t="shared" ca="1" si="4"/>
        <v>1</v>
      </c>
      <c r="B78" s="10" t="str">
        <f t="shared" ca="1" si="5"/>
        <v>GLBL</v>
      </c>
      <c r="C78" s="10" t="str">
        <f t="shared" ca="1" si="6"/>
        <v>Global</v>
      </c>
      <c r="D78" s="10" t="str">
        <f ca="1"/>
        <v>KW</v>
      </c>
      <c r="E78" s="10" t="str">
        <f ca="1">+IF(ISBLANK(D78),"",_xlfn.XLOOKUP(D78,Countries!A:A,Countries!B:B,""))</f>
        <v>Kuwait</v>
      </c>
      <c r="F78" s="10">
        <f t="shared" ca="1" si="7"/>
        <v>188</v>
      </c>
    </row>
    <row r="79" spans="1:6" x14ac:dyDescent="0.25">
      <c r="A79" s="10">
        <f t="shared" ca="1" si="4"/>
        <v>1</v>
      </c>
      <c r="B79" s="10" t="str">
        <f t="shared" ca="1" si="5"/>
        <v>GLBL</v>
      </c>
      <c r="C79" s="10" t="str">
        <f t="shared" ca="1" si="6"/>
        <v>Global</v>
      </c>
      <c r="D79" s="10" t="str">
        <f ca="1"/>
        <v>KY</v>
      </c>
      <c r="E79" s="10" t="str">
        <f ca="1">+IF(ISBLANK(D79),"",_xlfn.XLOOKUP(D79,Countries!A:A,Countries!B:B,""))</f>
        <v>Cayman Islands</v>
      </c>
      <c r="F79" s="10">
        <f t="shared" ca="1" si="7"/>
        <v>188</v>
      </c>
    </row>
    <row r="80" spans="1:6" x14ac:dyDescent="0.25">
      <c r="A80" s="10">
        <f t="shared" ca="1" si="4"/>
        <v>1</v>
      </c>
      <c r="B80" s="10" t="str">
        <f t="shared" ca="1" si="5"/>
        <v>GLBL</v>
      </c>
      <c r="C80" s="10" t="str">
        <f t="shared" ca="1" si="6"/>
        <v>Global</v>
      </c>
      <c r="D80" s="10" t="str">
        <f ca="1"/>
        <v>KZ</v>
      </c>
      <c r="E80" s="10" t="str">
        <f ca="1">+IF(ISBLANK(D80),"",_xlfn.XLOOKUP(D80,Countries!A:A,Countries!B:B,""))</f>
        <v>Kazakhstan</v>
      </c>
      <c r="F80" s="10">
        <f t="shared" ca="1" si="7"/>
        <v>188</v>
      </c>
    </row>
    <row r="81" spans="1:6" x14ac:dyDescent="0.25">
      <c r="A81" s="10">
        <f t="shared" ca="1" si="4"/>
        <v>1</v>
      </c>
      <c r="B81" s="10" t="str">
        <f t="shared" ca="1" si="5"/>
        <v>GLBL</v>
      </c>
      <c r="C81" s="10" t="str">
        <f t="shared" ca="1" si="6"/>
        <v>Global</v>
      </c>
      <c r="D81" s="10" t="str">
        <f ca="1"/>
        <v>LA</v>
      </c>
      <c r="E81" s="10" t="str">
        <f ca="1">+IF(ISBLANK(D81),"",_xlfn.XLOOKUP(D81,Countries!A:A,Countries!B:B,""))</f>
        <v>Laos</v>
      </c>
      <c r="F81" s="10">
        <f t="shared" ca="1" si="7"/>
        <v>188</v>
      </c>
    </row>
    <row r="82" spans="1:6" x14ac:dyDescent="0.25">
      <c r="A82" s="10">
        <f t="shared" ca="1" si="4"/>
        <v>1</v>
      </c>
      <c r="B82" s="10" t="str">
        <f t="shared" ca="1" si="5"/>
        <v>GLBL</v>
      </c>
      <c r="C82" s="10" t="str">
        <f t="shared" ca="1" si="6"/>
        <v>Global</v>
      </c>
      <c r="D82" s="10" t="str">
        <f ca="1"/>
        <v>LB</v>
      </c>
      <c r="E82" s="10" t="str">
        <f ca="1">+IF(ISBLANK(D82),"",_xlfn.XLOOKUP(D82,Countries!A:A,Countries!B:B,""))</f>
        <v>Lebanon</v>
      </c>
      <c r="F82" s="10">
        <f t="shared" ca="1" si="7"/>
        <v>188</v>
      </c>
    </row>
    <row r="83" spans="1:6" x14ac:dyDescent="0.25">
      <c r="A83" s="10">
        <f t="shared" ca="1" si="4"/>
        <v>1</v>
      </c>
      <c r="B83" s="10" t="str">
        <f t="shared" ca="1" si="5"/>
        <v>GLBL</v>
      </c>
      <c r="C83" s="10" t="str">
        <f t="shared" ca="1" si="6"/>
        <v>Global</v>
      </c>
      <c r="D83" s="10" t="str">
        <f ca="1"/>
        <v>LC</v>
      </c>
      <c r="E83" s="10" t="str">
        <f ca="1">+IF(ISBLANK(D83),"",_xlfn.XLOOKUP(D83,Countries!A:A,Countries!B:B,""))</f>
        <v>Saint Lucia</v>
      </c>
      <c r="F83" s="10">
        <f t="shared" ca="1" si="7"/>
        <v>188</v>
      </c>
    </row>
    <row r="84" spans="1:6" x14ac:dyDescent="0.25">
      <c r="A84" s="10">
        <f t="shared" ca="1" si="4"/>
        <v>1</v>
      </c>
      <c r="B84" s="10" t="str">
        <f t="shared" ca="1" si="5"/>
        <v>GLBL</v>
      </c>
      <c r="C84" s="10" t="str">
        <f t="shared" ca="1" si="6"/>
        <v>Global</v>
      </c>
      <c r="D84" s="10" t="str">
        <f ca="1"/>
        <v>LI</v>
      </c>
      <c r="E84" s="10" t="str">
        <f ca="1">+IF(ISBLANK(D84),"",_xlfn.XLOOKUP(D84,Countries!A:A,Countries!B:B,""))</f>
        <v>Liechtenstein</v>
      </c>
      <c r="F84" s="10">
        <f t="shared" ca="1" si="7"/>
        <v>188</v>
      </c>
    </row>
    <row r="85" spans="1:6" x14ac:dyDescent="0.25">
      <c r="A85" s="10">
        <f t="shared" ca="1" si="4"/>
        <v>1</v>
      </c>
      <c r="B85" s="10" t="str">
        <f t="shared" ca="1" si="5"/>
        <v>GLBL</v>
      </c>
      <c r="C85" s="10" t="str">
        <f t="shared" ca="1" si="6"/>
        <v>Global</v>
      </c>
      <c r="D85" s="10" t="str">
        <f ca="1"/>
        <v>LK</v>
      </c>
      <c r="E85" s="10" t="str">
        <f ca="1">+IF(ISBLANK(D85),"",_xlfn.XLOOKUP(D85,Countries!A:A,Countries!B:B,""))</f>
        <v>Sri Lanka</v>
      </c>
      <c r="F85" s="10">
        <f t="shared" ca="1" si="7"/>
        <v>188</v>
      </c>
    </row>
    <row r="86" spans="1:6" x14ac:dyDescent="0.25">
      <c r="A86" s="10">
        <f t="shared" ca="1" si="4"/>
        <v>1</v>
      </c>
      <c r="B86" s="10" t="str">
        <f t="shared" ca="1" si="5"/>
        <v>GLBL</v>
      </c>
      <c r="C86" s="10" t="str">
        <f t="shared" ca="1" si="6"/>
        <v>Global</v>
      </c>
      <c r="D86" s="10" t="str">
        <f ca="1"/>
        <v>LR</v>
      </c>
      <c r="E86" s="10" t="str">
        <f ca="1">+IF(ISBLANK(D86),"",_xlfn.XLOOKUP(D86,Countries!A:A,Countries!B:B,""))</f>
        <v>Liberia</v>
      </c>
      <c r="F86" s="10">
        <f t="shared" ca="1" si="7"/>
        <v>188</v>
      </c>
    </row>
    <row r="87" spans="1:6" x14ac:dyDescent="0.25">
      <c r="A87" s="10">
        <f t="shared" ca="1" si="4"/>
        <v>1</v>
      </c>
      <c r="B87" s="10" t="str">
        <f t="shared" ca="1" si="5"/>
        <v>GLBL</v>
      </c>
      <c r="C87" s="10" t="str">
        <f t="shared" ca="1" si="6"/>
        <v>Global</v>
      </c>
      <c r="D87" s="10" t="str">
        <f ca="1"/>
        <v>LS</v>
      </c>
      <c r="E87" s="10" t="str">
        <f ca="1">+IF(ISBLANK(D87),"",_xlfn.XLOOKUP(D87,Countries!A:A,Countries!B:B,""))</f>
        <v>Lesotho</v>
      </c>
      <c r="F87" s="10">
        <f t="shared" ca="1" si="7"/>
        <v>188</v>
      </c>
    </row>
    <row r="88" spans="1:6" x14ac:dyDescent="0.25">
      <c r="A88" s="10">
        <f t="shared" ca="1" si="4"/>
        <v>1</v>
      </c>
      <c r="B88" s="10" t="str">
        <f t="shared" ca="1" si="5"/>
        <v>GLBL</v>
      </c>
      <c r="C88" s="10" t="str">
        <f t="shared" ca="1" si="6"/>
        <v>Global</v>
      </c>
      <c r="D88" s="10" t="str">
        <f ca="1"/>
        <v>LT</v>
      </c>
      <c r="E88" s="10" t="str">
        <f ca="1">+IF(ISBLANK(D88),"",_xlfn.XLOOKUP(D88,Countries!A:A,Countries!B:B,""))</f>
        <v>Lithuania</v>
      </c>
      <c r="F88" s="10">
        <f t="shared" ca="1" si="7"/>
        <v>188</v>
      </c>
    </row>
    <row r="89" spans="1:6" x14ac:dyDescent="0.25">
      <c r="A89" s="10">
        <f t="shared" ca="1" si="4"/>
        <v>1</v>
      </c>
      <c r="B89" s="10" t="str">
        <f t="shared" ca="1" si="5"/>
        <v>GLBL</v>
      </c>
      <c r="C89" s="10" t="str">
        <f t="shared" ca="1" si="6"/>
        <v>Global</v>
      </c>
      <c r="D89" s="10" t="str">
        <f ca="1"/>
        <v>LU</v>
      </c>
      <c r="E89" s="10" t="str">
        <f ca="1">+IF(ISBLANK(D89),"",_xlfn.XLOOKUP(D89,Countries!A:A,Countries!B:B,""))</f>
        <v>Luxembourg</v>
      </c>
      <c r="F89" s="10">
        <f t="shared" ca="1" si="7"/>
        <v>188</v>
      </c>
    </row>
    <row r="90" spans="1:6" x14ac:dyDescent="0.25">
      <c r="A90" s="10">
        <f t="shared" ca="1" si="4"/>
        <v>1</v>
      </c>
      <c r="B90" s="10" t="str">
        <f t="shared" ca="1" si="5"/>
        <v>GLBL</v>
      </c>
      <c r="C90" s="10" t="str">
        <f t="shared" ca="1" si="6"/>
        <v>Global</v>
      </c>
      <c r="D90" s="10" t="str">
        <f ca="1"/>
        <v>LV</v>
      </c>
      <c r="E90" s="10" t="str">
        <f ca="1">+IF(ISBLANK(D90),"",_xlfn.XLOOKUP(D90,Countries!A:A,Countries!B:B,""))</f>
        <v>Latvia</v>
      </c>
      <c r="F90" s="10">
        <f t="shared" ca="1" si="7"/>
        <v>188</v>
      </c>
    </row>
    <row r="91" spans="1:6" x14ac:dyDescent="0.25">
      <c r="A91" s="10">
        <f t="shared" ca="1" si="4"/>
        <v>1</v>
      </c>
      <c r="B91" s="10" t="str">
        <f t="shared" ca="1" si="5"/>
        <v>GLBL</v>
      </c>
      <c r="C91" s="10" t="str">
        <f t="shared" ca="1" si="6"/>
        <v>Global</v>
      </c>
      <c r="D91" s="10" t="str">
        <f ca="1"/>
        <v>LY</v>
      </c>
      <c r="E91" s="10" t="str">
        <f ca="1">+IF(ISBLANK(D91),"",_xlfn.XLOOKUP(D91,Countries!A:A,Countries!B:B,""))</f>
        <v>Libya</v>
      </c>
      <c r="F91" s="10">
        <f t="shared" ca="1" si="7"/>
        <v>188</v>
      </c>
    </row>
    <row r="92" spans="1:6" x14ac:dyDescent="0.25">
      <c r="A92" s="10">
        <f t="shared" ca="1" si="4"/>
        <v>1</v>
      </c>
      <c r="B92" s="10" t="str">
        <f t="shared" ca="1" si="5"/>
        <v>GLBL</v>
      </c>
      <c r="C92" s="10" t="str">
        <f t="shared" ca="1" si="6"/>
        <v>Global</v>
      </c>
      <c r="D92" s="10" t="str">
        <f ca="1"/>
        <v>MA</v>
      </c>
      <c r="E92" s="10" t="str">
        <f ca="1">+IF(ISBLANK(D92),"",_xlfn.XLOOKUP(D92,Countries!A:A,Countries!B:B,""))</f>
        <v>Morocco</v>
      </c>
      <c r="F92" s="10">
        <f t="shared" ca="1" si="7"/>
        <v>188</v>
      </c>
    </row>
    <row r="93" spans="1:6" x14ac:dyDescent="0.25">
      <c r="A93" s="10">
        <f t="shared" ca="1" si="4"/>
        <v>1</v>
      </c>
      <c r="B93" s="10" t="str">
        <f t="shared" ca="1" si="5"/>
        <v>GLBL</v>
      </c>
      <c r="C93" s="10" t="str">
        <f t="shared" ca="1" si="6"/>
        <v>Global</v>
      </c>
      <c r="D93" s="10" t="str">
        <f ca="1"/>
        <v>MC</v>
      </c>
      <c r="E93" s="10" t="str">
        <f ca="1">+IF(ISBLANK(D93),"",_xlfn.XLOOKUP(D93,Countries!A:A,Countries!B:B,""))</f>
        <v>Monaco</v>
      </c>
      <c r="F93" s="10">
        <f t="shared" ca="1" si="7"/>
        <v>188</v>
      </c>
    </row>
    <row r="94" spans="1:6" x14ac:dyDescent="0.25">
      <c r="A94" s="10">
        <f t="shared" ca="1" si="4"/>
        <v>1</v>
      </c>
      <c r="B94" s="10" t="str">
        <f t="shared" ca="1" si="5"/>
        <v>GLBL</v>
      </c>
      <c r="C94" s="10" t="str">
        <f t="shared" ca="1" si="6"/>
        <v>Global</v>
      </c>
      <c r="D94" s="10" t="str">
        <f ca="1"/>
        <v>MD</v>
      </c>
      <c r="E94" s="10" t="str">
        <f ca="1">+IF(ISBLANK(D94),"",_xlfn.XLOOKUP(D94,Countries!A:A,Countries!B:B,""))</f>
        <v>Moldova</v>
      </c>
      <c r="F94" s="10">
        <f t="shared" ca="1" si="7"/>
        <v>188</v>
      </c>
    </row>
    <row r="95" spans="1:6" x14ac:dyDescent="0.25">
      <c r="A95" s="10">
        <f t="shared" ca="1" si="4"/>
        <v>1</v>
      </c>
      <c r="B95" s="10" t="str">
        <f t="shared" ca="1" si="5"/>
        <v>GLBL</v>
      </c>
      <c r="C95" s="10" t="str">
        <f t="shared" ca="1" si="6"/>
        <v>Global</v>
      </c>
      <c r="D95" s="10" t="str">
        <f ca="1"/>
        <v>ME</v>
      </c>
      <c r="E95" s="10" t="str">
        <f ca="1">+IF(ISBLANK(D95),"",_xlfn.XLOOKUP(D95,Countries!A:A,Countries!B:B,""))</f>
        <v>Montenegro</v>
      </c>
      <c r="F95" s="10">
        <f t="shared" ca="1" si="7"/>
        <v>188</v>
      </c>
    </row>
    <row r="96" spans="1:6" x14ac:dyDescent="0.25">
      <c r="A96" s="10">
        <f t="shared" ca="1" si="4"/>
        <v>1</v>
      </c>
      <c r="B96" s="10" t="str">
        <f t="shared" ca="1" si="5"/>
        <v>GLBL</v>
      </c>
      <c r="C96" s="10" t="str">
        <f t="shared" ca="1" si="6"/>
        <v>Global</v>
      </c>
      <c r="D96" s="10" t="str">
        <f ca="1"/>
        <v>MK</v>
      </c>
      <c r="E96" s="10" t="str">
        <f ca="1">+IF(ISBLANK(D96),"",_xlfn.XLOOKUP(D96,Countries!A:A,Countries!B:B,""))</f>
        <v>North Macedonia</v>
      </c>
      <c r="F96" s="10">
        <f t="shared" ca="1" si="7"/>
        <v>188</v>
      </c>
    </row>
    <row r="97" spans="1:6" x14ac:dyDescent="0.25">
      <c r="A97" s="10">
        <f t="shared" ca="1" si="4"/>
        <v>1</v>
      </c>
      <c r="B97" s="10" t="str">
        <f t="shared" ca="1" si="5"/>
        <v>GLBL</v>
      </c>
      <c r="C97" s="10" t="str">
        <f t="shared" ca="1" si="6"/>
        <v>Global</v>
      </c>
      <c r="D97" s="10" t="str">
        <f ca="1"/>
        <v>ML</v>
      </c>
      <c r="E97" s="10" t="str">
        <f ca="1">+IF(ISBLANK(D97),"",_xlfn.XLOOKUP(D97,Countries!A:A,Countries!B:B,""))</f>
        <v>Mali</v>
      </c>
      <c r="F97" s="10">
        <f t="shared" ca="1" si="7"/>
        <v>188</v>
      </c>
    </row>
    <row r="98" spans="1:6" x14ac:dyDescent="0.25">
      <c r="A98" s="10">
        <f t="shared" ca="1" si="4"/>
        <v>1</v>
      </c>
      <c r="B98" s="10" t="str">
        <f t="shared" ca="1" si="5"/>
        <v>GLBL</v>
      </c>
      <c r="C98" s="10" t="str">
        <f t="shared" ca="1" si="6"/>
        <v>Global</v>
      </c>
      <c r="D98" s="10" t="str">
        <f ca="1"/>
        <v>MO</v>
      </c>
      <c r="E98" s="10" t="str">
        <f ca="1">+IF(ISBLANK(D98),"",_xlfn.XLOOKUP(D98,Countries!A:A,Countries!B:B,""))</f>
        <v>Macao</v>
      </c>
      <c r="F98" s="10">
        <f t="shared" ca="1" si="7"/>
        <v>188</v>
      </c>
    </row>
    <row r="99" spans="1:6" x14ac:dyDescent="0.25">
      <c r="A99" s="10">
        <f t="shared" ca="1" si="4"/>
        <v>1</v>
      </c>
      <c r="B99" s="10" t="str">
        <f t="shared" ca="1" si="5"/>
        <v>GLBL</v>
      </c>
      <c r="C99" s="10" t="str">
        <f t="shared" ca="1" si="6"/>
        <v>Global</v>
      </c>
      <c r="D99" s="10" t="str">
        <f ca="1"/>
        <v>MT</v>
      </c>
      <c r="E99" s="10" t="str">
        <f ca="1">+IF(ISBLANK(D99),"",_xlfn.XLOOKUP(D99,Countries!A:A,Countries!B:B,""))</f>
        <v>Malta</v>
      </c>
      <c r="F99" s="10">
        <f t="shared" ca="1" si="7"/>
        <v>188</v>
      </c>
    </row>
    <row r="100" spans="1:6" x14ac:dyDescent="0.25">
      <c r="A100" s="10">
        <f t="shared" ca="1" si="4"/>
        <v>1</v>
      </c>
      <c r="B100" s="10" t="str">
        <f t="shared" ca="1" si="5"/>
        <v>GLBL</v>
      </c>
      <c r="C100" s="10" t="str">
        <f t="shared" ca="1" si="6"/>
        <v>Global</v>
      </c>
      <c r="D100" s="10" t="str">
        <f ca="1"/>
        <v>MU</v>
      </c>
      <c r="E100" s="10" t="str">
        <f ca="1">+IF(ISBLANK(D100),"",_xlfn.XLOOKUP(D100,Countries!A:A,Countries!B:B,""))</f>
        <v>Mauritius</v>
      </c>
      <c r="F100" s="10">
        <f t="shared" ca="1" si="7"/>
        <v>188</v>
      </c>
    </row>
    <row r="101" spans="1:6" x14ac:dyDescent="0.25">
      <c r="A101" s="10">
        <f t="shared" ca="1" si="4"/>
        <v>1</v>
      </c>
      <c r="B101" s="10" t="str">
        <f t="shared" ca="1" si="5"/>
        <v>GLBL</v>
      </c>
      <c r="C101" s="10" t="str">
        <f t="shared" ca="1" si="6"/>
        <v>Global</v>
      </c>
      <c r="D101" s="10" t="str">
        <f ca="1"/>
        <v>MV</v>
      </c>
      <c r="E101" s="10" t="str">
        <f ca="1">+IF(ISBLANK(D101),"",_xlfn.XLOOKUP(D101,Countries!A:A,Countries!B:B,""))</f>
        <v>Maldives</v>
      </c>
      <c r="F101" s="10">
        <f t="shared" ca="1" si="7"/>
        <v>188</v>
      </c>
    </row>
    <row r="102" spans="1:6" x14ac:dyDescent="0.25">
      <c r="A102" s="10">
        <f t="shared" ca="1" si="4"/>
        <v>1</v>
      </c>
      <c r="B102" s="10" t="str">
        <f t="shared" ca="1" si="5"/>
        <v>GLBL</v>
      </c>
      <c r="C102" s="10" t="str">
        <f t="shared" ca="1" si="6"/>
        <v>Global</v>
      </c>
      <c r="D102" s="10" t="str">
        <f ca="1"/>
        <v>MX</v>
      </c>
      <c r="E102" s="10" t="str">
        <f ca="1">+IF(ISBLANK(D102),"",_xlfn.XLOOKUP(D102,Countries!A:A,Countries!B:B,""))</f>
        <v>Mexico</v>
      </c>
      <c r="F102" s="10">
        <f t="shared" ca="1" si="7"/>
        <v>188</v>
      </c>
    </row>
    <row r="103" spans="1:6" x14ac:dyDescent="0.25">
      <c r="A103" s="10">
        <f t="shared" ca="1" si="4"/>
        <v>1</v>
      </c>
      <c r="B103" s="10" t="str">
        <f t="shared" ca="1" si="5"/>
        <v>GLBL</v>
      </c>
      <c r="C103" s="10" t="str">
        <f t="shared" ca="1" si="6"/>
        <v>Global</v>
      </c>
      <c r="D103" s="10" t="str">
        <f ca="1"/>
        <v>MY</v>
      </c>
      <c r="E103" s="10" t="str">
        <f ca="1">+IF(ISBLANK(D103),"",_xlfn.XLOOKUP(D103,Countries!A:A,Countries!B:B,""))</f>
        <v>Malaysia</v>
      </c>
      <c r="F103" s="10">
        <f t="shared" ca="1" si="7"/>
        <v>188</v>
      </c>
    </row>
    <row r="104" spans="1:6" x14ac:dyDescent="0.25">
      <c r="A104" s="10">
        <f t="shared" ca="1" si="4"/>
        <v>1</v>
      </c>
      <c r="B104" s="10" t="str">
        <f t="shared" ca="1" si="5"/>
        <v>GLBL</v>
      </c>
      <c r="C104" s="10" t="str">
        <f t="shared" ca="1" si="6"/>
        <v>Global</v>
      </c>
      <c r="D104" s="10" t="str">
        <f ca="1"/>
        <v>NG</v>
      </c>
      <c r="E104" s="10" t="str">
        <f ca="1">+IF(ISBLANK(D104),"",_xlfn.XLOOKUP(D104,Countries!A:A,Countries!B:B,""))</f>
        <v>Nigeria</v>
      </c>
      <c r="F104" s="10">
        <f t="shared" ca="1" si="7"/>
        <v>188</v>
      </c>
    </row>
    <row r="105" spans="1:6" x14ac:dyDescent="0.25">
      <c r="A105" s="10">
        <f t="shared" ca="1" si="4"/>
        <v>1</v>
      </c>
      <c r="B105" s="10" t="str">
        <f t="shared" ca="1" si="5"/>
        <v>GLBL</v>
      </c>
      <c r="C105" s="10" t="str">
        <f t="shared" ca="1" si="6"/>
        <v>Global</v>
      </c>
      <c r="D105" s="10" t="str">
        <f ca="1"/>
        <v>NI</v>
      </c>
      <c r="E105" s="10" t="str">
        <f ca="1">+IF(ISBLANK(D105),"",_xlfn.XLOOKUP(D105,Countries!A:A,Countries!B:B,""))</f>
        <v>Nicaragua</v>
      </c>
      <c r="F105" s="10">
        <f t="shared" ca="1" si="7"/>
        <v>188</v>
      </c>
    </row>
    <row r="106" spans="1:6" x14ac:dyDescent="0.25">
      <c r="A106" s="10">
        <f t="shared" ca="1" si="4"/>
        <v>1</v>
      </c>
      <c r="B106" s="10" t="str">
        <f t="shared" ca="1" si="5"/>
        <v>GLBL</v>
      </c>
      <c r="C106" s="10" t="str">
        <f t="shared" ca="1" si="6"/>
        <v>Global</v>
      </c>
      <c r="D106" s="10" t="str">
        <f ca="1"/>
        <v>NL</v>
      </c>
      <c r="E106" s="10" t="str">
        <f ca="1">+IF(ISBLANK(D106),"",_xlfn.XLOOKUP(D106,Countries!A:A,Countries!B:B,""))</f>
        <v>Netherlands</v>
      </c>
      <c r="F106" s="10">
        <f t="shared" ca="1" si="7"/>
        <v>188</v>
      </c>
    </row>
    <row r="107" spans="1:6" x14ac:dyDescent="0.25">
      <c r="A107" s="10">
        <f t="shared" ca="1" si="4"/>
        <v>1</v>
      </c>
      <c r="B107" s="10" t="str">
        <f t="shared" ca="1" si="5"/>
        <v>GLBL</v>
      </c>
      <c r="C107" s="10" t="str">
        <f t="shared" ca="1" si="6"/>
        <v>Global</v>
      </c>
      <c r="D107" s="10" t="str">
        <f ca="1"/>
        <v>NO</v>
      </c>
      <c r="E107" s="10" t="str">
        <f ca="1">+IF(ISBLANK(D107),"",_xlfn.XLOOKUP(D107,Countries!A:A,Countries!B:B,""))</f>
        <v>Norway</v>
      </c>
      <c r="F107" s="10">
        <f t="shared" ca="1" si="7"/>
        <v>188</v>
      </c>
    </row>
    <row r="108" spans="1:6" x14ac:dyDescent="0.25">
      <c r="A108" s="10">
        <f t="shared" ca="1" si="4"/>
        <v>1</v>
      </c>
      <c r="B108" s="10" t="str">
        <f t="shared" ca="1" si="5"/>
        <v>GLBL</v>
      </c>
      <c r="C108" s="10" t="str">
        <f t="shared" ca="1" si="6"/>
        <v>Global</v>
      </c>
      <c r="D108" s="10" t="str">
        <f ca="1"/>
        <v>NP</v>
      </c>
      <c r="E108" s="10" t="str">
        <f ca="1">+IF(ISBLANK(D108),"",_xlfn.XLOOKUP(D108,Countries!A:A,Countries!B:B,""))</f>
        <v>Nepal</v>
      </c>
      <c r="F108" s="10">
        <f t="shared" ca="1" si="7"/>
        <v>188</v>
      </c>
    </row>
    <row r="109" spans="1:6" x14ac:dyDescent="0.25">
      <c r="A109" s="10">
        <f t="shared" ca="1" si="4"/>
        <v>1</v>
      </c>
      <c r="B109" s="10" t="str">
        <f t="shared" ca="1" si="5"/>
        <v>GLBL</v>
      </c>
      <c r="C109" s="10" t="str">
        <f t="shared" ca="1" si="6"/>
        <v>Global</v>
      </c>
      <c r="D109" s="10" t="str">
        <f ca="1"/>
        <v>NZ</v>
      </c>
      <c r="E109" s="10" t="str">
        <f ca="1">+IF(ISBLANK(D109),"",_xlfn.XLOOKUP(D109,Countries!A:A,Countries!B:B,""))</f>
        <v>New Zealand</v>
      </c>
      <c r="F109" s="10">
        <f t="shared" ca="1" si="7"/>
        <v>188</v>
      </c>
    </row>
    <row r="110" spans="1:6" x14ac:dyDescent="0.25">
      <c r="A110" s="10">
        <f t="shared" ca="1" si="4"/>
        <v>1</v>
      </c>
      <c r="B110" s="10" t="str">
        <f t="shared" ca="1" si="5"/>
        <v>GLBL</v>
      </c>
      <c r="C110" s="10" t="str">
        <f t="shared" ca="1" si="6"/>
        <v>Global</v>
      </c>
      <c r="D110" s="10" t="str">
        <f ca="1"/>
        <v>OM</v>
      </c>
      <c r="E110" s="10" t="str">
        <f ca="1">+IF(ISBLANK(D110),"",_xlfn.XLOOKUP(D110,Countries!A:A,Countries!B:B,""))</f>
        <v>Oman</v>
      </c>
      <c r="F110" s="10">
        <f t="shared" ca="1" si="7"/>
        <v>188</v>
      </c>
    </row>
    <row r="111" spans="1:6" x14ac:dyDescent="0.25">
      <c r="A111" s="10">
        <f t="shared" ca="1" si="4"/>
        <v>1</v>
      </c>
      <c r="B111" s="10" t="str">
        <f t="shared" ca="1" si="5"/>
        <v>GLBL</v>
      </c>
      <c r="C111" s="10" t="str">
        <f t="shared" ca="1" si="6"/>
        <v>Global</v>
      </c>
      <c r="D111" s="10" t="str">
        <f ca="1"/>
        <v>PA</v>
      </c>
      <c r="E111" s="10" t="str">
        <f ca="1">+IF(ISBLANK(D111),"",_xlfn.XLOOKUP(D111,Countries!A:A,Countries!B:B,""))</f>
        <v>Panama</v>
      </c>
      <c r="F111" s="10">
        <f t="shared" ca="1" si="7"/>
        <v>188</v>
      </c>
    </row>
    <row r="112" spans="1:6" x14ac:dyDescent="0.25">
      <c r="A112" s="10">
        <f t="shared" ca="1" si="4"/>
        <v>1</v>
      </c>
      <c r="B112" s="10" t="str">
        <f t="shared" ca="1" si="5"/>
        <v>GLBL</v>
      </c>
      <c r="C112" s="10" t="str">
        <f t="shared" ca="1" si="6"/>
        <v>Global</v>
      </c>
      <c r="D112" s="10" t="str">
        <f ca="1"/>
        <v>PE</v>
      </c>
      <c r="E112" s="10" t="str">
        <f ca="1">+IF(ISBLANK(D112),"",_xlfn.XLOOKUP(D112,Countries!A:A,Countries!B:B,""))</f>
        <v>Peru</v>
      </c>
      <c r="F112" s="10">
        <f t="shared" ca="1" si="7"/>
        <v>188</v>
      </c>
    </row>
    <row r="113" spans="1:6" x14ac:dyDescent="0.25">
      <c r="A113" s="10">
        <f t="shared" ca="1" si="4"/>
        <v>1</v>
      </c>
      <c r="B113" s="10" t="str">
        <f t="shared" ca="1" si="5"/>
        <v>GLBL</v>
      </c>
      <c r="C113" s="10" t="str">
        <f t="shared" ca="1" si="6"/>
        <v>Global</v>
      </c>
      <c r="D113" s="10" t="str">
        <f ca="1"/>
        <v>PF</v>
      </c>
      <c r="E113" s="10" t="str">
        <f ca="1">+IF(ISBLANK(D113),"",_xlfn.XLOOKUP(D113,Countries!A:A,Countries!B:B,""))</f>
        <v>French Polynesia</v>
      </c>
      <c r="F113" s="10">
        <f t="shared" ca="1" si="7"/>
        <v>188</v>
      </c>
    </row>
    <row r="114" spans="1:6" x14ac:dyDescent="0.25">
      <c r="A114" s="10">
        <f t="shared" ca="1" si="4"/>
        <v>1</v>
      </c>
      <c r="B114" s="10" t="str">
        <f t="shared" ca="1" si="5"/>
        <v>GLBL</v>
      </c>
      <c r="C114" s="10" t="str">
        <f t="shared" ca="1" si="6"/>
        <v>Global</v>
      </c>
      <c r="D114" s="10" t="str">
        <f ca="1"/>
        <v>PG</v>
      </c>
      <c r="E114" s="10" t="str">
        <f ca="1">+IF(ISBLANK(D114),"",_xlfn.XLOOKUP(D114,Countries!A:A,Countries!B:B,""))</f>
        <v>Papua New Guinea</v>
      </c>
      <c r="F114" s="10">
        <f t="shared" ca="1" si="7"/>
        <v>188</v>
      </c>
    </row>
    <row r="115" spans="1:6" x14ac:dyDescent="0.25">
      <c r="A115" s="10">
        <f t="shared" ca="1" si="4"/>
        <v>1</v>
      </c>
      <c r="B115" s="10" t="str">
        <f t="shared" ca="1" si="5"/>
        <v>GLBL</v>
      </c>
      <c r="C115" s="10" t="str">
        <f t="shared" ca="1" si="6"/>
        <v>Global</v>
      </c>
      <c r="D115" s="10" t="str">
        <f ca="1"/>
        <v>PH</v>
      </c>
      <c r="E115" s="10" t="str">
        <f ca="1">+IF(ISBLANK(D115),"",_xlfn.XLOOKUP(D115,Countries!A:A,Countries!B:B,""))</f>
        <v>Philippines</v>
      </c>
      <c r="F115" s="10">
        <f t="shared" ca="1" si="7"/>
        <v>188</v>
      </c>
    </row>
    <row r="116" spans="1:6" x14ac:dyDescent="0.25">
      <c r="A116" s="10">
        <f t="shared" ca="1" si="4"/>
        <v>1</v>
      </c>
      <c r="B116" s="10" t="str">
        <f t="shared" ca="1" si="5"/>
        <v>GLBL</v>
      </c>
      <c r="C116" s="10" t="str">
        <f t="shared" ca="1" si="6"/>
        <v>Global</v>
      </c>
      <c r="D116" s="10" t="str">
        <f ca="1"/>
        <v>PK</v>
      </c>
      <c r="E116" s="10" t="str">
        <f ca="1">+IF(ISBLANK(D116),"",_xlfn.XLOOKUP(D116,Countries!A:A,Countries!B:B,""))</f>
        <v>Pakistan</v>
      </c>
      <c r="F116" s="10">
        <f t="shared" ca="1" si="7"/>
        <v>188</v>
      </c>
    </row>
    <row r="117" spans="1:6" x14ac:dyDescent="0.25">
      <c r="A117" s="10">
        <f t="shared" ca="1" si="4"/>
        <v>1</v>
      </c>
      <c r="B117" s="10" t="str">
        <f t="shared" ca="1" si="5"/>
        <v>GLBL</v>
      </c>
      <c r="C117" s="10" t="str">
        <f t="shared" ca="1" si="6"/>
        <v>Global</v>
      </c>
      <c r="D117" s="10" t="str">
        <f ca="1"/>
        <v>PL</v>
      </c>
      <c r="E117" s="10" t="str">
        <f ca="1">+IF(ISBLANK(D117),"",_xlfn.XLOOKUP(D117,Countries!A:A,Countries!B:B,""))</f>
        <v>Poland</v>
      </c>
      <c r="F117" s="10">
        <f t="shared" ca="1" si="7"/>
        <v>188</v>
      </c>
    </row>
    <row r="118" spans="1:6" x14ac:dyDescent="0.25">
      <c r="A118" s="10">
        <f t="shared" ca="1" si="4"/>
        <v>1</v>
      </c>
      <c r="B118" s="10" t="str">
        <f t="shared" ca="1" si="5"/>
        <v>GLBL</v>
      </c>
      <c r="C118" s="10" t="str">
        <f t="shared" ca="1" si="6"/>
        <v>Global</v>
      </c>
      <c r="D118" s="10" t="str">
        <f ca="1"/>
        <v>PR</v>
      </c>
      <c r="E118" s="10" t="str">
        <f ca="1">+IF(ISBLANK(D118),"",_xlfn.XLOOKUP(D118,Countries!A:A,Countries!B:B,""))</f>
        <v>Puerto Rico</v>
      </c>
      <c r="F118" s="10">
        <f t="shared" ca="1" si="7"/>
        <v>188</v>
      </c>
    </row>
    <row r="119" spans="1:6" x14ac:dyDescent="0.25">
      <c r="A119" s="10">
        <f t="shared" ca="1" si="4"/>
        <v>1</v>
      </c>
      <c r="B119" s="10" t="str">
        <f t="shared" ca="1" si="5"/>
        <v>GLBL</v>
      </c>
      <c r="C119" s="10" t="str">
        <f t="shared" ca="1" si="6"/>
        <v>Global</v>
      </c>
      <c r="D119" s="10" t="str">
        <f ca="1"/>
        <v>PT</v>
      </c>
      <c r="E119" s="10" t="str">
        <f ca="1">+IF(ISBLANK(D119),"",_xlfn.XLOOKUP(D119,Countries!A:A,Countries!B:B,""))</f>
        <v>Portugal</v>
      </c>
      <c r="F119" s="10">
        <f t="shared" ca="1" si="7"/>
        <v>188</v>
      </c>
    </row>
    <row r="120" spans="1:6" x14ac:dyDescent="0.25">
      <c r="A120" s="10">
        <f t="shared" ca="1" si="4"/>
        <v>1</v>
      </c>
      <c r="B120" s="10" t="str">
        <f t="shared" ca="1" si="5"/>
        <v>GLBL</v>
      </c>
      <c r="C120" s="10" t="str">
        <f t="shared" ca="1" si="6"/>
        <v>Global</v>
      </c>
      <c r="D120" s="10" t="str">
        <f ca="1"/>
        <v>PY</v>
      </c>
      <c r="E120" s="10" t="str">
        <f ca="1">+IF(ISBLANK(D120),"",_xlfn.XLOOKUP(D120,Countries!A:A,Countries!B:B,""))</f>
        <v>Paraguay</v>
      </c>
      <c r="F120" s="10">
        <f t="shared" ca="1" si="7"/>
        <v>188</v>
      </c>
    </row>
    <row r="121" spans="1:6" x14ac:dyDescent="0.25">
      <c r="A121" s="10">
        <f t="shared" ca="1" si="4"/>
        <v>1</v>
      </c>
      <c r="B121" s="10" t="str">
        <f t="shared" ca="1" si="5"/>
        <v>GLBL</v>
      </c>
      <c r="C121" s="10" t="str">
        <f t="shared" ca="1" si="6"/>
        <v>Global</v>
      </c>
      <c r="D121" s="10" t="str">
        <f ca="1"/>
        <v>QA</v>
      </c>
      <c r="E121" s="10" t="str">
        <f ca="1">+IF(ISBLANK(D121),"",_xlfn.XLOOKUP(D121,Countries!A:A,Countries!B:B,""))</f>
        <v>Qatar</v>
      </c>
      <c r="F121" s="10">
        <f t="shared" ca="1" si="7"/>
        <v>188</v>
      </c>
    </row>
    <row r="122" spans="1:6" x14ac:dyDescent="0.25">
      <c r="A122" s="10">
        <f t="shared" ca="1" si="4"/>
        <v>1</v>
      </c>
      <c r="B122" s="10" t="str">
        <f t="shared" ca="1" si="5"/>
        <v>GLBL</v>
      </c>
      <c r="C122" s="10" t="str">
        <f t="shared" ca="1" si="6"/>
        <v>Global</v>
      </c>
      <c r="D122" s="10" t="str">
        <f ca="1"/>
        <v>RE</v>
      </c>
      <c r="E122" s="10" t="str">
        <f ca="1">+IF(ISBLANK(D122),"",_xlfn.XLOOKUP(D122,Countries!A:A,Countries!B:B,""))</f>
        <v>Reunion</v>
      </c>
      <c r="F122" s="10">
        <f t="shared" ca="1" si="7"/>
        <v>188</v>
      </c>
    </row>
    <row r="123" spans="1:6" x14ac:dyDescent="0.25">
      <c r="A123" s="10">
        <f t="shared" ca="1" si="4"/>
        <v>1</v>
      </c>
      <c r="B123" s="10" t="str">
        <f t="shared" ca="1" si="5"/>
        <v>GLBL</v>
      </c>
      <c r="C123" s="10" t="str">
        <f t="shared" ca="1" si="6"/>
        <v>Global</v>
      </c>
      <c r="D123" s="10" t="str">
        <f ca="1"/>
        <v>RO</v>
      </c>
      <c r="E123" s="10" t="str">
        <f ca="1">+IF(ISBLANK(D123),"",_xlfn.XLOOKUP(D123,Countries!A:A,Countries!B:B,""))</f>
        <v>Romania</v>
      </c>
      <c r="F123" s="10">
        <f t="shared" ca="1" si="7"/>
        <v>188</v>
      </c>
    </row>
    <row r="124" spans="1:6" x14ac:dyDescent="0.25">
      <c r="A124" s="10">
        <f t="shared" ca="1" si="4"/>
        <v>1</v>
      </c>
      <c r="B124" s="10" t="str">
        <f t="shared" ca="1" si="5"/>
        <v>GLBL</v>
      </c>
      <c r="C124" s="10" t="str">
        <f t="shared" ca="1" si="6"/>
        <v>Global</v>
      </c>
      <c r="D124" s="10" t="str">
        <f ca="1"/>
        <v>RS</v>
      </c>
      <c r="E124" s="10" t="str">
        <f ca="1">+IF(ISBLANK(D124),"",_xlfn.XLOOKUP(D124,Countries!A:A,Countries!B:B,""))</f>
        <v>Serbia</v>
      </c>
      <c r="F124" s="10">
        <f t="shared" ca="1" si="7"/>
        <v>188</v>
      </c>
    </row>
    <row r="125" spans="1:6" x14ac:dyDescent="0.25">
      <c r="A125" s="10">
        <f t="shared" ca="1" si="4"/>
        <v>1</v>
      </c>
      <c r="B125" s="10" t="str">
        <f t="shared" ca="1" si="5"/>
        <v>GLBL</v>
      </c>
      <c r="C125" s="10" t="str">
        <f t="shared" ca="1" si="6"/>
        <v>Global</v>
      </c>
      <c r="D125" s="10" t="str">
        <f ca="1"/>
        <v>RU</v>
      </c>
      <c r="E125" s="10" t="str">
        <f ca="1">+IF(ISBLANK(D125),"",_xlfn.XLOOKUP(D125,Countries!A:A,Countries!B:B,""))</f>
        <v>Russia</v>
      </c>
      <c r="F125" s="10">
        <f t="shared" ca="1" si="7"/>
        <v>188</v>
      </c>
    </row>
    <row r="126" spans="1:6" x14ac:dyDescent="0.25">
      <c r="A126" s="10">
        <f t="shared" ca="1" si="4"/>
        <v>1</v>
      </c>
      <c r="B126" s="10" t="str">
        <f t="shared" ca="1" si="5"/>
        <v>GLBL</v>
      </c>
      <c r="C126" s="10" t="str">
        <f t="shared" ca="1" si="6"/>
        <v>Global</v>
      </c>
      <c r="D126" s="10" t="str">
        <f ca="1"/>
        <v>RW</v>
      </c>
      <c r="E126" s="10" t="str">
        <f ca="1">+IF(ISBLANK(D126),"",_xlfn.XLOOKUP(D126,Countries!A:A,Countries!B:B,""))</f>
        <v>Rwanda</v>
      </c>
      <c r="F126" s="10">
        <f t="shared" ca="1" si="7"/>
        <v>188</v>
      </c>
    </row>
    <row r="127" spans="1:6" x14ac:dyDescent="0.25">
      <c r="A127" s="10">
        <f t="shared" ca="1" si="4"/>
        <v>1</v>
      </c>
      <c r="B127" s="10" t="str">
        <f t="shared" ca="1" si="5"/>
        <v>GLBL</v>
      </c>
      <c r="C127" s="10" t="str">
        <f t="shared" ca="1" si="6"/>
        <v>Global</v>
      </c>
      <c r="D127" s="10" t="str">
        <f ca="1"/>
        <v>SA</v>
      </c>
      <c r="E127" s="10" t="str">
        <f ca="1">+IF(ISBLANK(D127),"",_xlfn.XLOOKUP(D127,Countries!A:A,Countries!B:B,""))</f>
        <v>Saudi Arabia</v>
      </c>
      <c r="F127" s="10">
        <f t="shared" ca="1" si="7"/>
        <v>188</v>
      </c>
    </row>
    <row r="128" spans="1:6" x14ac:dyDescent="0.25">
      <c r="A128" s="10">
        <f t="shared" ca="1" si="4"/>
        <v>1</v>
      </c>
      <c r="B128" s="10" t="str">
        <f t="shared" ca="1" si="5"/>
        <v>GLBL</v>
      </c>
      <c r="C128" s="10" t="str">
        <f t="shared" ca="1" si="6"/>
        <v>Global</v>
      </c>
      <c r="D128" s="10" t="str">
        <f ca="1"/>
        <v>SD</v>
      </c>
      <c r="E128" s="10" t="str">
        <f ca="1">+IF(ISBLANK(D128),"",_xlfn.XLOOKUP(D128,Countries!A:A,Countries!B:B,""))</f>
        <v>Sudan</v>
      </c>
      <c r="F128" s="10">
        <f t="shared" ca="1" si="7"/>
        <v>188</v>
      </c>
    </row>
    <row r="129" spans="1:6" x14ac:dyDescent="0.25">
      <c r="A129" s="10">
        <f t="shared" ca="1" si="4"/>
        <v>1</v>
      </c>
      <c r="B129" s="10" t="str">
        <f t="shared" ca="1" si="5"/>
        <v>GLBL</v>
      </c>
      <c r="C129" s="10" t="str">
        <f t="shared" ca="1" si="6"/>
        <v>Global</v>
      </c>
      <c r="D129" s="10" t="str">
        <f ca="1"/>
        <v>SE</v>
      </c>
      <c r="E129" s="10" t="str">
        <f ca="1">+IF(ISBLANK(D129),"",_xlfn.XLOOKUP(D129,Countries!A:A,Countries!B:B,""))</f>
        <v>Sweden</v>
      </c>
      <c r="F129" s="10">
        <f t="shared" ca="1" si="7"/>
        <v>188</v>
      </c>
    </row>
    <row r="130" spans="1:6" x14ac:dyDescent="0.25">
      <c r="A130" s="10">
        <f t="shared" ca="1" si="4"/>
        <v>1</v>
      </c>
      <c r="B130" s="10" t="str">
        <f t="shared" ca="1" si="5"/>
        <v>GLBL</v>
      </c>
      <c r="C130" s="10" t="str">
        <f t="shared" ca="1" si="6"/>
        <v>Global</v>
      </c>
      <c r="D130" s="10" t="str">
        <f ca="1"/>
        <v>SG</v>
      </c>
      <c r="E130" s="10" t="str">
        <f ca="1">+IF(ISBLANK(D130),"",_xlfn.XLOOKUP(D130,Countries!A:A,Countries!B:B,""))</f>
        <v>Singapore</v>
      </c>
      <c r="F130" s="10">
        <f t="shared" ca="1" si="7"/>
        <v>188</v>
      </c>
    </row>
    <row r="131" spans="1:6" x14ac:dyDescent="0.25">
      <c r="A131" s="10">
        <f t="shared" ca="1" si="4"/>
        <v>1</v>
      </c>
      <c r="B131" s="10" t="str">
        <f t="shared" ca="1" si="5"/>
        <v>GLBL</v>
      </c>
      <c r="C131" s="10" t="str">
        <f t="shared" ca="1" si="6"/>
        <v>Global</v>
      </c>
      <c r="D131" s="10" t="str">
        <f ca="1"/>
        <v>SI</v>
      </c>
      <c r="E131" s="10" t="str">
        <f ca="1">+IF(ISBLANK(D131),"",_xlfn.XLOOKUP(D131,Countries!A:A,Countries!B:B,""))</f>
        <v>Slovenia</v>
      </c>
      <c r="F131" s="10">
        <f t="shared" ca="1" si="7"/>
        <v>188</v>
      </c>
    </row>
    <row r="132" spans="1:6" x14ac:dyDescent="0.25">
      <c r="A132" s="10">
        <f t="shared" ref="A132:A189" ca="1" si="8">+IF(ISBLANK(D132),"",A131)</f>
        <v>1</v>
      </c>
      <c r="B132" s="10" t="str">
        <f t="shared" ref="B132:B189" ca="1" si="9">+IF(ISBLANK(D132),"",B131)</f>
        <v>GLBL</v>
      </c>
      <c r="C132" s="10" t="str">
        <f t="shared" ref="C132:C189" ca="1" si="10">+IF(ISBLANK(D132),"",C131)</f>
        <v>Global</v>
      </c>
      <c r="D132" s="10" t="str">
        <f ca="1"/>
        <v>SK</v>
      </c>
      <c r="E132" s="10" t="str">
        <f ca="1">+IF(ISBLANK(D132),"",_xlfn.XLOOKUP(D132,Countries!A:A,Countries!B:B,""))</f>
        <v>Slovakia</v>
      </c>
      <c r="F132" s="10">
        <f t="shared" ref="F132:F189" ca="1" si="11">+IF(ISBLANK(D132),"",F131)</f>
        <v>188</v>
      </c>
    </row>
    <row r="133" spans="1:6" x14ac:dyDescent="0.25">
      <c r="A133" s="10">
        <f t="shared" ca="1" si="8"/>
        <v>1</v>
      </c>
      <c r="B133" s="10" t="str">
        <f t="shared" ca="1" si="9"/>
        <v>GLBL</v>
      </c>
      <c r="C133" s="10" t="str">
        <f t="shared" ca="1" si="10"/>
        <v>Global</v>
      </c>
      <c r="D133" s="10" t="str">
        <f ca="1"/>
        <v>SL</v>
      </c>
      <c r="E133" s="10" t="str">
        <f ca="1">+IF(ISBLANK(D133),"",_xlfn.XLOOKUP(D133,Countries!A:A,Countries!B:B,""))</f>
        <v>Sierra Leone</v>
      </c>
      <c r="F133" s="10">
        <f t="shared" ca="1" si="11"/>
        <v>188</v>
      </c>
    </row>
    <row r="134" spans="1:6" x14ac:dyDescent="0.25">
      <c r="A134" s="10">
        <f t="shared" ca="1" si="8"/>
        <v>1</v>
      </c>
      <c r="B134" s="10" t="str">
        <f t="shared" ca="1" si="9"/>
        <v>GLBL</v>
      </c>
      <c r="C134" s="10" t="str">
        <f t="shared" ca="1" si="10"/>
        <v>Global</v>
      </c>
      <c r="D134" s="10" t="str">
        <f ca="1"/>
        <v>SN</v>
      </c>
      <c r="E134" s="10" t="str">
        <f ca="1">+IF(ISBLANK(D134),"",_xlfn.XLOOKUP(D134,Countries!A:A,Countries!B:B,""))</f>
        <v>Senegal</v>
      </c>
      <c r="F134" s="10">
        <f t="shared" ca="1" si="11"/>
        <v>188</v>
      </c>
    </row>
    <row r="135" spans="1:6" x14ac:dyDescent="0.25">
      <c r="A135" s="10">
        <f t="shared" ca="1" si="8"/>
        <v>1</v>
      </c>
      <c r="B135" s="10" t="str">
        <f t="shared" ca="1" si="9"/>
        <v>GLBL</v>
      </c>
      <c r="C135" s="10" t="str">
        <f t="shared" ca="1" si="10"/>
        <v>Global</v>
      </c>
      <c r="D135" s="10" t="str">
        <f ca="1"/>
        <v>SR</v>
      </c>
      <c r="E135" s="10" t="str">
        <f ca="1">+IF(ISBLANK(D135),"",_xlfn.XLOOKUP(D135,Countries!A:A,Countries!B:B,""))</f>
        <v>Suriname</v>
      </c>
      <c r="F135" s="10">
        <f t="shared" ca="1" si="11"/>
        <v>188</v>
      </c>
    </row>
    <row r="136" spans="1:6" x14ac:dyDescent="0.25">
      <c r="A136" s="10">
        <f t="shared" ca="1" si="8"/>
        <v>1</v>
      </c>
      <c r="B136" s="10" t="str">
        <f t="shared" ca="1" si="9"/>
        <v>GLBL</v>
      </c>
      <c r="C136" s="10" t="str">
        <f t="shared" ca="1" si="10"/>
        <v>Global</v>
      </c>
      <c r="D136" s="10" t="str">
        <f ca="1"/>
        <v>SV</v>
      </c>
      <c r="E136" s="10" t="str">
        <f ca="1">+IF(ISBLANK(D136),"",_xlfn.XLOOKUP(D136,Countries!A:A,Countries!B:B,""))</f>
        <v>El Salvador</v>
      </c>
      <c r="F136" s="10">
        <f t="shared" ca="1" si="11"/>
        <v>188</v>
      </c>
    </row>
    <row r="137" spans="1:6" x14ac:dyDescent="0.25">
      <c r="A137" s="10">
        <f t="shared" ca="1" si="8"/>
        <v>1</v>
      </c>
      <c r="B137" s="10" t="str">
        <f t="shared" ca="1" si="9"/>
        <v>GLBL</v>
      </c>
      <c r="C137" s="10" t="str">
        <f t="shared" ca="1" si="10"/>
        <v>Global</v>
      </c>
      <c r="D137" s="10" t="str">
        <f ca="1"/>
        <v>TC</v>
      </c>
      <c r="E137" s="10" t="str">
        <f ca="1">+IF(ISBLANK(D137),"",_xlfn.XLOOKUP(D137,Countries!A:A,Countries!B:B,""))</f>
        <v>Turks and Caicos Islands</v>
      </c>
      <c r="F137" s="10">
        <f t="shared" ca="1" si="11"/>
        <v>188</v>
      </c>
    </row>
    <row r="138" spans="1:6" x14ac:dyDescent="0.25">
      <c r="A138" s="10">
        <f t="shared" ca="1" si="8"/>
        <v>1</v>
      </c>
      <c r="B138" s="10" t="str">
        <f t="shared" ca="1" si="9"/>
        <v>GLBL</v>
      </c>
      <c r="C138" s="10" t="str">
        <f t="shared" ca="1" si="10"/>
        <v>Global</v>
      </c>
      <c r="D138" s="10" t="str">
        <f ca="1"/>
        <v>TD</v>
      </c>
      <c r="E138" s="10" t="str">
        <f ca="1">+IF(ISBLANK(D138),"",_xlfn.XLOOKUP(D138,Countries!A:A,Countries!B:B,""))</f>
        <v>Chad</v>
      </c>
      <c r="F138" s="10">
        <f t="shared" ca="1" si="11"/>
        <v>188</v>
      </c>
    </row>
    <row r="139" spans="1:6" x14ac:dyDescent="0.25">
      <c r="A139" s="10">
        <f t="shared" ca="1" si="8"/>
        <v>1</v>
      </c>
      <c r="B139" s="10" t="str">
        <f t="shared" ca="1" si="9"/>
        <v>GLBL</v>
      </c>
      <c r="C139" s="10" t="str">
        <f t="shared" ca="1" si="10"/>
        <v>Global</v>
      </c>
      <c r="D139" s="10" t="str">
        <f ca="1"/>
        <v>TG</v>
      </c>
      <c r="E139" s="10" t="str">
        <f ca="1">+IF(ISBLANK(D139),"",_xlfn.XLOOKUP(D139,Countries!A:A,Countries!B:B,""))</f>
        <v>Togo</v>
      </c>
      <c r="F139" s="10">
        <f t="shared" ca="1" si="11"/>
        <v>188</v>
      </c>
    </row>
    <row r="140" spans="1:6" x14ac:dyDescent="0.25">
      <c r="A140" s="10">
        <f t="shared" ca="1" si="8"/>
        <v>1</v>
      </c>
      <c r="B140" s="10" t="str">
        <f t="shared" ca="1" si="9"/>
        <v>GLBL</v>
      </c>
      <c r="C140" s="10" t="str">
        <f t="shared" ca="1" si="10"/>
        <v>Global</v>
      </c>
      <c r="D140" s="10" t="str">
        <f ca="1"/>
        <v>TH</v>
      </c>
      <c r="E140" s="10" t="str">
        <f ca="1">+IF(ISBLANK(D140),"",_xlfn.XLOOKUP(D140,Countries!A:A,Countries!B:B,""))</f>
        <v>Thailand</v>
      </c>
      <c r="F140" s="10">
        <f t="shared" ca="1" si="11"/>
        <v>188</v>
      </c>
    </row>
    <row r="141" spans="1:6" x14ac:dyDescent="0.25">
      <c r="A141" s="10">
        <f t="shared" ca="1" si="8"/>
        <v>1</v>
      </c>
      <c r="B141" s="10" t="str">
        <f t="shared" ca="1" si="9"/>
        <v>GLBL</v>
      </c>
      <c r="C141" s="10" t="str">
        <f t="shared" ca="1" si="10"/>
        <v>Global</v>
      </c>
      <c r="D141" s="10" t="str">
        <f ca="1"/>
        <v>TJ</v>
      </c>
      <c r="E141" s="10" t="str">
        <f ca="1">+IF(ISBLANK(D141),"",_xlfn.XLOOKUP(D141,Countries!A:A,Countries!B:B,""))</f>
        <v>Tajikistan</v>
      </c>
      <c r="F141" s="10">
        <f t="shared" ca="1" si="11"/>
        <v>188</v>
      </c>
    </row>
    <row r="142" spans="1:6" x14ac:dyDescent="0.25">
      <c r="A142" s="10">
        <f t="shared" ca="1" si="8"/>
        <v>1</v>
      </c>
      <c r="B142" s="10" t="str">
        <f t="shared" ca="1" si="9"/>
        <v>GLBL</v>
      </c>
      <c r="C142" s="10" t="str">
        <f t="shared" ca="1" si="10"/>
        <v>Global</v>
      </c>
      <c r="D142" s="10" t="str">
        <f ca="1"/>
        <v>TN</v>
      </c>
      <c r="E142" s="10" t="str">
        <f ca="1">+IF(ISBLANK(D142),"",_xlfn.XLOOKUP(D142,Countries!A:A,Countries!B:B,""))</f>
        <v>Tunisia</v>
      </c>
      <c r="F142" s="10">
        <f t="shared" ca="1" si="11"/>
        <v>188</v>
      </c>
    </row>
    <row r="143" spans="1:6" x14ac:dyDescent="0.25">
      <c r="A143" s="10">
        <f t="shared" ca="1" si="8"/>
        <v>1</v>
      </c>
      <c r="B143" s="10" t="str">
        <f t="shared" ca="1" si="9"/>
        <v>GLBL</v>
      </c>
      <c r="C143" s="10" t="str">
        <f t="shared" ca="1" si="10"/>
        <v>Global</v>
      </c>
      <c r="D143" s="10" t="str">
        <f ca="1"/>
        <v>TO</v>
      </c>
      <c r="E143" s="10" t="str">
        <f ca="1">+IF(ISBLANK(D143),"",_xlfn.XLOOKUP(D143,Countries!A:A,Countries!B:B,""))</f>
        <v>Tonga</v>
      </c>
      <c r="F143" s="10">
        <f t="shared" ca="1" si="11"/>
        <v>188</v>
      </c>
    </row>
    <row r="144" spans="1:6" x14ac:dyDescent="0.25">
      <c r="A144" s="10">
        <f t="shared" ca="1" si="8"/>
        <v>1</v>
      </c>
      <c r="B144" s="10" t="str">
        <f t="shared" ca="1" si="9"/>
        <v>GLBL</v>
      </c>
      <c r="C144" s="10" t="str">
        <f t="shared" ca="1" si="10"/>
        <v>Global</v>
      </c>
      <c r="D144" s="10" t="str">
        <f ca="1"/>
        <v>TR</v>
      </c>
      <c r="E144" s="10" t="str">
        <f ca="1">+IF(ISBLANK(D144),"",_xlfn.XLOOKUP(D144,Countries!A:A,Countries!B:B,""))</f>
        <v>Türkiye</v>
      </c>
      <c r="F144" s="10">
        <f t="shared" ca="1" si="11"/>
        <v>188</v>
      </c>
    </row>
    <row r="145" spans="1:6" x14ac:dyDescent="0.25">
      <c r="A145" s="10">
        <f t="shared" ca="1" si="8"/>
        <v>1</v>
      </c>
      <c r="B145" s="10" t="str">
        <f t="shared" ca="1" si="9"/>
        <v>GLBL</v>
      </c>
      <c r="C145" s="10" t="str">
        <f t="shared" ca="1" si="10"/>
        <v>Global</v>
      </c>
      <c r="D145" s="10" t="str">
        <f ca="1"/>
        <v>TW</v>
      </c>
      <c r="E145" s="10" t="str">
        <f ca="1">+IF(ISBLANK(D145),"",_xlfn.XLOOKUP(D145,Countries!A:A,Countries!B:B,""))</f>
        <v>Taiwan</v>
      </c>
      <c r="F145" s="10">
        <f t="shared" ca="1" si="11"/>
        <v>188</v>
      </c>
    </row>
    <row r="146" spans="1:6" x14ac:dyDescent="0.25">
      <c r="A146" s="10">
        <f t="shared" ca="1" si="8"/>
        <v>1</v>
      </c>
      <c r="B146" s="10" t="str">
        <f t="shared" ca="1" si="9"/>
        <v>GLBL</v>
      </c>
      <c r="C146" s="10" t="str">
        <f t="shared" ca="1" si="10"/>
        <v>Global</v>
      </c>
      <c r="D146" s="10" t="str">
        <f ca="1"/>
        <v>TZ</v>
      </c>
      <c r="E146" s="10" t="str">
        <f ca="1">+IF(ISBLANK(D146),"",_xlfn.XLOOKUP(D146,Countries!A:A,Countries!B:B,""))</f>
        <v>Tanzania</v>
      </c>
      <c r="F146" s="10">
        <f t="shared" ca="1" si="11"/>
        <v>188</v>
      </c>
    </row>
    <row r="147" spans="1:6" x14ac:dyDescent="0.25">
      <c r="A147" s="10">
        <f t="shared" ca="1" si="8"/>
        <v>1</v>
      </c>
      <c r="B147" s="10" t="str">
        <f t="shared" ca="1" si="9"/>
        <v>GLBL</v>
      </c>
      <c r="C147" s="10" t="str">
        <f t="shared" ca="1" si="10"/>
        <v>Global</v>
      </c>
      <c r="D147" s="10" t="str">
        <f ca="1"/>
        <v>UA</v>
      </c>
      <c r="E147" s="10" t="str">
        <f ca="1">+IF(ISBLANK(D147),"",_xlfn.XLOOKUP(D147,Countries!A:A,Countries!B:B,""))</f>
        <v>Ukraine</v>
      </c>
      <c r="F147" s="10">
        <f t="shared" ca="1" si="11"/>
        <v>188</v>
      </c>
    </row>
    <row r="148" spans="1:6" x14ac:dyDescent="0.25">
      <c r="A148" s="10">
        <f t="shared" ca="1" si="8"/>
        <v>1</v>
      </c>
      <c r="B148" s="10" t="str">
        <f t="shared" ca="1" si="9"/>
        <v>GLBL</v>
      </c>
      <c r="C148" s="10" t="str">
        <f t="shared" ca="1" si="10"/>
        <v>Global</v>
      </c>
      <c r="D148" s="10" t="str">
        <f ca="1"/>
        <v>US</v>
      </c>
      <c r="E148" s="10" t="str">
        <f ca="1">+IF(ISBLANK(D148),"",_xlfn.XLOOKUP(D148,Countries!A:A,Countries!B:B,""))</f>
        <v>USA</v>
      </c>
      <c r="F148" s="10">
        <f t="shared" ca="1" si="11"/>
        <v>188</v>
      </c>
    </row>
    <row r="149" spans="1:6" x14ac:dyDescent="0.25">
      <c r="A149" s="10">
        <f t="shared" ca="1" si="8"/>
        <v>1</v>
      </c>
      <c r="B149" s="10" t="str">
        <f t="shared" ca="1" si="9"/>
        <v>GLBL</v>
      </c>
      <c r="C149" s="10" t="str">
        <f t="shared" ca="1" si="10"/>
        <v>Global</v>
      </c>
      <c r="D149" s="10" t="str">
        <f ca="1"/>
        <v>UY</v>
      </c>
      <c r="E149" s="10" t="str">
        <f ca="1">+IF(ISBLANK(D149),"",_xlfn.XLOOKUP(D149,Countries!A:A,Countries!B:B,""))</f>
        <v>Uruguay</v>
      </c>
      <c r="F149" s="10">
        <f t="shared" ca="1" si="11"/>
        <v>188</v>
      </c>
    </row>
    <row r="150" spans="1:6" x14ac:dyDescent="0.25">
      <c r="A150" s="10">
        <f t="shared" ca="1" si="8"/>
        <v>1</v>
      </c>
      <c r="B150" s="10" t="str">
        <f t="shared" ca="1" si="9"/>
        <v>GLBL</v>
      </c>
      <c r="C150" s="10" t="str">
        <f t="shared" ca="1" si="10"/>
        <v>Global</v>
      </c>
      <c r="D150" s="10" t="str">
        <f ca="1"/>
        <v>UZ</v>
      </c>
      <c r="E150" s="10" t="str">
        <f ca="1">+IF(ISBLANK(D150),"",_xlfn.XLOOKUP(D150,Countries!A:A,Countries!B:B,""))</f>
        <v>Uzbekistan</v>
      </c>
      <c r="F150" s="10">
        <f t="shared" ca="1" si="11"/>
        <v>188</v>
      </c>
    </row>
    <row r="151" spans="1:6" x14ac:dyDescent="0.25">
      <c r="A151" s="10">
        <f t="shared" ca="1" si="8"/>
        <v>1</v>
      </c>
      <c r="B151" s="10" t="str">
        <f t="shared" ca="1" si="9"/>
        <v>GLBL</v>
      </c>
      <c r="C151" s="10" t="str">
        <f t="shared" ca="1" si="10"/>
        <v>Global</v>
      </c>
      <c r="D151" s="10" t="str">
        <f ca="1"/>
        <v>VE</v>
      </c>
      <c r="E151" s="10" t="str">
        <f ca="1">+IF(ISBLANK(D151),"",_xlfn.XLOOKUP(D151,Countries!A:A,Countries!B:B,""))</f>
        <v>Venezuela</v>
      </c>
      <c r="F151" s="10">
        <f t="shared" ca="1" si="11"/>
        <v>188</v>
      </c>
    </row>
    <row r="152" spans="1:6" x14ac:dyDescent="0.25">
      <c r="A152" s="10">
        <f t="shared" ca="1" si="8"/>
        <v>1</v>
      </c>
      <c r="B152" s="10" t="str">
        <f t="shared" ca="1" si="9"/>
        <v>GLBL</v>
      </c>
      <c r="C152" s="10" t="str">
        <f t="shared" ca="1" si="10"/>
        <v>Global</v>
      </c>
      <c r="D152" s="10" t="str">
        <f ca="1"/>
        <v>VG</v>
      </c>
      <c r="E152" s="10" t="str">
        <f ca="1">+IF(ISBLANK(D152),"",_xlfn.XLOOKUP(D152,Countries!A:A,Countries!B:B,""))</f>
        <v>British Virgin Islands</v>
      </c>
      <c r="F152" s="10">
        <f t="shared" ca="1" si="11"/>
        <v>188</v>
      </c>
    </row>
    <row r="153" spans="1:6" x14ac:dyDescent="0.25">
      <c r="A153" s="10">
        <f t="shared" ca="1" si="8"/>
        <v>1</v>
      </c>
      <c r="B153" s="10" t="str">
        <f t="shared" ca="1" si="9"/>
        <v>GLBL</v>
      </c>
      <c r="C153" s="10" t="str">
        <f t="shared" ca="1" si="10"/>
        <v>Global</v>
      </c>
      <c r="D153" s="10" t="str">
        <f ca="1"/>
        <v>VN</v>
      </c>
      <c r="E153" s="10" t="str">
        <f ca="1">+IF(ISBLANK(D153),"",_xlfn.XLOOKUP(D153,Countries!A:A,Countries!B:B,""))</f>
        <v>Vietnam</v>
      </c>
      <c r="F153" s="10">
        <f t="shared" ca="1" si="11"/>
        <v>188</v>
      </c>
    </row>
    <row r="154" spans="1:6" x14ac:dyDescent="0.25">
      <c r="A154" s="10">
        <f t="shared" ca="1" si="8"/>
        <v>1</v>
      </c>
      <c r="B154" s="10" t="str">
        <f t="shared" ca="1" si="9"/>
        <v>GLBL</v>
      </c>
      <c r="C154" s="10" t="str">
        <f t="shared" ca="1" si="10"/>
        <v>Global</v>
      </c>
      <c r="D154" s="10" t="str">
        <f ca="1"/>
        <v>XK</v>
      </c>
      <c r="E154" s="10" t="str">
        <f ca="1">+IF(ISBLANK(D154),"",_xlfn.XLOOKUP(D154,Countries!A:A,Countries!B:B,""))</f>
        <v>Kosovo</v>
      </c>
      <c r="F154" s="10">
        <f t="shared" ca="1" si="11"/>
        <v>188</v>
      </c>
    </row>
    <row r="155" spans="1:6" x14ac:dyDescent="0.25">
      <c r="A155" s="10">
        <f t="shared" ca="1" si="8"/>
        <v>1</v>
      </c>
      <c r="B155" s="10" t="str">
        <f t="shared" ca="1" si="9"/>
        <v>GLBL</v>
      </c>
      <c r="C155" s="10" t="str">
        <f t="shared" ca="1" si="10"/>
        <v>Global</v>
      </c>
      <c r="D155" s="10" t="str">
        <f ca="1"/>
        <v>ZA</v>
      </c>
      <c r="E155" s="10" t="str">
        <f ca="1">+IF(ISBLANK(D155),"",_xlfn.XLOOKUP(D155,Countries!A:A,Countries!B:B,""))</f>
        <v>South Africa</v>
      </c>
      <c r="F155" s="10">
        <f t="shared" ca="1" si="11"/>
        <v>188</v>
      </c>
    </row>
    <row r="156" spans="1:6" x14ac:dyDescent="0.25">
      <c r="A156" s="10">
        <f t="shared" ca="1" si="8"/>
        <v>1</v>
      </c>
      <c r="B156" s="10" t="str">
        <f t="shared" ca="1" si="9"/>
        <v>GLBL</v>
      </c>
      <c r="C156" s="10" t="str">
        <f t="shared" ca="1" si="10"/>
        <v>Global</v>
      </c>
      <c r="D156" s="10" t="str">
        <f ca="1"/>
        <v>PW</v>
      </c>
      <c r="E156" s="10" t="str">
        <f ca="1">+IF(ISBLANK(D156),"",_xlfn.XLOOKUP(D156,Countries!A:A,Countries!B:B,""))</f>
        <v>Palau</v>
      </c>
      <c r="F156" s="10">
        <f t="shared" ca="1" si="11"/>
        <v>188</v>
      </c>
    </row>
    <row r="157" spans="1:6" x14ac:dyDescent="0.25">
      <c r="A157" s="10">
        <f t="shared" ca="1" si="8"/>
        <v>1</v>
      </c>
      <c r="B157" s="10" t="str">
        <f t="shared" ca="1" si="9"/>
        <v>GLBL</v>
      </c>
      <c r="C157" s="10" t="str">
        <f t="shared" ca="1" si="10"/>
        <v>Global</v>
      </c>
      <c r="D157" s="10" t="str">
        <f ca="1"/>
        <v>AW</v>
      </c>
      <c r="E157" s="10" t="str">
        <f ca="1">+IF(ISBLANK(D157),"",_xlfn.XLOOKUP(D157,Countries!A:A,Countries!B:B,""))</f>
        <v>Aruba</v>
      </c>
      <c r="F157" s="10">
        <f t="shared" ca="1" si="11"/>
        <v>188</v>
      </c>
    </row>
    <row r="158" spans="1:6" x14ac:dyDescent="0.25">
      <c r="A158" s="10">
        <f t="shared" ca="1" si="8"/>
        <v>1</v>
      </c>
      <c r="B158" s="10" t="str">
        <f t="shared" ca="1" si="9"/>
        <v>GLBL</v>
      </c>
      <c r="C158" s="10" t="str">
        <f t="shared" ca="1" si="10"/>
        <v>Global</v>
      </c>
      <c r="D158" s="10" t="str">
        <f ca="1"/>
        <v>BD</v>
      </c>
      <c r="E158" s="10" t="str">
        <f ca="1">+IF(ISBLANK(D158),"",_xlfn.XLOOKUP(D158,Countries!A:A,Countries!B:B,""))</f>
        <v>Bangladesh</v>
      </c>
      <c r="F158" s="10">
        <f t="shared" ca="1" si="11"/>
        <v>188</v>
      </c>
    </row>
    <row r="159" spans="1:6" x14ac:dyDescent="0.25">
      <c r="A159" s="10">
        <f t="shared" ca="1" si="8"/>
        <v>1</v>
      </c>
      <c r="B159" s="10" t="str">
        <f t="shared" ca="1" si="9"/>
        <v>GLBL</v>
      </c>
      <c r="C159" s="10" t="str">
        <f t="shared" ca="1" si="10"/>
        <v>Global</v>
      </c>
      <c r="D159" s="10" t="str">
        <f ca="1"/>
        <v>BF</v>
      </c>
      <c r="E159" s="10" t="str">
        <f ca="1">+IF(ISBLANK(D159),"",_xlfn.XLOOKUP(D159,Countries!A:A,Countries!B:B,""))</f>
        <v>Burkina Faso</v>
      </c>
      <c r="F159" s="10">
        <f t="shared" ca="1" si="11"/>
        <v>188</v>
      </c>
    </row>
    <row r="160" spans="1:6" x14ac:dyDescent="0.25">
      <c r="A160" s="10">
        <f t="shared" ca="1" si="8"/>
        <v>1</v>
      </c>
      <c r="B160" s="10" t="str">
        <f t="shared" ca="1" si="9"/>
        <v>GLBL</v>
      </c>
      <c r="C160" s="10" t="str">
        <f t="shared" ca="1" si="10"/>
        <v>Global</v>
      </c>
      <c r="D160" s="10" t="str">
        <f ca="1"/>
        <v>BJ</v>
      </c>
      <c r="E160" s="10" t="str">
        <f ca="1">+IF(ISBLANK(D160),"",_xlfn.XLOOKUP(D160,Countries!A:A,Countries!B:B,""))</f>
        <v>Benin</v>
      </c>
      <c r="F160" s="10">
        <f t="shared" ca="1" si="11"/>
        <v>188</v>
      </c>
    </row>
    <row r="161" spans="1:6" x14ac:dyDescent="0.25">
      <c r="A161" s="10">
        <f t="shared" ca="1" si="8"/>
        <v>1</v>
      </c>
      <c r="B161" s="10" t="str">
        <f t="shared" ca="1" si="9"/>
        <v>GLBL</v>
      </c>
      <c r="C161" s="10" t="str">
        <f t="shared" ca="1" si="10"/>
        <v>Global</v>
      </c>
      <c r="D161" s="10" t="str">
        <f ca="1"/>
        <v>BN</v>
      </c>
      <c r="E161" s="10" t="str">
        <f ca="1">+IF(ISBLANK(D161),"",_xlfn.XLOOKUP(D161,Countries!A:A,Countries!B:B,""))</f>
        <v>Brunei Darussalam</v>
      </c>
      <c r="F161" s="10">
        <f t="shared" ca="1" si="11"/>
        <v>188</v>
      </c>
    </row>
    <row r="162" spans="1:6" x14ac:dyDescent="0.25">
      <c r="A162" s="10">
        <f t="shared" ca="1" si="8"/>
        <v>1</v>
      </c>
      <c r="B162" s="10" t="str">
        <f t="shared" ca="1" si="9"/>
        <v>GLBL</v>
      </c>
      <c r="C162" s="10" t="str">
        <f t="shared" ca="1" si="10"/>
        <v>Global</v>
      </c>
      <c r="D162" s="10" t="str">
        <f ca="1"/>
        <v>BO</v>
      </c>
      <c r="E162" s="10" t="str">
        <f ca="1">+IF(ISBLANK(D162),"",_xlfn.XLOOKUP(D162,Countries!A:A,Countries!B:B,""))</f>
        <v>Bolivia</v>
      </c>
      <c r="F162" s="10">
        <f t="shared" ca="1" si="11"/>
        <v>188</v>
      </c>
    </row>
    <row r="163" spans="1:6" x14ac:dyDescent="0.25">
      <c r="A163" s="10">
        <f t="shared" ca="1" si="8"/>
        <v>1</v>
      </c>
      <c r="B163" s="10" t="str">
        <f t="shared" ca="1" si="9"/>
        <v>GLBL</v>
      </c>
      <c r="C163" s="10" t="str">
        <f t="shared" ca="1" si="10"/>
        <v>Global</v>
      </c>
      <c r="D163" s="10" t="str">
        <f ca="1"/>
        <v>CI</v>
      </c>
      <c r="E163" s="10" t="str">
        <f ca="1">+IF(ISBLANK(D163),"",_xlfn.XLOOKUP(D163,Countries!A:A,Countries!B:B,""))</f>
        <v>Cote d'Ivoire</v>
      </c>
      <c r="F163" s="10">
        <f t="shared" ca="1" si="11"/>
        <v>188</v>
      </c>
    </row>
    <row r="164" spans="1:6" x14ac:dyDescent="0.25">
      <c r="A164" s="10">
        <f t="shared" ca="1" si="8"/>
        <v>1</v>
      </c>
      <c r="B164" s="10" t="str">
        <f t="shared" ca="1" si="9"/>
        <v>GLBL</v>
      </c>
      <c r="C164" s="10" t="str">
        <f t="shared" ca="1" si="10"/>
        <v>Global</v>
      </c>
      <c r="D164" s="10" t="str">
        <f ca="1"/>
        <v>CK</v>
      </c>
      <c r="E164" s="10" t="str">
        <f ca="1">+IF(ISBLANK(D164),"",_xlfn.XLOOKUP(D164,Countries!A:A,Countries!B:B,""))</f>
        <v>Cook Islands</v>
      </c>
      <c r="F164" s="10">
        <f t="shared" ca="1" si="11"/>
        <v>188</v>
      </c>
    </row>
    <row r="165" spans="1:6" x14ac:dyDescent="0.25">
      <c r="A165" s="10">
        <f t="shared" ca="1" si="8"/>
        <v>1</v>
      </c>
      <c r="B165" s="10" t="str">
        <f t="shared" ca="1" si="9"/>
        <v>GLBL</v>
      </c>
      <c r="C165" s="10" t="str">
        <f t="shared" ca="1" si="10"/>
        <v>Global</v>
      </c>
      <c r="D165" s="10" t="str">
        <f ca="1"/>
        <v>CM</v>
      </c>
      <c r="E165" s="10" t="str">
        <f ca="1">+IF(ISBLANK(D165),"",_xlfn.XLOOKUP(D165,Countries!A:A,Countries!B:B,""))</f>
        <v>Cameroon</v>
      </c>
      <c r="F165" s="10">
        <f t="shared" ca="1" si="11"/>
        <v>188</v>
      </c>
    </row>
    <row r="166" spans="1:6" x14ac:dyDescent="0.25">
      <c r="A166" s="10">
        <f t="shared" ca="1" si="8"/>
        <v>1</v>
      </c>
      <c r="B166" s="10" t="str">
        <f t="shared" ca="1" si="9"/>
        <v>GLBL</v>
      </c>
      <c r="C166" s="10" t="str">
        <f t="shared" ca="1" si="10"/>
        <v>Global</v>
      </c>
      <c r="D166" s="10" t="str">
        <f ca="1"/>
        <v>DM</v>
      </c>
      <c r="E166" s="10" t="str">
        <f ca="1">+IF(ISBLANK(D166),"",_xlfn.XLOOKUP(D166,Countries!A:A,Countries!B:B,""))</f>
        <v>Dominica</v>
      </c>
      <c r="F166" s="10">
        <f t="shared" ca="1" si="11"/>
        <v>188</v>
      </c>
    </row>
    <row r="167" spans="1:6" x14ac:dyDescent="0.25">
      <c r="A167" s="10">
        <f t="shared" ca="1" si="8"/>
        <v>1</v>
      </c>
      <c r="B167" s="10" t="str">
        <f t="shared" ca="1" si="9"/>
        <v>GLBL</v>
      </c>
      <c r="C167" s="10" t="str">
        <f t="shared" ca="1" si="10"/>
        <v>Global</v>
      </c>
      <c r="D167" s="10" t="str">
        <f ca="1"/>
        <v>DO</v>
      </c>
      <c r="E167" s="10" t="str">
        <f ca="1">+IF(ISBLANK(D167),"",_xlfn.XLOOKUP(D167,Countries!A:A,Countries!B:B,""))</f>
        <v>Dominican Republic</v>
      </c>
      <c r="F167" s="10">
        <f t="shared" ca="1" si="11"/>
        <v>188</v>
      </c>
    </row>
    <row r="168" spans="1:6" x14ac:dyDescent="0.25">
      <c r="A168" s="10">
        <f t="shared" ca="1" si="8"/>
        <v>1</v>
      </c>
      <c r="B168" s="10" t="str">
        <f t="shared" ca="1" si="9"/>
        <v>GLBL</v>
      </c>
      <c r="C168" s="10" t="str">
        <f t="shared" ca="1" si="10"/>
        <v>Global</v>
      </c>
      <c r="D168" s="10" t="str">
        <f ca="1"/>
        <v>GA</v>
      </c>
      <c r="E168" s="10" t="str">
        <f ca="1">+IF(ISBLANK(D168),"",_xlfn.XLOOKUP(D168,Countries!A:A,Countries!B:B,""))</f>
        <v>Gabon</v>
      </c>
      <c r="F168" s="10">
        <f t="shared" ca="1" si="11"/>
        <v>188</v>
      </c>
    </row>
    <row r="169" spans="1:6" x14ac:dyDescent="0.25">
      <c r="A169" s="10">
        <f t="shared" ca="1" si="8"/>
        <v>1</v>
      </c>
      <c r="B169" s="10" t="str">
        <f t="shared" ca="1" si="9"/>
        <v>GLBL</v>
      </c>
      <c r="C169" s="10" t="str">
        <f t="shared" ca="1" si="10"/>
        <v>Global</v>
      </c>
      <c r="D169" s="10" t="str">
        <f ca="1"/>
        <v>GD</v>
      </c>
      <c r="E169" s="10" t="str">
        <f ca="1">+IF(ISBLANK(D169),"",_xlfn.XLOOKUP(D169,Countries!A:A,Countries!B:B,""))</f>
        <v>Grenada</v>
      </c>
      <c r="F169" s="10">
        <f t="shared" ca="1" si="11"/>
        <v>188</v>
      </c>
    </row>
    <row r="170" spans="1:6" x14ac:dyDescent="0.25">
      <c r="A170" s="10">
        <f t="shared" ca="1" si="8"/>
        <v>1</v>
      </c>
      <c r="B170" s="10" t="str">
        <f t="shared" ca="1" si="9"/>
        <v>GLBL</v>
      </c>
      <c r="C170" s="10" t="str">
        <f t="shared" ca="1" si="10"/>
        <v>Global</v>
      </c>
      <c r="D170" s="10" t="str">
        <f ca="1"/>
        <v>GI</v>
      </c>
      <c r="E170" s="10" t="str">
        <f ca="1">+IF(ISBLANK(D170),"",_xlfn.XLOOKUP(D170,Countries!A:A,Countries!B:B,""))</f>
        <v>Gibraltar</v>
      </c>
      <c r="F170" s="10">
        <f t="shared" ca="1" si="11"/>
        <v>188</v>
      </c>
    </row>
    <row r="171" spans="1:6" x14ac:dyDescent="0.25">
      <c r="A171" s="10">
        <f t="shared" ca="1" si="8"/>
        <v>1</v>
      </c>
      <c r="B171" s="10" t="str">
        <f t="shared" ca="1" si="9"/>
        <v>GLBL</v>
      </c>
      <c r="C171" s="10" t="str">
        <f t="shared" ca="1" si="10"/>
        <v>Global</v>
      </c>
      <c r="D171" s="10" t="str">
        <f ca="1"/>
        <v>GN</v>
      </c>
      <c r="E171" s="10" t="str">
        <f ca="1">+IF(ISBLANK(D171),"",_xlfn.XLOOKUP(D171,Countries!A:A,Countries!B:B,""))</f>
        <v>Guinea</v>
      </c>
      <c r="F171" s="10">
        <f t="shared" ca="1" si="11"/>
        <v>188</v>
      </c>
    </row>
    <row r="172" spans="1:6" x14ac:dyDescent="0.25">
      <c r="A172" s="10">
        <f t="shared" ca="1" si="8"/>
        <v>1</v>
      </c>
      <c r="B172" s="10" t="str">
        <f t="shared" ca="1" si="9"/>
        <v>GLBL</v>
      </c>
      <c r="C172" s="10" t="str">
        <f t="shared" ca="1" si="10"/>
        <v>Global</v>
      </c>
      <c r="D172" s="10" t="str">
        <f ca="1"/>
        <v>GY</v>
      </c>
      <c r="E172" s="10" t="str">
        <f ca="1">+IF(ISBLANK(D172),"",_xlfn.XLOOKUP(D172,Countries!A:A,Countries!B:B,""))</f>
        <v>Guyana</v>
      </c>
      <c r="F172" s="10">
        <f t="shared" ca="1" si="11"/>
        <v>188</v>
      </c>
    </row>
    <row r="173" spans="1:6" x14ac:dyDescent="0.25">
      <c r="A173" s="10">
        <f t="shared" ca="1" si="8"/>
        <v>1</v>
      </c>
      <c r="B173" s="10" t="str">
        <f t="shared" ca="1" si="9"/>
        <v>GLBL</v>
      </c>
      <c r="C173" s="10" t="str">
        <f t="shared" ca="1" si="10"/>
        <v>Global</v>
      </c>
      <c r="D173" s="10" t="str">
        <f ca="1"/>
        <v>HT</v>
      </c>
      <c r="E173" s="10" t="str">
        <f ca="1">+IF(ISBLANK(D173),"",_xlfn.XLOOKUP(D173,Countries!A:A,Countries!B:B,""))</f>
        <v>Haiti</v>
      </c>
      <c r="F173" s="10">
        <f t="shared" ca="1" si="11"/>
        <v>188</v>
      </c>
    </row>
    <row r="174" spans="1:6" x14ac:dyDescent="0.25">
      <c r="A174" s="10">
        <f t="shared" ca="1" si="8"/>
        <v>1</v>
      </c>
      <c r="B174" s="10" t="str">
        <f t="shared" ca="1" si="9"/>
        <v>GLBL</v>
      </c>
      <c r="C174" s="10" t="str">
        <f t="shared" ca="1" si="10"/>
        <v>Global</v>
      </c>
      <c r="D174" s="10" t="str">
        <f ca="1"/>
        <v>MG</v>
      </c>
      <c r="E174" s="10" t="str">
        <f ca="1">+IF(ISBLANK(D174),"",_xlfn.XLOOKUP(D174,Countries!A:A,Countries!B:B,""))</f>
        <v>Madagascar</v>
      </c>
      <c r="F174" s="10">
        <f t="shared" ca="1" si="11"/>
        <v>188</v>
      </c>
    </row>
    <row r="175" spans="1:6" x14ac:dyDescent="0.25">
      <c r="A175" s="10">
        <f t="shared" ca="1" si="8"/>
        <v>1</v>
      </c>
      <c r="B175" s="10" t="str">
        <f t="shared" ca="1" si="9"/>
        <v>GLBL</v>
      </c>
      <c r="C175" s="10" t="str">
        <f t="shared" ca="1" si="10"/>
        <v>Global</v>
      </c>
      <c r="D175" s="10" t="str">
        <f ca="1"/>
        <v>MN</v>
      </c>
      <c r="E175" s="10" t="str">
        <f ca="1">+IF(ISBLANK(D175),"",_xlfn.XLOOKUP(D175,Countries!A:A,Countries!B:B,""))</f>
        <v>Mongolia</v>
      </c>
      <c r="F175" s="10">
        <f t="shared" ca="1" si="11"/>
        <v>188</v>
      </c>
    </row>
    <row r="176" spans="1:6" x14ac:dyDescent="0.25">
      <c r="A176" s="10">
        <f t="shared" ca="1" si="8"/>
        <v>1</v>
      </c>
      <c r="B176" s="10" t="str">
        <f t="shared" ca="1" si="9"/>
        <v>GLBL</v>
      </c>
      <c r="C176" s="10" t="str">
        <f t="shared" ca="1" si="10"/>
        <v>Global</v>
      </c>
      <c r="D176" s="10" t="str">
        <f ca="1"/>
        <v>MQ</v>
      </c>
      <c r="E176" s="10" t="str">
        <f ca="1">+IF(ISBLANK(D176),"",_xlfn.XLOOKUP(D176,Countries!A:A,Countries!B:B,""))</f>
        <v>Martinique</v>
      </c>
      <c r="F176" s="10">
        <f t="shared" ca="1" si="11"/>
        <v>188</v>
      </c>
    </row>
    <row r="177" spans="1:6" x14ac:dyDescent="0.25">
      <c r="A177" s="10">
        <f t="shared" ca="1" si="8"/>
        <v>1</v>
      </c>
      <c r="B177" s="10" t="str">
        <f t="shared" ca="1" si="9"/>
        <v>GLBL</v>
      </c>
      <c r="C177" s="10" t="str">
        <f t="shared" ca="1" si="10"/>
        <v>Global</v>
      </c>
      <c r="D177" s="10" t="str">
        <f ca="1"/>
        <v>MR</v>
      </c>
      <c r="E177" s="10" t="str">
        <f ca="1">+IF(ISBLANK(D177),"",_xlfn.XLOOKUP(D177,Countries!A:A,Countries!B:B,""))</f>
        <v>Mauritania</v>
      </c>
      <c r="F177" s="10">
        <f t="shared" ca="1" si="11"/>
        <v>188</v>
      </c>
    </row>
    <row r="178" spans="1:6" x14ac:dyDescent="0.25">
      <c r="A178" s="10">
        <f t="shared" ca="1" si="8"/>
        <v>1</v>
      </c>
      <c r="B178" s="10" t="str">
        <f t="shared" ca="1" si="9"/>
        <v>GLBL</v>
      </c>
      <c r="C178" s="10" t="str">
        <f t="shared" ca="1" si="10"/>
        <v>Global</v>
      </c>
      <c r="D178" s="10" t="str">
        <f ca="1"/>
        <v>MS</v>
      </c>
      <c r="E178" s="10" t="str">
        <f ca="1">+IF(ISBLANK(D178),"",_xlfn.XLOOKUP(D178,Countries!A:A,Countries!B:B,""))</f>
        <v>Montserrat</v>
      </c>
      <c r="F178" s="10">
        <f t="shared" ca="1" si="11"/>
        <v>188</v>
      </c>
    </row>
    <row r="179" spans="1:6" x14ac:dyDescent="0.25">
      <c r="A179" s="10">
        <f t="shared" ca="1" si="8"/>
        <v>1</v>
      </c>
      <c r="B179" s="10" t="str">
        <f t="shared" ca="1" si="9"/>
        <v>GLBL</v>
      </c>
      <c r="C179" s="10" t="str">
        <f t="shared" ca="1" si="10"/>
        <v>Global</v>
      </c>
      <c r="D179" s="10" t="str">
        <f ca="1"/>
        <v>MW</v>
      </c>
      <c r="E179" s="10" t="str">
        <f ca="1">+IF(ISBLANK(D179),"",_xlfn.XLOOKUP(D179,Countries!A:A,Countries!B:B,""))</f>
        <v>Malawi</v>
      </c>
      <c r="F179" s="10">
        <f t="shared" ca="1" si="11"/>
        <v>188</v>
      </c>
    </row>
    <row r="180" spans="1:6" x14ac:dyDescent="0.25">
      <c r="A180" s="10">
        <f t="shared" ca="1" si="8"/>
        <v>1</v>
      </c>
      <c r="B180" s="10" t="str">
        <f t="shared" ca="1" si="9"/>
        <v>GLBL</v>
      </c>
      <c r="C180" s="10" t="str">
        <f t="shared" ca="1" si="10"/>
        <v>Global</v>
      </c>
      <c r="D180" s="10" t="str">
        <f ca="1"/>
        <v>MZ</v>
      </c>
      <c r="E180" s="10" t="str">
        <f ca="1">+IF(ISBLANK(D180),"",_xlfn.XLOOKUP(D180,Countries!A:A,Countries!B:B,""))</f>
        <v>Mozambique</v>
      </c>
      <c r="F180" s="10">
        <f t="shared" ca="1" si="11"/>
        <v>188</v>
      </c>
    </row>
    <row r="181" spans="1:6" x14ac:dyDescent="0.25">
      <c r="A181" s="10">
        <f t="shared" ca="1" si="8"/>
        <v>1</v>
      </c>
      <c r="B181" s="10" t="str">
        <f t="shared" ca="1" si="9"/>
        <v>GLBL</v>
      </c>
      <c r="C181" s="10" t="str">
        <f t="shared" ca="1" si="10"/>
        <v>Global</v>
      </c>
      <c r="D181" s="10" t="str">
        <f ca="1"/>
        <v>NA</v>
      </c>
      <c r="E181" s="10" t="str">
        <f ca="1">+IF(ISBLANK(D181),"",_xlfn.XLOOKUP(D181,Countries!A:A,Countries!B:B,""))</f>
        <v>Namibia</v>
      </c>
      <c r="F181" s="10">
        <f t="shared" ca="1" si="11"/>
        <v>188</v>
      </c>
    </row>
    <row r="182" spans="1:6" x14ac:dyDescent="0.25">
      <c r="A182" s="10">
        <f t="shared" ca="1" si="8"/>
        <v>1</v>
      </c>
      <c r="B182" s="10" t="str">
        <f t="shared" ca="1" si="9"/>
        <v>GLBL</v>
      </c>
      <c r="C182" s="10" t="str">
        <f t="shared" ca="1" si="10"/>
        <v>Global</v>
      </c>
      <c r="D182" s="10" t="str">
        <f ca="1"/>
        <v>PS</v>
      </c>
      <c r="E182" s="10" t="str">
        <f ca="1">+IF(ISBLANK(D182),"",_xlfn.XLOOKUP(D182,Countries!A:A,Countries!B:B,""))</f>
        <v>State of Palestine</v>
      </c>
      <c r="F182" s="10">
        <f t="shared" ca="1" si="11"/>
        <v>188</v>
      </c>
    </row>
    <row r="183" spans="1:6" x14ac:dyDescent="0.25">
      <c r="A183" s="10">
        <f t="shared" ca="1" si="8"/>
        <v>1</v>
      </c>
      <c r="B183" s="10" t="str">
        <f t="shared" ca="1" si="9"/>
        <v>GLBL</v>
      </c>
      <c r="C183" s="10" t="str">
        <f t="shared" ca="1" si="10"/>
        <v>Global</v>
      </c>
      <c r="D183" s="10" t="str">
        <f ca="1"/>
        <v>SC</v>
      </c>
      <c r="E183" s="10" t="str">
        <f ca="1">+IF(ISBLANK(D183),"",_xlfn.XLOOKUP(D183,Countries!A:A,Countries!B:B,""))</f>
        <v>Seychelles</v>
      </c>
      <c r="F183" s="10">
        <f t="shared" ca="1" si="11"/>
        <v>188</v>
      </c>
    </row>
    <row r="184" spans="1:6" x14ac:dyDescent="0.25">
      <c r="A184" s="10">
        <f t="shared" ca="1" si="8"/>
        <v>1</v>
      </c>
      <c r="B184" s="10" t="str">
        <f t="shared" ca="1" si="9"/>
        <v>GLBL</v>
      </c>
      <c r="C184" s="10" t="str">
        <f t="shared" ca="1" si="10"/>
        <v>Global</v>
      </c>
      <c r="D184" s="10" t="str">
        <f ca="1"/>
        <v>ST</v>
      </c>
      <c r="E184" s="10" t="str">
        <f ca="1">+IF(ISBLANK(D184),"",_xlfn.XLOOKUP(D184,Countries!A:A,Countries!B:B,""))</f>
        <v>Sao Tome and Principe</v>
      </c>
      <c r="F184" s="10">
        <f t="shared" ca="1" si="11"/>
        <v>188</v>
      </c>
    </row>
    <row r="185" spans="1:6" x14ac:dyDescent="0.25">
      <c r="A185" s="10">
        <f t="shared" ca="1" si="8"/>
        <v>1</v>
      </c>
      <c r="B185" s="10" t="str">
        <f t="shared" ca="1" si="9"/>
        <v>GLBL</v>
      </c>
      <c r="C185" s="10" t="str">
        <f t="shared" ca="1" si="10"/>
        <v>Global</v>
      </c>
      <c r="D185" s="10" t="str">
        <f ca="1"/>
        <v>TL</v>
      </c>
      <c r="E185" s="10" t="str">
        <f ca="1">+IF(ISBLANK(D185),"",_xlfn.XLOOKUP(D185,Countries!A:A,Countries!B:B,""))</f>
        <v>Timor-Leste</v>
      </c>
      <c r="F185" s="10">
        <f t="shared" ca="1" si="11"/>
        <v>188</v>
      </c>
    </row>
    <row r="186" spans="1:6" x14ac:dyDescent="0.25">
      <c r="A186" s="10">
        <f t="shared" ca="1" si="8"/>
        <v>1</v>
      </c>
      <c r="B186" s="10" t="str">
        <f t="shared" ca="1" si="9"/>
        <v>GLBL</v>
      </c>
      <c r="C186" s="10" t="str">
        <f t="shared" ca="1" si="10"/>
        <v>Global</v>
      </c>
      <c r="D186" s="10" t="str">
        <f ca="1"/>
        <v>UG</v>
      </c>
      <c r="E186" s="10" t="str">
        <f ca="1">+IF(ISBLANK(D186),"",_xlfn.XLOOKUP(D186,Countries!A:A,Countries!B:B,""))</f>
        <v>Uganda</v>
      </c>
      <c r="F186" s="10">
        <f t="shared" ca="1" si="11"/>
        <v>188</v>
      </c>
    </row>
    <row r="187" spans="1:6" x14ac:dyDescent="0.25">
      <c r="A187" s="10">
        <f t="shared" ca="1" si="8"/>
        <v>1</v>
      </c>
      <c r="B187" s="10" t="str">
        <f t="shared" ca="1" si="9"/>
        <v>GLBL</v>
      </c>
      <c r="C187" s="10" t="str">
        <f t="shared" ca="1" si="10"/>
        <v>Global</v>
      </c>
      <c r="D187" s="10" t="str">
        <f ca="1"/>
        <v>VC</v>
      </c>
      <c r="E187" s="10" t="str">
        <f ca="1">+IF(ISBLANK(D187),"",_xlfn.XLOOKUP(D187,Countries!A:A,Countries!B:B,""))</f>
        <v>Saint Vincent and the Grenadines</v>
      </c>
      <c r="F187" s="10">
        <f t="shared" ca="1" si="11"/>
        <v>188</v>
      </c>
    </row>
    <row r="188" spans="1:6" x14ac:dyDescent="0.25">
      <c r="A188" s="10">
        <f t="shared" ca="1" si="8"/>
        <v>1</v>
      </c>
      <c r="B188" s="10" t="str">
        <f t="shared" ca="1" si="9"/>
        <v>GLBL</v>
      </c>
      <c r="C188" s="10" t="str">
        <f t="shared" ca="1" si="10"/>
        <v>Global</v>
      </c>
      <c r="D188" s="10" t="str">
        <f ca="1"/>
        <v>WS</v>
      </c>
      <c r="E188" s="10" t="str">
        <f ca="1">+IF(ISBLANK(D188),"",_xlfn.XLOOKUP(D188,Countries!A:A,Countries!B:B,""))</f>
        <v>Samoa</v>
      </c>
      <c r="F188" s="10">
        <f t="shared" ca="1" si="11"/>
        <v>188</v>
      </c>
    </row>
    <row r="189" spans="1:6" x14ac:dyDescent="0.25">
      <c r="A189" s="10">
        <f t="shared" ca="1" si="8"/>
        <v>1</v>
      </c>
      <c r="B189" s="10" t="str">
        <f t="shared" ca="1" si="9"/>
        <v>GLBL</v>
      </c>
      <c r="C189" s="10" t="str">
        <f t="shared" ca="1" si="10"/>
        <v>Global</v>
      </c>
      <c r="D189" s="10" t="str">
        <f ca="1"/>
        <v>ZW</v>
      </c>
      <c r="E189" s="10" t="str">
        <f ca="1">+IF(ISBLANK(D189),"",_xlfn.XLOOKUP(D189,Countries!A:A,Countries!B:B,""))</f>
        <v>Zimbabwe</v>
      </c>
      <c r="F189" s="10">
        <f t="shared" ca="1" si="11"/>
        <v>188</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190"/>
  <sheetViews>
    <sheetView tabSelected="1" workbookViewId="0">
      <pane ySplit="1" topLeftCell="A2" activePane="bottomLeft" state="frozen"/>
      <selection pane="bottomLeft" activeCell="I2" sqref="I2"/>
    </sheetView>
  </sheetViews>
  <sheetFormatPr defaultRowHeight="15" x14ac:dyDescent="0.25"/>
  <cols>
    <col min="1" max="1" width="11.42578125" customWidth="1"/>
    <col min="2" max="2" width="31.42578125" bestFit="1" customWidth="1"/>
    <col min="3" max="3" width="25.5703125" bestFit="1" customWidth="1"/>
    <col min="4" max="4" width="28.5703125" bestFit="1" customWidth="1"/>
    <col min="5" max="5" width="33.140625" bestFit="1" customWidth="1"/>
    <col min="6" max="6" width="52.7109375" bestFit="1" customWidth="1"/>
    <col min="7" max="7" width="32.5703125" bestFit="1" customWidth="1"/>
    <col min="8" max="8" width="36" bestFit="1" customWidth="1"/>
    <col min="9" max="9" width="13.2851562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10</v>
      </c>
      <c r="E2" t="s">
        <v>12</v>
      </c>
      <c r="F2" t="s">
        <v>13</v>
      </c>
      <c r="G2" t="s">
        <v>10</v>
      </c>
      <c r="H2" t="s">
        <v>10</v>
      </c>
      <c r="I2" t="s">
        <v>10</v>
      </c>
    </row>
    <row r="3" spans="1:9" x14ac:dyDescent="0.25">
      <c r="A3" t="s">
        <v>14</v>
      </c>
      <c r="B3" t="s">
        <v>15</v>
      </c>
      <c r="C3" t="s">
        <v>16</v>
      </c>
      <c r="D3" t="s">
        <v>17</v>
      </c>
      <c r="E3" t="s">
        <v>18</v>
      </c>
      <c r="F3" t="s">
        <v>19</v>
      </c>
      <c r="G3" t="s">
        <v>20</v>
      </c>
      <c r="H3" t="s">
        <v>21</v>
      </c>
      <c r="I3" t="s">
        <v>22</v>
      </c>
    </row>
    <row r="4" spans="1:9" x14ac:dyDescent="0.25">
      <c r="A4" t="s">
        <v>23</v>
      </c>
      <c r="B4" t="s">
        <v>24</v>
      </c>
      <c r="C4" t="s">
        <v>25</v>
      </c>
      <c r="D4" t="s">
        <v>24</v>
      </c>
      <c r="E4" t="s">
        <v>24</v>
      </c>
      <c r="F4" t="s">
        <v>26</v>
      </c>
      <c r="G4" t="s">
        <v>24</v>
      </c>
      <c r="H4" t="s">
        <v>27</v>
      </c>
      <c r="I4" t="s">
        <v>28</v>
      </c>
    </row>
    <row r="5" spans="1:9" x14ac:dyDescent="0.25">
      <c r="A5" t="s">
        <v>29</v>
      </c>
      <c r="B5" t="s">
        <v>30</v>
      </c>
      <c r="C5" t="s">
        <v>31</v>
      </c>
      <c r="D5" t="s">
        <v>32</v>
      </c>
      <c r="E5" t="s">
        <v>33</v>
      </c>
      <c r="F5" t="s">
        <v>34</v>
      </c>
      <c r="G5" t="s">
        <v>35</v>
      </c>
      <c r="H5" t="s">
        <v>36</v>
      </c>
      <c r="I5" t="s">
        <v>37</v>
      </c>
    </row>
    <row r="6" spans="1:9" x14ac:dyDescent="0.25">
      <c r="A6" t="s">
        <v>38</v>
      </c>
      <c r="B6" t="s">
        <v>39</v>
      </c>
      <c r="C6" t="s">
        <v>40</v>
      </c>
      <c r="D6" t="s">
        <v>39</v>
      </c>
      <c r="E6" t="s">
        <v>39</v>
      </c>
      <c r="F6" t="s">
        <v>41</v>
      </c>
      <c r="G6" t="s">
        <v>39</v>
      </c>
      <c r="H6" t="s">
        <v>42</v>
      </c>
      <c r="I6" t="s">
        <v>39</v>
      </c>
    </row>
    <row r="7" spans="1:9" x14ac:dyDescent="0.25">
      <c r="A7" t="s">
        <v>43</v>
      </c>
      <c r="B7" t="s">
        <v>44</v>
      </c>
      <c r="C7" t="s">
        <v>45</v>
      </c>
      <c r="D7" t="s">
        <v>46</v>
      </c>
      <c r="E7" t="s">
        <v>47</v>
      </c>
      <c r="F7" t="s">
        <v>48</v>
      </c>
      <c r="G7" t="s">
        <v>44</v>
      </c>
      <c r="H7" t="s">
        <v>44</v>
      </c>
      <c r="I7" t="s">
        <v>49</v>
      </c>
    </row>
    <row r="8" spans="1:9" x14ac:dyDescent="0.25">
      <c r="A8" t="s">
        <v>50</v>
      </c>
      <c r="B8" t="s">
        <v>51</v>
      </c>
      <c r="C8" t="s">
        <v>52</v>
      </c>
      <c r="D8" t="s">
        <v>53</v>
      </c>
      <c r="E8" t="s">
        <v>54</v>
      </c>
      <c r="F8" t="s">
        <v>55</v>
      </c>
      <c r="G8" t="s">
        <v>51</v>
      </c>
      <c r="H8" t="s">
        <v>51</v>
      </c>
      <c r="I8" t="s">
        <v>56</v>
      </c>
    </row>
    <row r="9" spans="1:9" x14ac:dyDescent="0.25">
      <c r="A9" t="s">
        <v>57</v>
      </c>
      <c r="B9" t="s">
        <v>58</v>
      </c>
      <c r="C9" t="s">
        <v>58</v>
      </c>
      <c r="D9" t="s">
        <v>58</v>
      </c>
      <c r="E9" t="s">
        <v>58</v>
      </c>
      <c r="F9" t="s">
        <v>59</v>
      </c>
      <c r="G9" t="s">
        <v>58</v>
      </c>
      <c r="H9" t="s">
        <v>58</v>
      </c>
      <c r="I9" t="s">
        <v>58</v>
      </c>
    </row>
    <row r="10" spans="1:9" x14ac:dyDescent="0.25">
      <c r="A10" t="s">
        <v>60</v>
      </c>
      <c r="B10" t="s">
        <v>61</v>
      </c>
      <c r="C10" t="s">
        <v>61</v>
      </c>
      <c r="D10" t="s">
        <v>62</v>
      </c>
      <c r="E10" t="s">
        <v>63</v>
      </c>
      <c r="F10" t="s">
        <v>64</v>
      </c>
      <c r="G10" t="s">
        <v>61</v>
      </c>
      <c r="H10" t="s">
        <v>61</v>
      </c>
      <c r="I10" t="s">
        <v>61</v>
      </c>
    </row>
    <row r="11" spans="1:9" x14ac:dyDescent="0.25">
      <c r="A11" t="s">
        <v>65</v>
      </c>
      <c r="B11" t="s">
        <v>66</v>
      </c>
      <c r="C11" t="s">
        <v>67</v>
      </c>
      <c r="D11" t="s">
        <v>68</v>
      </c>
      <c r="E11" t="s">
        <v>69</v>
      </c>
      <c r="F11" t="s">
        <v>70</v>
      </c>
      <c r="G11" t="s">
        <v>66</v>
      </c>
      <c r="H11" t="s">
        <v>66</v>
      </c>
      <c r="I11" t="s">
        <v>71</v>
      </c>
    </row>
    <row r="12" spans="1:9" x14ac:dyDescent="0.25">
      <c r="A12" t="s">
        <v>72</v>
      </c>
      <c r="B12" t="s">
        <v>73</v>
      </c>
      <c r="C12" t="s">
        <v>74</v>
      </c>
      <c r="D12" t="s">
        <v>75</v>
      </c>
      <c r="E12" t="s">
        <v>76</v>
      </c>
      <c r="F12" t="s">
        <v>77</v>
      </c>
      <c r="G12" t="s">
        <v>73</v>
      </c>
      <c r="H12" t="s">
        <v>73</v>
      </c>
      <c r="I12" t="s">
        <v>78</v>
      </c>
    </row>
    <row r="13" spans="1:9" x14ac:dyDescent="0.25">
      <c r="A13" t="s">
        <v>79</v>
      </c>
      <c r="B13" t="s">
        <v>80</v>
      </c>
      <c r="C13" t="s">
        <v>80</v>
      </c>
      <c r="D13" t="s">
        <v>80</v>
      </c>
      <c r="E13" t="s">
        <v>80</v>
      </c>
      <c r="F13" t="s">
        <v>81</v>
      </c>
      <c r="G13" t="s">
        <v>80</v>
      </c>
      <c r="H13" t="s">
        <v>80</v>
      </c>
      <c r="I13" t="s">
        <v>80</v>
      </c>
    </row>
    <row r="14" spans="1:9" x14ac:dyDescent="0.25">
      <c r="A14" t="s">
        <v>82</v>
      </c>
      <c r="B14" t="s">
        <v>83</v>
      </c>
      <c r="C14" t="s">
        <v>84</v>
      </c>
      <c r="D14" t="s">
        <v>85</v>
      </c>
      <c r="E14" t="s">
        <v>86</v>
      </c>
      <c r="F14" t="s">
        <v>87</v>
      </c>
      <c r="G14" t="s">
        <v>88</v>
      </c>
      <c r="H14" t="s">
        <v>89</v>
      </c>
      <c r="I14" t="s">
        <v>90</v>
      </c>
    </row>
    <row r="15" spans="1:9" x14ac:dyDescent="0.25">
      <c r="A15" t="s">
        <v>91</v>
      </c>
      <c r="B15" t="s">
        <v>92</v>
      </c>
      <c r="C15" t="s">
        <v>93</v>
      </c>
      <c r="D15" t="s">
        <v>94</v>
      </c>
      <c r="E15" t="s">
        <v>95</v>
      </c>
      <c r="F15" t="s">
        <v>96</v>
      </c>
      <c r="G15" t="s">
        <v>97</v>
      </c>
      <c r="H15" t="s">
        <v>98</v>
      </c>
      <c r="I15" t="s">
        <v>99</v>
      </c>
    </row>
    <row r="16" spans="1:9" x14ac:dyDescent="0.25">
      <c r="A16" t="s">
        <v>100</v>
      </c>
      <c r="B16" t="s">
        <v>101</v>
      </c>
      <c r="C16" t="s">
        <v>101</v>
      </c>
      <c r="D16" t="s">
        <v>101</v>
      </c>
      <c r="E16" t="s">
        <v>102</v>
      </c>
      <c r="F16" t="s">
        <v>103</v>
      </c>
      <c r="G16" t="s">
        <v>101</v>
      </c>
      <c r="H16" t="s">
        <v>101</v>
      </c>
      <c r="I16" t="s">
        <v>101</v>
      </c>
    </row>
    <row r="17" spans="1:9" x14ac:dyDescent="0.25">
      <c r="A17" t="s">
        <v>104</v>
      </c>
      <c r="B17" t="s">
        <v>105</v>
      </c>
      <c r="C17" t="s">
        <v>106</v>
      </c>
      <c r="D17" t="s">
        <v>107</v>
      </c>
      <c r="E17" t="s">
        <v>105</v>
      </c>
      <c r="F17" t="s">
        <v>108</v>
      </c>
      <c r="G17" t="s">
        <v>105</v>
      </c>
      <c r="H17" t="s">
        <v>105</v>
      </c>
      <c r="I17" t="s">
        <v>105</v>
      </c>
    </row>
    <row r="18" spans="1:9" x14ac:dyDescent="0.25">
      <c r="A18" t="s">
        <v>109</v>
      </c>
      <c r="B18" t="s">
        <v>110</v>
      </c>
      <c r="C18" t="s">
        <v>111</v>
      </c>
      <c r="D18" t="s">
        <v>112</v>
      </c>
      <c r="E18" t="s">
        <v>113</v>
      </c>
      <c r="F18" t="s">
        <v>114</v>
      </c>
      <c r="G18" t="s">
        <v>115</v>
      </c>
      <c r="H18" t="s">
        <v>116</v>
      </c>
      <c r="I18" t="s">
        <v>116</v>
      </c>
    </row>
    <row r="19" spans="1:9" x14ac:dyDescent="0.25">
      <c r="A19" t="s">
        <v>117</v>
      </c>
      <c r="B19" t="s">
        <v>118</v>
      </c>
      <c r="C19" t="s">
        <v>118</v>
      </c>
      <c r="D19" t="s">
        <v>118</v>
      </c>
      <c r="E19" t="s">
        <v>118</v>
      </c>
      <c r="F19" t="s">
        <v>119</v>
      </c>
      <c r="G19" t="s">
        <v>118</v>
      </c>
      <c r="H19" t="s">
        <v>118</v>
      </c>
      <c r="I19" t="s">
        <v>120</v>
      </c>
    </row>
    <row r="20" spans="1:9" x14ac:dyDescent="0.25">
      <c r="A20" t="s">
        <v>121</v>
      </c>
      <c r="B20" t="s">
        <v>122</v>
      </c>
      <c r="C20" t="s">
        <v>123</v>
      </c>
      <c r="D20" t="s">
        <v>124</v>
      </c>
      <c r="E20" t="s">
        <v>125</v>
      </c>
      <c r="F20" t="s">
        <v>126</v>
      </c>
      <c r="G20" t="s">
        <v>122</v>
      </c>
      <c r="H20" t="s">
        <v>122</v>
      </c>
      <c r="I20" t="s">
        <v>127</v>
      </c>
    </row>
    <row r="21" spans="1:9" x14ac:dyDescent="0.25">
      <c r="A21" t="s">
        <v>128</v>
      </c>
      <c r="B21" t="s">
        <v>129</v>
      </c>
      <c r="C21" t="s">
        <v>130</v>
      </c>
      <c r="D21" t="s">
        <v>129</v>
      </c>
      <c r="E21" t="s">
        <v>131</v>
      </c>
      <c r="F21" t="s">
        <v>132</v>
      </c>
      <c r="G21" t="s">
        <v>129</v>
      </c>
      <c r="H21" t="s">
        <v>130</v>
      </c>
      <c r="I21" t="s">
        <v>130</v>
      </c>
    </row>
    <row r="22" spans="1:9" x14ac:dyDescent="0.25">
      <c r="A22" t="s">
        <v>133</v>
      </c>
      <c r="B22" t="s">
        <v>134</v>
      </c>
      <c r="C22" t="s">
        <v>134</v>
      </c>
      <c r="D22" t="s">
        <v>134</v>
      </c>
      <c r="E22" t="s">
        <v>135</v>
      </c>
      <c r="F22" t="s">
        <v>136</v>
      </c>
      <c r="G22" t="s">
        <v>134</v>
      </c>
      <c r="H22" t="s">
        <v>134</v>
      </c>
      <c r="I22" t="s">
        <v>134</v>
      </c>
    </row>
    <row r="23" spans="1:9" x14ac:dyDescent="0.25">
      <c r="A23" t="s">
        <v>137</v>
      </c>
      <c r="B23" t="s">
        <v>138</v>
      </c>
      <c r="C23" t="s">
        <v>138</v>
      </c>
      <c r="D23" t="s">
        <v>138</v>
      </c>
      <c r="E23" t="s">
        <v>139</v>
      </c>
      <c r="F23" t="s">
        <v>140</v>
      </c>
      <c r="G23" t="s">
        <v>138</v>
      </c>
      <c r="H23" t="s">
        <v>141</v>
      </c>
      <c r="I23" t="s">
        <v>141</v>
      </c>
    </row>
    <row r="24" spans="1:9" x14ac:dyDescent="0.25">
      <c r="A24" t="s">
        <v>142</v>
      </c>
      <c r="B24" t="s">
        <v>143</v>
      </c>
      <c r="C24" t="s">
        <v>144</v>
      </c>
      <c r="D24" t="s">
        <v>145</v>
      </c>
      <c r="E24" t="s">
        <v>146</v>
      </c>
      <c r="F24" t="s">
        <v>147</v>
      </c>
      <c r="G24" t="s">
        <v>143</v>
      </c>
      <c r="H24" t="s">
        <v>143</v>
      </c>
      <c r="I24" t="s">
        <v>148</v>
      </c>
    </row>
    <row r="25" spans="1:9" x14ac:dyDescent="0.25">
      <c r="A25" t="s">
        <v>149</v>
      </c>
      <c r="B25" t="s">
        <v>150</v>
      </c>
      <c r="C25" t="s">
        <v>151</v>
      </c>
      <c r="D25" t="s">
        <v>152</v>
      </c>
      <c r="E25" t="s">
        <v>153</v>
      </c>
      <c r="F25" t="s">
        <v>154</v>
      </c>
      <c r="G25" t="s">
        <v>155</v>
      </c>
      <c r="H25" t="s">
        <v>156</v>
      </c>
      <c r="I25" t="s">
        <v>157</v>
      </c>
    </row>
    <row r="26" spans="1:9" x14ac:dyDescent="0.25">
      <c r="A26" t="s">
        <v>158</v>
      </c>
      <c r="B26" t="s">
        <v>159</v>
      </c>
      <c r="C26" t="s">
        <v>159</v>
      </c>
      <c r="D26" t="s">
        <v>160</v>
      </c>
      <c r="E26" t="s">
        <v>161</v>
      </c>
      <c r="F26" t="s">
        <v>162</v>
      </c>
      <c r="G26" t="s">
        <v>163</v>
      </c>
      <c r="H26" t="s">
        <v>164</v>
      </c>
      <c r="I26" t="s">
        <v>164</v>
      </c>
    </row>
    <row r="27" spans="1:9" x14ac:dyDescent="0.25">
      <c r="A27" t="s">
        <v>165</v>
      </c>
      <c r="B27" t="s">
        <v>166</v>
      </c>
      <c r="C27" t="s">
        <v>167</v>
      </c>
      <c r="D27" t="s">
        <v>166</v>
      </c>
      <c r="E27" t="s">
        <v>166</v>
      </c>
      <c r="F27" t="s">
        <v>168</v>
      </c>
      <c r="G27" t="s">
        <v>166</v>
      </c>
      <c r="H27" t="s">
        <v>166</v>
      </c>
      <c r="I27" t="s">
        <v>166</v>
      </c>
    </row>
    <row r="28" spans="1:9" x14ac:dyDescent="0.25">
      <c r="A28" t="s">
        <v>169</v>
      </c>
      <c r="B28" t="s">
        <v>170</v>
      </c>
      <c r="C28" t="s">
        <v>171</v>
      </c>
      <c r="D28" t="s">
        <v>170</v>
      </c>
      <c r="E28" t="s">
        <v>170</v>
      </c>
      <c r="F28" t="s">
        <v>172</v>
      </c>
      <c r="G28" t="s">
        <v>170</v>
      </c>
      <c r="H28" t="s">
        <v>170</v>
      </c>
      <c r="I28" t="s">
        <v>173</v>
      </c>
    </row>
    <row r="29" spans="1:9" x14ac:dyDescent="0.25">
      <c r="A29" t="s">
        <v>174</v>
      </c>
      <c r="B29" t="s">
        <v>175</v>
      </c>
      <c r="C29" t="s">
        <v>176</v>
      </c>
      <c r="D29" t="s">
        <v>175</v>
      </c>
      <c r="E29" t="s">
        <v>177</v>
      </c>
      <c r="F29" t="s">
        <v>178</v>
      </c>
      <c r="G29" t="s">
        <v>179</v>
      </c>
      <c r="H29" t="s">
        <v>180</v>
      </c>
      <c r="I29" t="s">
        <v>181</v>
      </c>
    </row>
    <row r="30" spans="1:9" x14ac:dyDescent="0.25">
      <c r="A30" t="s">
        <v>182</v>
      </c>
      <c r="B30" t="s">
        <v>183</v>
      </c>
      <c r="C30" t="s">
        <v>183</v>
      </c>
      <c r="D30" t="s">
        <v>183</v>
      </c>
      <c r="E30" t="s">
        <v>183</v>
      </c>
      <c r="F30" t="s">
        <v>184</v>
      </c>
      <c r="G30" t="s">
        <v>183</v>
      </c>
      <c r="H30" t="s">
        <v>185</v>
      </c>
      <c r="I30" t="s">
        <v>183</v>
      </c>
    </row>
    <row r="31" spans="1:9" x14ac:dyDescent="0.25">
      <c r="A31" t="s">
        <v>186</v>
      </c>
      <c r="B31" t="s">
        <v>187</v>
      </c>
      <c r="C31" t="s">
        <v>188</v>
      </c>
      <c r="D31" t="s">
        <v>188</v>
      </c>
      <c r="E31" t="s">
        <v>187</v>
      </c>
      <c r="F31" t="s">
        <v>189</v>
      </c>
      <c r="G31" t="s">
        <v>187</v>
      </c>
      <c r="H31" t="s">
        <v>190</v>
      </c>
      <c r="I31" t="s">
        <v>190</v>
      </c>
    </row>
    <row r="32" spans="1:9" x14ac:dyDescent="0.25">
      <c r="A32" t="s">
        <v>191</v>
      </c>
      <c r="B32" t="s">
        <v>192</v>
      </c>
      <c r="C32" t="s">
        <v>193</v>
      </c>
      <c r="D32" t="s">
        <v>194</v>
      </c>
      <c r="E32" t="s">
        <v>195</v>
      </c>
      <c r="F32" t="s">
        <v>196</v>
      </c>
      <c r="G32" t="s">
        <v>197</v>
      </c>
      <c r="H32" t="s">
        <v>198</v>
      </c>
      <c r="I32" t="s">
        <v>199</v>
      </c>
    </row>
    <row r="33" spans="1:9" x14ac:dyDescent="0.25">
      <c r="A33" t="s">
        <v>200</v>
      </c>
      <c r="B33" t="s">
        <v>201</v>
      </c>
      <c r="C33" t="s">
        <v>202</v>
      </c>
      <c r="D33" t="s">
        <v>203</v>
      </c>
      <c r="E33" t="s">
        <v>204</v>
      </c>
      <c r="F33" t="s">
        <v>205</v>
      </c>
      <c r="G33" t="s">
        <v>206</v>
      </c>
      <c r="H33" t="s">
        <v>207</v>
      </c>
      <c r="I33" t="s">
        <v>208</v>
      </c>
    </row>
    <row r="34" spans="1:9" x14ac:dyDescent="0.25">
      <c r="A34" t="s">
        <v>209</v>
      </c>
      <c r="B34" t="s">
        <v>210</v>
      </c>
      <c r="C34" t="s">
        <v>211</v>
      </c>
      <c r="D34" t="s">
        <v>212</v>
      </c>
      <c r="E34" t="s">
        <v>213</v>
      </c>
      <c r="F34" t="s">
        <v>214</v>
      </c>
      <c r="G34" t="s">
        <v>215</v>
      </c>
      <c r="H34" t="s">
        <v>216</v>
      </c>
      <c r="I34" t="s">
        <v>217</v>
      </c>
    </row>
    <row r="35" spans="1:9" x14ac:dyDescent="0.25">
      <c r="A35" t="s">
        <v>218</v>
      </c>
      <c r="B35" t="s">
        <v>219</v>
      </c>
      <c r="C35" t="s">
        <v>220</v>
      </c>
      <c r="D35" t="s">
        <v>219</v>
      </c>
      <c r="E35" t="s">
        <v>221</v>
      </c>
      <c r="F35" t="s">
        <v>222</v>
      </c>
      <c r="G35" t="s">
        <v>223</v>
      </c>
      <c r="H35" t="s">
        <v>219</v>
      </c>
      <c r="I35" t="s">
        <v>219</v>
      </c>
    </row>
    <row r="36" spans="1:9" x14ac:dyDescent="0.25">
      <c r="A36" t="s">
        <v>224</v>
      </c>
      <c r="B36" t="s">
        <v>225</v>
      </c>
      <c r="C36" t="s">
        <v>226</v>
      </c>
      <c r="D36" t="s">
        <v>226</v>
      </c>
      <c r="E36" t="s">
        <v>227</v>
      </c>
      <c r="F36" t="s">
        <v>228</v>
      </c>
      <c r="G36" t="s">
        <v>229</v>
      </c>
      <c r="H36" t="s">
        <v>230</v>
      </c>
      <c r="I36" t="s">
        <v>231</v>
      </c>
    </row>
    <row r="37" spans="1:9" x14ac:dyDescent="0.25">
      <c r="A37" t="s">
        <v>232</v>
      </c>
      <c r="B37" t="s">
        <v>233</v>
      </c>
      <c r="C37" t="s">
        <v>234</v>
      </c>
      <c r="D37" t="s">
        <v>233</v>
      </c>
      <c r="E37" t="s">
        <v>235</v>
      </c>
      <c r="F37" t="s">
        <v>236</v>
      </c>
      <c r="G37" t="s">
        <v>237</v>
      </c>
      <c r="H37" t="s">
        <v>233</v>
      </c>
      <c r="I37" t="s">
        <v>233</v>
      </c>
    </row>
    <row r="38" spans="1:9" x14ac:dyDescent="0.25">
      <c r="A38" t="s">
        <v>238</v>
      </c>
      <c r="B38" t="s">
        <v>239</v>
      </c>
      <c r="C38" t="s">
        <v>240</v>
      </c>
      <c r="D38" t="s">
        <v>241</v>
      </c>
      <c r="E38" t="s">
        <v>242</v>
      </c>
      <c r="F38" t="s">
        <v>243</v>
      </c>
      <c r="G38" t="s">
        <v>239</v>
      </c>
      <c r="H38" t="s">
        <v>239</v>
      </c>
      <c r="I38" t="s">
        <v>244</v>
      </c>
    </row>
    <row r="39" spans="1:9" x14ac:dyDescent="0.25">
      <c r="A39" t="s">
        <v>245</v>
      </c>
      <c r="B39" t="s">
        <v>246</v>
      </c>
      <c r="C39" t="s">
        <v>247</v>
      </c>
      <c r="D39" t="s">
        <v>246</v>
      </c>
      <c r="E39" t="s">
        <v>246</v>
      </c>
      <c r="F39" t="s">
        <v>248</v>
      </c>
      <c r="G39" t="s">
        <v>246</v>
      </c>
      <c r="H39" t="s">
        <v>246</v>
      </c>
      <c r="I39" t="s">
        <v>246</v>
      </c>
    </row>
    <row r="40" spans="1:9" x14ac:dyDescent="0.25">
      <c r="A40" t="s">
        <v>249</v>
      </c>
      <c r="B40" t="s">
        <v>250</v>
      </c>
      <c r="C40" t="s">
        <v>251</v>
      </c>
      <c r="D40" t="s">
        <v>251</v>
      </c>
      <c r="E40" t="s">
        <v>250</v>
      </c>
      <c r="F40" t="s">
        <v>252</v>
      </c>
      <c r="G40" t="s">
        <v>250</v>
      </c>
      <c r="H40" t="s">
        <v>250</v>
      </c>
      <c r="I40" t="s">
        <v>250</v>
      </c>
    </row>
    <row r="41" spans="1:9" x14ac:dyDescent="0.25">
      <c r="A41" t="s">
        <v>253</v>
      </c>
      <c r="B41" t="s">
        <v>254</v>
      </c>
      <c r="C41" t="s">
        <v>255</v>
      </c>
      <c r="D41" t="s">
        <v>256</v>
      </c>
      <c r="E41" t="s">
        <v>257</v>
      </c>
      <c r="F41" t="s">
        <v>258</v>
      </c>
      <c r="G41" t="s">
        <v>259</v>
      </c>
      <c r="H41" t="s">
        <v>260</v>
      </c>
      <c r="I41" t="s">
        <v>260</v>
      </c>
    </row>
    <row r="42" spans="1:9" x14ac:dyDescent="0.25">
      <c r="A42" t="s">
        <v>261</v>
      </c>
      <c r="B42" t="s">
        <v>262</v>
      </c>
      <c r="C42" t="s">
        <v>263</v>
      </c>
      <c r="D42" t="s">
        <v>264</v>
      </c>
      <c r="E42" t="s">
        <v>265</v>
      </c>
      <c r="F42" t="s">
        <v>266</v>
      </c>
      <c r="G42" t="s">
        <v>267</v>
      </c>
      <c r="H42" t="s">
        <v>268</v>
      </c>
      <c r="I42" t="s">
        <v>268</v>
      </c>
    </row>
    <row r="43" spans="1:9" x14ac:dyDescent="0.25">
      <c r="A43" t="s">
        <v>269</v>
      </c>
      <c r="B43" t="s">
        <v>270</v>
      </c>
      <c r="C43" t="s">
        <v>271</v>
      </c>
      <c r="D43" t="s">
        <v>272</v>
      </c>
      <c r="E43" t="s">
        <v>273</v>
      </c>
      <c r="F43" t="s">
        <v>274</v>
      </c>
      <c r="G43" t="s">
        <v>275</v>
      </c>
      <c r="H43" t="s">
        <v>276</v>
      </c>
      <c r="I43" t="s">
        <v>277</v>
      </c>
    </row>
    <row r="44" spans="1:9" x14ac:dyDescent="0.25">
      <c r="A44" t="s">
        <v>278</v>
      </c>
      <c r="B44" t="s">
        <v>279</v>
      </c>
      <c r="C44" t="s">
        <v>280</v>
      </c>
      <c r="D44" t="s">
        <v>281</v>
      </c>
      <c r="E44" t="s">
        <v>282</v>
      </c>
      <c r="F44" t="s">
        <v>283</v>
      </c>
      <c r="G44" t="s">
        <v>284</v>
      </c>
      <c r="H44" t="s">
        <v>285</v>
      </c>
      <c r="I44" t="s">
        <v>286</v>
      </c>
    </row>
    <row r="45" spans="1:9" x14ac:dyDescent="0.25">
      <c r="A45" t="s">
        <v>287</v>
      </c>
      <c r="B45" t="s">
        <v>288</v>
      </c>
      <c r="C45" t="s">
        <v>289</v>
      </c>
      <c r="D45" t="s">
        <v>290</v>
      </c>
      <c r="E45" t="s">
        <v>291</v>
      </c>
      <c r="F45" t="s">
        <v>292</v>
      </c>
      <c r="G45" t="s">
        <v>293</v>
      </c>
      <c r="H45" t="s">
        <v>294</v>
      </c>
      <c r="I45" t="s">
        <v>294</v>
      </c>
    </row>
    <row r="46" spans="1:9" x14ac:dyDescent="0.25">
      <c r="A46" t="s">
        <v>295</v>
      </c>
      <c r="B46" t="s">
        <v>296</v>
      </c>
      <c r="C46" t="s">
        <v>297</v>
      </c>
      <c r="D46" t="s">
        <v>296</v>
      </c>
      <c r="E46" t="s">
        <v>298</v>
      </c>
      <c r="F46" t="s">
        <v>299</v>
      </c>
      <c r="G46" t="s">
        <v>296</v>
      </c>
      <c r="H46" t="s">
        <v>296</v>
      </c>
      <c r="I46" t="s">
        <v>296</v>
      </c>
    </row>
    <row r="47" spans="1:9" x14ac:dyDescent="0.25">
      <c r="A47" t="s">
        <v>300</v>
      </c>
      <c r="B47" t="s">
        <v>301</v>
      </c>
      <c r="C47" t="s">
        <v>302</v>
      </c>
      <c r="D47" t="s">
        <v>303</v>
      </c>
      <c r="E47" t="s">
        <v>304</v>
      </c>
      <c r="F47" t="s">
        <v>305</v>
      </c>
      <c r="G47" t="s">
        <v>306</v>
      </c>
      <c r="H47" t="s">
        <v>307</v>
      </c>
      <c r="I47" t="s">
        <v>307</v>
      </c>
    </row>
    <row r="48" spans="1:9" x14ac:dyDescent="0.25">
      <c r="A48" t="s">
        <v>308</v>
      </c>
      <c r="B48" t="s">
        <v>309</v>
      </c>
      <c r="C48" t="s">
        <v>310</v>
      </c>
      <c r="D48" t="s">
        <v>311</v>
      </c>
      <c r="E48" t="s">
        <v>312</v>
      </c>
      <c r="F48" t="s">
        <v>313</v>
      </c>
      <c r="G48" t="s">
        <v>309</v>
      </c>
      <c r="H48" t="s">
        <v>314</v>
      </c>
      <c r="I48" t="s">
        <v>315</v>
      </c>
    </row>
    <row r="49" spans="1:9" x14ac:dyDescent="0.25">
      <c r="A49" t="s">
        <v>316</v>
      </c>
      <c r="B49" t="s">
        <v>317</v>
      </c>
      <c r="C49" t="s">
        <v>318</v>
      </c>
      <c r="D49" t="s">
        <v>317</v>
      </c>
      <c r="E49" t="s">
        <v>319</v>
      </c>
      <c r="F49" t="s">
        <v>320</v>
      </c>
      <c r="G49" t="s">
        <v>317</v>
      </c>
      <c r="H49" t="s">
        <v>317</v>
      </c>
      <c r="I49" t="s">
        <v>321</v>
      </c>
    </row>
    <row r="50" spans="1:9" x14ac:dyDescent="0.25">
      <c r="A50" t="s">
        <v>322</v>
      </c>
      <c r="B50" t="s">
        <v>323</v>
      </c>
      <c r="C50" t="s">
        <v>324</v>
      </c>
      <c r="D50" t="s">
        <v>325</v>
      </c>
      <c r="E50" t="s">
        <v>326</v>
      </c>
      <c r="F50" t="s">
        <v>327</v>
      </c>
      <c r="G50" t="s">
        <v>323</v>
      </c>
      <c r="H50" t="s">
        <v>323</v>
      </c>
      <c r="I50" t="s">
        <v>328</v>
      </c>
    </row>
    <row r="51" spans="1:9" x14ac:dyDescent="0.25">
      <c r="A51" t="s">
        <v>329</v>
      </c>
      <c r="B51" t="s">
        <v>330</v>
      </c>
      <c r="C51" t="s">
        <v>331</v>
      </c>
      <c r="D51" t="s">
        <v>332</v>
      </c>
      <c r="E51" t="s">
        <v>333</v>
      </c>
      <c r="F51" t="s">
        <v>334</v>
      </c>
      <c r="G51" t="s">
        <v>335</v>
      </c>
      <c r="H51" t="s">
        <v>336</v>
      </c>
      <c r="I51" t="s">
        <v>337</v>
      </c>
    </row>
    <row r="52" spans="1:9" x14ac:dyDescent="0.25">
      <c r="A52" t="s">
        <v>338</v>
      </c>
      <c r="B52" t="s">
        <v>339</v>
      </c>
      <c r="C52" t="s">
        <v>340</v>
      </c>
      <c r="D52" t="s">
        <v>341</v>
      </c>
      <c r="E52" t="s">
        <v>342</v>
      </c>
      <c r="F52" t="s">
        <v>343</v>
      </c>
      <c r="G52" t="s">
        <v>344</v>
      </c>
      <c r="H52" t="s">
        <v>345</v>
      </c>
      <c r="I52" t="s">
        <v>346</v>
      </c>
    </row>
    <row r="53" spans="1:9" x14ac:dyDescent="0.25">
      <c r="A53" t="s">
        <v>347</v>
      </c>
      <c r="B53" t="s">
        <v>348</v>
      </c>
      <c r="C53" t="s">
        <v>349</v>
      </c>
      <c r="D53" t="s">
        <v>350</v>
      </c>
      <c r="E53" t="s">
        <v>351</v>
      </c>
      <c r="F53" t="s">
        <v>352</v>
      </c>
      <c r="G53" t="s">
        <v>353</v>
      </c>
      <c r="H53" t="s">
        <v>354</v>
      </c>
      <c r="I53" t="s">
        <v>355</v>
      </c>
    </row>
    <row r="54" spans="1:9" x14ac:dyDescent="0.25">
      <c r="A54" t="s">
        <v>356</v>
      </c>
      <c r="B54" t="s">
        <v>357</v>
      </c>
      <c r="C54" t="s">
        <v>358</v>
      </c>
      <c r="D54" t="s">
        <v>359</v>
      </c>
      <c r="E54" t="s">
        <v>360</v>
      </c>
      <c r="F54" t="s">
        <v>361</v>
      </c>
      <c r="G54" t="s">
        <v>362</v>
      </c>
      <c r="H54" t="s">
        <v>362</v>
      </c>
      <c r="I54" t="s">
        <v>363</v>
      </c>
    </row>
    <row r="55" spans="1:9" x14ac:dyDescent="0.25">
      <c r="A55" t="s">
        <v>364</v>
      </c>
      <c r="B55" t="s">
        <v>365</v>
      </c>
      <c r="C55" t="s">
        <v>366</v>
      </c>
      <c r="D55" t="s">
        <v>367</v>
      </c>
      <c r="E55" t="s">
        <v>368</v>
      </c>
      <c r="F55" t="s">
        <v>369</v>
      </c>
      <c r="G55" t="s">
        <v>370</v>
      </c>
      <c r="H55" t="s">
        <v>365</v>
      </c>
      <c r="I55" t="s">
        <v>365</v>
      </c>
    </row>
    <row r="56" spans="1:9" x14ac:dyDescent="0.25">
      <c r="A56" t="s">
        <v>371</v>
      </c>
      <c r="B56" t="s">
        <v>372</v>
      </c>
      <c r="C56" t="s">
        <v>373</v>
      </c>
      <c r="D56" t="s">
        <v>374</v>
      </c>
      <c r="E56" t="s">
        <v>375</v>
      </c>
      <c r="F56" t="s">
        <v>376</v>
      </c>
      <c r="G56" t="s">
        <v>377</v>
      </c>
      <c r="H56" t="s">
        <v>378</v>
      </c>
      <c r="I56" t="s">
        <v>379</v>
      </c>
    </row>
    <row r="57" spans="1:9" x14ac:dyDescent="0.25">
      <c r="A57" t="s">
        <v>380</v>
      </c>
      <c r="B57" t="s">
        <v>381</v>
      </c>
      <c r="C57" t="s">
        <v>382</v>
      </c>
      <c r="D57" t="s">
        <v>383</v>
      </c>
      <c r="E57" t="s">
        <v>381</v>
      </c>
      <c r="F57" t="s">
        <v>384</v>
      </c>
      <c r="G57" t="s">
        <v>385</v>
      </c>
      <c r="H57" t="s">
        <v>385</v>
      </c>
      <c r="I57" t="s">
        <v>386</v>
      </c>
    </row>
    <row r="58" spans="1:9" x14ac:dyDescent="0.25">
      <c r="A58" t="s">
        <v>387</v>
      </c>
      <c r="B58" t="s">
        <v>388</v>
      </c>
      <c r="C58" t="s">
        <v>388</v>
      </c>
      <c r="D58" t="s">
        <v>389</v>
      </c>
      <c r="E58" t="s">
        <v>388</v>
      </c>
      <c r="F58" t="s">
        <v>390</v>
      </c>
      <c r="G58" t="s">
        <v>388</v>
      </c>
      <c r="H58" t="s">
        <v>391</v>
      </c>
      <c r="I58" t="s">
        <v>392</v>
      </c>
    </row>
    <row r="59" spans="1:9" x14ac:dyDescent="0.25">
      <c r="A59" t="s">
        <v>393</v>
      </c>
      <c r="B59" t="s">
        <v>394</v>
      </c>
      <c r="C59" t="s">
        <v>395</v>
      </c>
      <c r="D59" t="s">
        <v>396</v>
      </c>
      <c r="E59" t="s">
        <v>397</v>
      </c>
      <c r="F59" t="s">
        <v>398</v>
      </c>
      <c r="G59" t="s">
        <v>399</v>
      </c>
      <c r="H59" t="s">
        <v>400</v>
      </c>
      <c r="I59" t="s">
        <v>400</v>
      </c>
    </row>
    <row r="60" spans="1:9" x14ac:dyDescent="0.25">
      <c r="A60" t="s">
        <v>401</v>
      </c>
      <c r="B60" t="s">
        <v>402</v>
      </c>
      <c r="C60" t="s">
        <v>402</v>
      </c>
      <c r="D60" t="s">
        <v>402</v>
      </c>
      <c r="E60" t="s">
        <v>403</v>
      </c>
      <c r="F60" t="s">
        <v>404</v>
      </c>
      <c r="G60" t="s">
        <v>402</v>
      </c>
      <c r="H60" t="s">
        <v>405</v>
      </c>
      <c r="I60" t="s">
        <v>405</v>
      </c>
    </row>
    <row r="61" spans="1:9" x14ac:dyDescent="0.25">
      <c r="A61" t="s">
        <v>406</v>
      </c>
      <c r="B61" t="s">
        <v>407</v>
      </c>
      <c r="C61" t="s">
        <v>408</v>
      </c>
      <c r="D61" t="s">
        <v>409</v>
      </c>
      <c r="E61" t="s">
        <v>410</v>
      </c>
      <c r="F61" t="s">
        <v>411</v>
      </c>
      <c r="G61" t="s">
        <v>407</v>
      </c>
      <c r="H61" t="s">
        <v>407</v>
      </c>
      <c r="I61" t="s">
        <v>412</v>
      </c>
    </row>
    <row r="62" spans="1:9" x14ac:dyDescent="0.25">
      <c r="A62" t="s">
        <v>413</v>
      </c>
      <c r="B62" t="s">
        <v>414</v>
      </c>
      <c r="C62" t="s">
        <v>414</v>
      </c>
      <c r="D62" t="s">
        <v>414</v>
      </c>
      <c r="E62" t="s">
        <v>415</v>
      </c>
      <c r="F62" t="s">
        <v>416</v>
      </c>
      <c r="G62" t="s">
        <v>414</v>
      </c>
      <c r="H62" t="s">
        <v>414</v>
      </c>
      <c r="I62" t="s">
        <v>414</v>
      </c>
    </row>
    <row r="63" spans="1:9" x14ac:dyDescent="0.25">
      <c r="A63" t="s">
        <v>417</v>
      </c>
      <c r="B63" t="s">
        <v>418</v>
      </c>
      <c r="C63" t="s">
        <v>419</v>
      </c>
      <c r="D63" t="s">
        <v>418</v>
      </c>
      <c r="E63" t="s">
        <v>418</v>
      </c>
      <c r="F63" t="s">
        <v>420</v>
      </c>
      <c r="G63" t="s">
        <v>418</v>
      </c>
      <c r="H63" t="s">
        <v>418</v>
      </c>
      <c r="I63" t="s">
        <v>419</v>
      </c>
    </row>
    <row r="64" spans="1:9" x14ac:dyDescent="0.25">
      <c r="A64" t="s">
        <v>421</v>
      </c>
      <c r="B64" t="s">
        <v>422</v>
      </c>
      <c r="C64" t="s">
        <v>422</v>
      </c>
      <c r="D64" t="s">
        <v>422</v>
      </c>
      <c r="E64" t="s">
        <v>422</v>
      </c>
      <c r="F64" t="s">
        <v>423</v>
      </c>
      <c r="G64" t="s">
        <v>424</v>
      </c>
      <c r="H64" t="s">
        <v>422</v>
      </c>
      <c r="I64" t="s">
        <v>422</v>
      </c>
    </row>
    <row r="65" spans="1:9" x14ac:dyDescent="0.25">
      <c r="A65" t="s">
        <v>425</v>
      </c>
      <c r="B65" t="s">
        <v>426</v>
      </c>
      <c r="C65" t="s">
        <v>427</v>
      </c>
      <c r="D65" t="s">
        <v>428</v>
      </c>
      <c r="E65" t="s">
        <v>429</v>
      </c>
      <c r="F65" t="s">
        <v>430</v>
      </c>
      <c r="G65" t="s">
        <v>431</v>
      </c>
      <c r="H65" t="s">
        <v>431</v>
      </c>
      <c r="I65" t="s">
        <v>432</v>
      </c>
    </row>
    <row r="66" spans="1:9" x14ac:dyDescent="0.25">
      <c r="A66" t="s">
        <v>433</v>
      </c>
      <c r="B66" s="20" t="s">
        <v>434</v>
      </c>
      <c r="C66" t="s">
        <v>435</v>
      </c>
      <c r="D66" t="s">
        <v>434</v>
      </c>
      <c r="E66" t="s">
        <v>436</v>
      </c>
      <c r="F66" t="s">
        <v>437</v>
      </c>
      <c r="G66" t="s">
        <v>434</v>
      </c>
      <c r="H66" t="s">
        <v>434</v>
      </c>
      <c r="I66" t="s">
        <v>438</v>
      </c>
    </row>
    <row r="67" spans="1:9" x14ac:dyDescent="0.25">
      <c r="A67" t="s">
        <v>439</v>
      </c>
      <c r="B67" t="s">
        <v>440</v>
      </c>
      <c r="C67" t="s">
        <v>441</v>
      </c>
      <c r="D67" t="s">
        <v>440</v>
      </c>
      <c r="E67" t="s">
        <v>442</v>
      </c>
      <c r="F67" t="s">
        <v>443</v>
      </c>
      <c r="G67" t="s">
        <v>440</v>
      </c>
      <c r="H67" t="s">
        <v>440</v>
      </c>
      <c r="I67" t="s">
        <v>444</v>
      </c>
    </row>
    <row r="68" spans="1:9" x14ac:dyDescent="0.25">
      <c r="A68" t="s">
        <v>445</v>
      </c>
      <c r="B68" t="s">
        <v>446</v>
      </c>
      <c r="C68" t="s">
        <v>447</v>
      </c>
      <c r="D68" t="s">
        <v>446</v>
      </c>
      <c r="E68" t="s">
        <v>446</v>
      </c>
      <c r="F68" t="s">
        <v>448</v>
      </c>
      <c r="G68" t="s">
        <v>449</v>
      </c>
      <c r="H68" t="s">
        <v>447</v>
      </c>
      <c r="I68" t="s">
        <v>447</v>
      </c>
    </row>
    <row r="69" spans="1:9" x14ac:dyDescent="0.25">
      <c r="A69" t="s">
        <v>450</v>
      </c>
      <c r="B69" t="s">
        <v>451</v>
      </c>
      <c r="C69" t="s">
        <v>452</v>
      </c>
      <c r="D69" t="s">
        <v>453</v>
      </c>
      <c r="E69" t="s">
        <v>454</v>
      </c>
      <c r="F69" t="s">
        <v>455</v>
      </c>
      <c r="G69" t="s">
        <v>456</v>
      </c>
      <c r="H69" t="s">
        <v>456</v>
      </c>
      <c r="I69" t="s">
        <v>457</v>
      </c>
    </row>
    <row r="70" spans="1:9" x14ac:dyDescent="0.25">
      <c r="A70" t="s">
        <v>458</v>
      </c>
      <c r="B70" t="s">
        <v>459</v>
      </c>
      <c r="C70" t="s">
        <v>460</v>
      </c>
      <c r="D70" t="s">
        <v>459</v>
      </c>
      <c r="E70" t="s">
        <v>459</v>
      </c>
      <c r="F70" t="s">
        <v>461</v>
      </c>
      <c r="G70" t="s">
        <v>459</v>
      </c>
      <c r="H70" t="s">
        <v>459</v>
      </c>
      <c r="I70" t="s">
        <v>459</v>
      </c>
    </row>
    <row r="71" spans="1:9" x14ac:dyDescent="0.25">
      <c r="A71" t="s">
        <v>462</v>
      </c>
      <c r="B71" t="s">
        <v>463</v>
      </c>
      <c r="C71" t="s">
        <v>464</v>
      </c>
      <c r="D71" t="s">
        <v>463</v>
      </c>
      <c r="E71" t="s">
        <v>463</v>
      </c>
      <c r="F71" t="s">
        <v>465</v>
      </c>
      <c r="G71" t="s">
        <v>463</v>
      </c>
      <c r="H71" t="s">
        <v>463</v>
      </c>
      <c r="I71" t="s">
        <v>466</v>
      </c>
    </row>
    <row r="72" spans="1:9" x14ac:dyDescent="0.25">
      <c r="A72" t="s">
        <v>467</v>
      </c>
      <c r="B72" t="s">
        <v>468</v>
      </c>
      <c r="C72" t="s">
        <v>468</v>
      </c>
      <c r="D72" t="s">
        <v>469</v>
      </c>
      <c r="E72" t="s">
        <v>468</v>
      </c>
      <c r="F72" t="s">
        <v>470</v>
      </c>
      <c r="G72" t="s">
        <v>468</v>
      </c>
      <c r="H72" t="s">
        <v>468</v>
      </c>
      <c r="I72" t="s">
        <v>468</v>
      </c>
    </row>
    <row r="73" spans="1:9" x14ac:dyDescent="0.25">
      <c r="A73" t="s">
        <v>471</v>
      </c>
      <c r="B73" t="s">
        <v>472</v>
      </c>
      <c r="C73" t="s">
        <v>473</v>
      </c>
      <c r="D73" t="s">
        <v>474</v>
      </c>
      <c r="E73" t="s">
        <v>475</v>
      </c>
      <c r="F73" t="s">
        <v>476</v>
      </c>
      <c r="G73" t="s">
        <v>477</v>
      </c>
      <c r="H73" t="s">
        <v>478</v>
      </c>
      <c r="I73" t="s">
        <v>479</v>
      </c>
    </row>
    <row r="74" spans="1:9" x14ac:dyDescent="0.25">
      <c r="A74" t="s">
        <v>480</v>
      </c>
      <c r="B74" t="s">
        <v>481</v>
      </c>
      <c r="C74" t="s">
        <v>481</v>
      </c>
      <c r="D74" t="s">
        <v>481</v>
      </c>
      <c r="E74" t="s">
        <v>482</v>
      </c>
      <c r="F74" t="s">
        <v>483</v>
      </c>
      <c r="G74" t="s">
        <v>481</v>
      </c>
      <c r="H74" t="s">
        <v>484</v>
      </c>
      <c r="I74" t="s">
        <v>481</v>
      </c>
    </row>
    <row r="75" spans="1:9" x14ac:dyDescent="0.25">
      <c r="A75" t="s">
        <v>485</v>
      </c>
      <c r="B75" t="s">
        <v>486</v>
      </c>
      <c r="C75" t="s">
        <v>487</v>
      </c>
      <c r="D75" t="s">
        <v>488</v>
      </c>
      <c r="E75" t="s">
        <v>489</v>
      </c>
      <c r="F75" t="s">
        <v>490</v>
      </c>
      <c r="G75" t="s">
        <v>491</v>
      </c>
      <c r="H75" t="s">
        <v>492</v>
      </c>
      <c r="I75" t="s">
        <v>493</v>
      </c>
    </row>
    <row r="76" spans="1:9" x14ac:dyDescent="0.25">
      <c r="A76" t="s">
        <v>494</v>
      </c>
      <c r="B76" t="s">
        <v>495</v>
      </c>
      <c r="C76" t="s">
        <v>496</v>
      </c>
      <c r="D76" t="s">
        <v>497</v>
      </c>
      <c r="E76" t="s">
        <v>498</v>
      </c>
      <c r="F76" t="s">
        <v>499</v>
      </c>
      <c r="G76" t="s">
        <v>495</v>
      </c>
      <c r="H76" t="s">
        <v>495</v>
      </c>
      <c r="I76" t="s">
        <v>500</v>
      </c>
    </row>
    <row r="77" spans="1:9" x14ac:dyDescent="0.25">
      <c r="A77" t="s">
        <v>501</v>
      </c>
      <c r="B77" t="s">
        <v>502</v>
      </c>
      <c r="C77" t="s">
        <v>503</v>
      </c>
      <c r="D77" t="s">
        <v>504</v>
      </c>
      <c r="E77" t="s">
        <v>505</v>
      </c>
      <c r="F77" t="s">
        <v>506</v>
      </c>
      <c r="G77" t="s">
        <v>507</v>
      </c>
      <c r="H77" t="s">
        <v>507</v>
      </c>
      <c r="I77" t="s">
        <v>507</v>
      </c>
    </row>
    <row r="78" spans="1:9" x14ac:dyDescent="0.25">
      <c r="A78" t="s">
        <v>508</v>
      </c>
      <c r="B78" t="s">
        <v>509</v>
      </c>
      <c r="C78" t="s">
        <v>510</v>
      </c>
      <c r="D78" t="s">
        <v>509</v>
      </c>
      <c r="E78" t="s">
        <v>511</v>
      </c>
      <c r="F78" t="s">
        <v>512</v>
      </c>
      <c r="G78" t="s">
        <v>513</v>
      </c>
      <c r="H78" t="s">
        <v>509</v>
      </c>
      <c r="I78" t="s">
        <v>509</v>
      </c>
    </row>
    <row r="79" spans="1:9" x14ac:dyDescent="0.25">
      <c r="A79" t="s">
        <v>514</v>
      </c>
      <c r="B79" t="s">
        <v>515</v>
      </c>
      <c r="C79" t="s">
        <v>516</v>
      </c>
      <c r="D79" t="s">
        <v>517</v>
      </c>
      <c r="E79" t="s">
        <v>518</v>
      </c>
      <c r="F79" t="s">
        <v>519</v>
      </c>
      <c r="G79" t="s">
        <v>520</v>
      </c>
      <c r="H79" t="s">
        <v>521</v>
      </c>
      <c r="I79" t="e">
        <v>#N/A</v>
      </c>
    </row>
    <row r="80" spans="1:9" x14ac:dyDescent="0.25">
      <c r="A80" t="s">
        <v>522</v>
      </c>
      <c r="B80" t="s">
        <v>523</v>
      </c>
      <c r="C80" t="s">
        <v>524</v>
      </c>
      <c r="D80" t="s">
        <v>525</v>
      </c>
      <c r="E80" t="s">
        <v>526</v>
      </c>
      <c r="F80" t="s">
        <v>527</v>
      </c>
      <c r="G80" t="s">
        <v>523</v>
      </c>
      <c r="H80" t="s">
        <v>523</v>
      </c>
      <c r="I80" t="s">
        <v>528</v>
      </c>
    </row>
    <row r="81" spans="1:9" x14ac:dyDescent="0.25">
      <c r="A81" t="s">
        <v>529</v>
      </c>
      <c r="B81" t="s">
        <v>530</v>
      </c>
      <c r="C81" t="s">
        <v>531</v>
      </c>
      <c r="D81" t="s">
        <v>531</v>
      </c>
      <c r="E81" t="s">
        <v>531</v>
      </c>
      <c r="F81" t="s">
        <v>532</v>
      </c>
      <c r="G81" t="s">
        <v>530</v>
      </c>
      <c r="H81" t="s">
        <v>530</v>
      </c>
      <c r="I81" t="s">
        <v>533</v>
      </c>
    </row>
    <row r="82" spans="1:9" x14ac:dyDescent="0.25">
      <c r="A82" t="s">
        <v>534</v>
      </c>
      <c r="B82" t="s">
        <v>535</v>
      </c>
      <c r="C82" t="s">
        <v>535</v>
      </c>
      <c r="D82" t="s">
        <v>535</v>
      </c>
      <c r="E82" t="s">
        <v>535</v>
      </c>
      <c r="F82" t="s">
        <v>536</v>
      </c>
      <c r="G82" t="s">
        <v>535</v>
      </c>
      <c r="H82" t="s">
        <v>537</v>
      </c>
      <c r="I82" t="s">
        <v>538</v>
      </c>
    </row>
    <row r="83" spans="1:9" x14ac:dyDescent="0.25">
      <c r="A83" t="s">
        <v>539</v>
      </c>
      <c r="B83" t="s">
        <v>540</v>
      </c>
      <c r="C83" t="s">
        <v>541</v>
      </c>
      <c r="D83" t="s">
        <v>541</v>
      </c>
      <c r="E83" t="s">
        <v>542</v>
      </c>
      <c r="F83" t="s">
        <v>543</v>
      </c>
      <c r="G83" t="s">
        <v>544</v>
      </c>
      <c r="H83" t="s">
        <v>545</v>
      </c>
      <c r="I83" t="s">
        <v>546</v>
      </c>
    </row>
    <row r="84" spans="1:9" x14ac:dyDescent="0.25">
      <c r="A84" t="s">
        <v>547</v>
      </c>
      <c r="B84" t="s">
        <v>548</v>
      </c>
      <c r="C84" t="s">
        <v>549</v>
      </c>
      <c r="D84" t="s">
        <v>550</v>
      </c>
      <c r="E84" t="s">
        <v>551</v>
      </c>
      <c r="F84" t="s">
        <v>552</v>
      </c>
      <c r="G84" t="s">
        <v>553</v>
      </c>
      <c r="H84" t="s">
        <v>553</v>
      </c>
      <c r="I84" t="s">
        <v>554</v>
      </c>
    </row>
    <row r="85" spans="1:9" x14ac:dyDescent="0.25">
      <c r="A85" t="s">
        <v>555</v>
      </c>
      <c r="B85" t="s">
        <v>556</v>
      </c>
      <c r="C85" t="s">
        <v>556</v>
      </c>
      <c r="D85" t="s">
        <v>556</v>
      </c>
      <c r="E85" t="s">
        <v>556</v>
      </c>
      <c r="F85" t="s">
        <v>557</v>
      </c>
      <c r="G85" t="s">
        <v>556</v>
      </c>
      <c r="H85" t="s">
        <v>556</v>
      </c>
      <c r="I85" t="s">
        <v>556</v>
      </c>
    </row>
    <row r="86" spans="1:9" x14ac:dyDescent="0.25">
      <c r="A86" t="s">
        <v>558</v>
      </c>
      <c r="B86" t="s">
        <v>559</v>
      </c>
      <c r="C86" t="s">
        <v>560</v>
      </c>
      <c r="D86" t="s">
        <v>561</v>
      </c>
      <c r="E86" t="s">
        <v>562</v>
      </c>
      <c r="F86" t="s">
        <v>563</v>
      </c>
      <c r="G86" t="s">
        <v>564</v>
      </c>
      <c r="H86" t="s">
        <v>559</v>
      </c>
      <c r="I86" t="s">
        <v>559</v>
      </c>
    </row>
    <row r="87" spans="1:9" x14ac:dyDescent="0.25">
      <c r="A87" t="s">
        <v>565</v>
      </c>
      <c r="B87" t="s">
        <v>566</v>
      </c>
      <c r="C87" t="s">
        <v>566</v>
      </c>
      <c r="D87" t="s">
        <v>567</v>
      </c>
      <c r="E87" t="s">
        <v>568</v>
      </c>
      <c r="F87" t="s">
        <v>569</v>
      </c>
      <c r="G87" t="s">
        <v>570</v>
      </c>
      <c r="H87" t="s">
        <v>571</v>
      </c>
      <c r="I87" t="s">
        <v>572</v>
      </c>
    </row>
    <row r="88" spans="1:9" x14ac:dyDescent="0.25">
      <c r="A88" t="s">
        <v>573</v>
      </c>
      <c r="B88" t="s">
        <v>574</v>
      </c>
      <c r="C88" t="s">
        <v>574</v>
      </c>
      <c r="D88" t="s">
        <v>574</v>
      </c>
      <c r="E88" t="s">
        <v>575</v>
      </c>
      <c r="F88" t="s">
        <v>576</v>
      </c>
      <c r="G88" t="s">
        <v>577</v>
      </c>
      <c r="H88" t="s">
        <v>578</v>
      </c>
      <c r="I88" t="s">
        <v>579</v>
      </c>
    </row>
    <row r="89" spans="1:9" x14ac:dyDescent="0.25">
      <c r="A89" t="s">
        <v>580</v>
      </c>
      <c r="B89" t="s">
        <v>581</v>
      </c>
      <c r="C89" t="s">
        <v>582</v>
      </c>
      <c r="D89" t="s">
        <v>583</v>
      </c>
      <c r="E89" t="s">
        <v>581</v>
      </c>
      <c r="F89" t="s">
        <v>584</v>
      </c>
      <c r="G89" t="s">
        <v>581</v>
      </c>
      <c r="H89" t="s">
        <v>583</v>
      </c>
      <c r="I89" t="s">
        <v>585</v>
      </c>
    </row>
    <row r="90" spans="1:9" x14ac:dyDescent="0.25">
      <c r="A90" t="s">
        <v>586</v>
      </c>
      <c r="B90" t="s">
        <v>587</v>
      </c>
      <c r="C90" t="s">
        <v>588</v>
      </c>
      <c r="D90" t="s">
        <v>589</v>
      </c>
      <c r="E90" t="s">
        <v>590</v>
      </c>
      <c r="F90" t="s">
        <v>591</v>
      </c>
      <c r="G90" t="s">
        <v>590</v>
      </c>
      <c r="H90" t="s">
        <v>592</v>
      </c>
      <c r="I90" t="s">
        <v>593</v>
      </c>
    </row>
    <row r="91" spans="1:9" x14ac:dyDescent="0.25">
      <c r="A91" t="s">
        <v>594</v>
      </c>
      <c r="B91" t="s">
        <v>595</v>
      </c>
      <c r="C91" t="s">
        <v>596</v>
      </c>
      <c r="D91" t="s">
        <v>597</v>
      </c>
      <c r="E91" t="s">
        <v>598</v>
      </c>
      <c r="F91" t="s">
        <v>599</v>
      </c>
      <c r="G91" t="s">
        <v>600</v>
      </c>
      <c r="H91" t="s">
        <v>601</v>
      </c>
      <c r="I91" t="s">
        <v>602</v>
      </c>
    </row>
    <row r="92" spans="1:9" x14ac:dyDescent="0.25">
      <c r="A92" t="s">
        <v>603</v>
      </c>
      <c r="B92" t="s">
        <v>604</v>
      </c>
      <c r="C92" t="s">
        <v>605</v>
      </c>
      <c r="D92" t="s">
        <v>606</v>
      </c>
      <c r="E92" t="s">
        <v>607</v>
      </c>
      <c r="F92" t="s">
        <v>608</v>
      </c>
      <c r="G92" t="s">
        <v>609</v>
      </c>
      <c r="H92" t="s">
        <v>610</v>
      </c>
      <c r="I92" t="s">
        <v>611</v>
      </c>
    </row>
    <row r="93" spans="1:9" x14ac:dyDescent="0.25">
      <c r="A93" t="s">
        <v>612</v>
      </c>
      <c r="B93" t="s">
        <v>613</v>
      </c>
      <c r="C93" t="s">
        <v>614</v>
      </c>
      <c r="D93" t="s">
        <v>615</v>
      </c>
      <c r="E93" t="s">
        <v>616</v>
      </c>
      <c r="F93" t="s">
        <v>617</v>
      </c>
      <c r="G93" t="s">
        <v>618</v>
      </c>
      <c r="H93" t="s">
        <v>619</v>
      </c>
      <c r="I93" t="s">
        <v>620</v>
      </c>
    </row>
    <row r="94" spans="1:9" x14ac:dyDescent="0.25">
      <c r="A94" t="s">
        <v>621</v>
      </c>
      <c r="B94" t="s">
        <v>622</v>
      </c>
      <c r="C94" t="s">
        <v>623</v>
      </c>
      <c r="D94" t="s">
        <v>622</v>
      </c>
      <c r="E94" t="s">
        <v>624</v>
      </c>
      <c r="F94" t="s">
        <v>625</v>
      </c>
      <c r="G94" t="s">
        <v>622</v>
      </c>
      <c r="H94" t="s">
        <v>622</v>
      </c>
      <c r="I94" t="s">
        <v>622</v>
      </c>
    </row>
    <row r="95" spans="1:9" x14ac:dyDescent="0.25">
      <c r="A95" t="s">
        <v>626</v>
      </c>
      <c r="B95" t="s">
        <v>627</v>
      </c>
      <c r="C95" t="s">
        <v>628</v>
      </c>
      <c r="D95" t="s">
        <v>629</v>
      </c>
      <c r="E95" t="s">
        <v>630</v>
      </c>
      <c r="F95" t="s">
        <v>631</v>
      </c>
      <c r="G95" t="s">
        <v>632</v>
      </c>
      <c r="H95" t="s">
        <v>633</v>
      </c>
      <c r="I95" t="s">
        <v>634</v>
      </c>
    </row>
    <row r="96" spans="1:9" x14ac:dyDescent="0.25">
      <c r="A96" t="s">
        <v>635</v>
      </c>
      <c r="B96" t="s">
        <v>636</v>
      </c>
      <c r="C96" t="s">
        <v>637</v>
      </c>
      <c r="D96" t="s">
        <v>638</v>
      </c>
      <c r="E96" t="s">
        <v>636</v>
      </c>
      <c r="F96" t="s">
        <v>639</v>
      </c>
      <c r="G96" t="s">
        <v>640</v>
      </c>
      <c r="H96" t="s">
        <v>641</v>
      </c>
      <c r="I96" t="s">
        <v>642</v>
      </c>
    </row>
    <row r="97" spans="1:9" x14ac:dyDescent="0.25">
      <c r="A97" t="s">
        <v>643</v>
      </c>
      <c r="B97" t="s">
        <v>644</v>
      </c>
      <c r="C97" t="s">
        <v>644</v>
      </c>
      <c r="D97" t="s">
        <v>644</v>
      </c>
      <c r="E97" t="s">
        <v>644</v>
      </c>
      <c r="F97" t="s">
        <v>645</v>
      </c>
      <c r="G97" t="s">
        <v>644</v>
      </c>
      <c r="H97" t="s">
        <v>646</v>
      </c>
      <c r="I97" t="s">
        <v>644</v>
      </c>
    </row>
    <row r="98" spans="1:9" x14ac:dyDescent="0.25">
      <c r="A98" t="s">
        <v>647</v>
      </c>
      <c r="B98" t="s">
        <v>648</v>
      </c>
      <c r="C98" t="s">
        <v>649</v>
      </c>
      <c r="D98" t="s">
        <v>649</v>
      </c>
      <c r="E98" t="s">
        <v>650</v>
      </c>
      <c r="F98" t="s">
        <v>651</v>
      </c>
      <c r="G98" t="s">
        <v>652</v>
      </c>
      <c r="H98" t="s">
        <v>653</v>
      </c>
      <c r="I98" t="s">
        <v>653</v>
      </c>
    </row>
    <row r="99" spans="1:9" x14ac:dyDescent="0.25">
      <c r="A99" t="s">
        <v>654</v>
      </c>
      <c r="B99" t="s">
        <v>655</v>
      </c>
      <c r="C99" t="s">
        <v>656</v>
      </c>
      <c r="D99" t="s">
        <v>657</v>
      </c>
      <c r="E99" t="s">
        <v>658</v>
      </c>
      <c r="F99" t="s">
        <v>659</v>
      </c>
      <c r="G99" t="s">
        <v>660</v>
      </c>
      <c r="H99" t="s">
        <v>661</v>
      </c>
      <c r="I99" t="s">
        <v>662</v>
      </c>
    </row>
    <row r="100" spans="1:9" x14ac:dyDescent="0.25">
      <c r="A100" t="s">
        <v>663</v>
      </c>
      <c r="B100" t="s">
        <v>664</v>
      </c>
      <c r="C100" t="s">
        <v>665</v>
      </c>
      <c r="D100" t="s">
        <v>664</v>
      </c>
      <c r="E100" t="s">
        <v>664</v>
      </c>
      <c r="F100" t="s">
        <v>666</v>
      </c>
      <c r="G100" t="s">
        <v>664</v>
      </c>
      <c r="H100" t="s">
        <v>664</v>
      </c>
      <c r="I100" t="s">
        <v>664</v>
      </c>
    </row>
    <row r="101" spans="1:9" x14ac:dyDescent="0.25">
      <c r="A101" t="s">
        <v>667</v>
      </c>
      <c r="B101" t="s">
        <v>668</v>
      </c>
      <c r="C101" t="s">
        <v>669</v>
      </c>
      <c r="D101" t="s">
        <v>668</v>
      </c>
      <c r="E101" t="s">
        <v>668</v>
      </c>
      <c r="F101" t="s">
        <v>670</v>
      </c>
      <c r="G101" t="s">
        <v>668</v>
      </c>
      <c r="H101" t="s">
        <v>668</v>
      </c>
      <c r="I101" t="s">
        <v>668</v>
      </c>
    </row>
    <row r="102" spans="1:9" x14ac:dyDescent="0.25">
      <c r="A102" t="s">
        <v>671</v>
      </c>
      <c r="B102" t="s">
        <v>672</v>
      </c>
      <c r="C102" t="s">
        <v>673</v>
      </c>
      <c r="D102" t="s">
        <v>672</v>
      </c>
      <c r="E102" t="s">
        <v>674</v>
      </c>
      <c r="F102" t="s">
        <v>675</v>
      </c>
      <c r="G102" t="s">
        <v>672</v>
      </c>
      <c r="H102" t="s">
        <v>672</v>
      </c>
      <c r="I102" t="s">
        <v>674</v>
      </c>
    </row>
    <row r="103" spans="1:9" x14ac:dyDescent="0.25">
      <c r="A103" t="s">
        <v>676</v>
      </c>
      <c r="B103" t="s">
        <v>677</v>
      </c>
      <c r="C103" t="s">
        <v>678</v>
      </c>
      <c r="D103" t="s">
        <v>677</v>
      </c>
      <c r="E103" t="s">
        <v>677</v>
      </c>
      <c r="F103" t="s">
        <v>679</v>
      </c>
      <c r="G103" t="s">
        <v>677</v>
      </c>
      <c r="H103" t="s">
        <v>678</v>
      </c>
      <c r="I103" t="s">
        <v>678</v>
      </c>
    </row>
    <row r="104" spans="1:9" x14ac:dyDescent="0.25">
      <c r="A104" t="s">
        <v>680</v>
      </c>
      <c r="B104" t="s">
        <v>681</v>
      </c>
      <c r="C104" t="s">
        <v>682</v>
      </c>
      <c r="D104" t="s">
        <v>683</v>
      </c>
      <c r="E104" t="s">
        <v>684</v>
      </c>
      <c r="F104" t="s">
        <v>685</v>
      </c>
      <c r="G104" t="s">
        <v>686</v>
      </c>
      <c r="H104" t="s">
        <v>686</v>
      </c>
      <c r="I104" t="s">
        <v>687</v>
      </c>
    </row>
    <row r="105" spans="1:9" x14ac:dyDescent="0.25">
      <c r="A105" t="s">
        <v>688</v>
      </c>
      <c r="B105" t="s">
        <v>689</v>
      </c>
      <c r="C105" t="s">
        <v>690</v>
      </c>
      <c r="D105" t="s">
        <v>691</v>
      </c>
      <c r="E105" t="s">
        <v>689</v>
      </c>
      <c r="F105" t="s">
        <v>692</v>
      </c>
      <c r="G105" t="s">
        <v>693</v>
      </c>
      <c r="H105" t="s">
        <v>694</v>
      </c>
      <c r="I105" t="s">
        <v>694</v>
      </c>
    </row>
    <row r="106" spans="1:9" x14ac:dyDescent="0.25">
      <c r="A106" t="s">
        <v>695</v>
      </c>
      <c r="B106" t="s">
        <v>696</v>
      </c>
      <c r="C106" t="s">
        <v>697</v>
      </c>
      <c r="D106" t="s">
        <v>698</v>
      </c>
      <c r="E106" t="s">
        <v>699</v>
      </c>
      <c r="F106" t="s">
        <v>700</v>
      </c>
      <c r="G106" t="s">
        <v>701</v>
      </c>
      <c r="H106" t="s">
        <v>702</v>
      </c>
      <c r="I106" t="s">
        <v>703</v>
      </c>
    </row>
    <row r="107" spans="1:9" x14ac:dyDescent="0.25">
      <c r="A107" t="s">
        <v>704</v>
      </c>
      <c r="B107" t="s">
        <v>705</v>
      </c>
      <c r="C107" t="s">
        <v>706</v>
      </c>
      <c r="D107" t="s">
        <v>707</v>
      </c>
      <c r="E107" t="s">
        <v>708</v>
      </c>
      <c r="F107" t="s">
        <v>709</v>
      </c>
      <c r="G107" t="s">
        <v>710</v>
      </c>
      <c r="H107" t="s">
        <v>710</v>
      </c>
      <c r="I107" t="s">
        <v>711</v>
      </c>
    </row>
    <row r="108" spans="1:9" x14ac:dyDescent="0.25">
      <c r="A108" t="s">
        <v>712</v>
      </c>
      <c r="B108" t="s">
        <v>713</v>
      </c>
      <c r="C108" t="s">
        <v>714</v>
      </c>
      <c r="D108" t="s">
        <v>715</v>
      </c>
      <c r="E108" t="s">
        <v>716</v>
      </c>
      <c r="F108" t="s">
        <v>717</v>
      </c>
      <c r="G108" t="s">
        <v>718</v>
      </c>
      <c r="H108" t="s">
        <v>719</v>
      </c>
      <c r="I108" t="s">
        <v>720</v>
      </c>
    </row>
    <row r="109" spans="1:9" x14ac:dyDescent="0.25">
      <c r="A109" t="s">
        <v>721</v>
      </c>
      <c r="B109" t="s">
        <v>722</v>
      </c>
      <c r="C109" t="s">
        <v>723</v>
      </c>
      <c r="D109" t="s">
        <v>722</v>
      </c>
      <c r="E109" t="s">
        <v>722</v>
      </c>
      <c r="F109" t="s">
        <v>724</v>
      </c>
      <c r="G109" t="s">
        <v>722</v>
      </c>
      <c r="H109" t="s">
        <v>725</v>
      </c>
      <c r="I109" t="s">
        <v>726</v>
      </c>
    </row>
    <row r="110" spans="1:9" x14ac:dyDescent="0.25">
      <c r="A110" t="s">
        <v>727</v>
      </c>
      <c r="B110" t="s">
        <v>728</v>
      </c>
      <c r="C110" t="s">
        <v>729</v>
      </c>
      <c r="D110" t="s">
        <v>730</v>
      </c>
      <c r="E110" t="s">
        <v>731</v>
      </c>
      <c r="F110" t="s">
        <v>732</v>
      </c>
      <c r="G110" t="s">
        <v>733</v>
      </c>
      <c r="H110" t="s">
        <v>733</v>
      </c>
      <c r="I110" t="s">
        <v>734</v>
      </c>
    </row>
    <row r="111" spans="1:9" x14ac:dyDescent="0.25">
      <c r="A111" t="s">
        <v>735</v>
      </c>
      <c r="B111" t="s">
        <v>736</v>
      </c>
      <c r="C111" t="s">
        <v>737</v>
      </c>
      <c r="D111" t="s">
        <v>736</v>
      </c>
      <c r="E111" t="s">
        <v>738</v>
      </c>
      <c r="F111" t="s">
        <v>739</v>
      </c>
      <c r="G111" t="s">
        <v>736</v>
      </c>
      <c r="H111" t="s">
        <v>736</v>
      </c>
      <c r="I111" t="s">
        <v>736</v>
      </c>
    </row>
    <row r="112" spans="1:9" x14ac:dyDescent="0.25">
      <c r="A112" t="s">
        <v>740</v>
      </c>
      <c r="B112" t="s">
        <v>741</v>
      </c>
      <c r="C112" t="s">
        <v>742</v>
      </c>
      <c r="D112" t="s">
        <v>742</v>
      </c>
      <c r="E112" t="s">
        <v>741</v>
      </c>
      <c r="F112" t="s">
        <v>743</v>
      </c>
      <c r="G112" t="s">
        <v>741</v>
      </c>
      <c r="H112" t="s">
        <v>741</v>
      </c>
      <c r="I112" t="s">
        <v>741</v>
      </c>
    </row>
    <row r="113" spans="1:9" x14ac:dyDescent="0.25">
      <c r="A113" t="s">
        <v>744</v>
      </c>
      <c r="B113" t="s">
        <v>745</v>
      </c>
      <c r="C113" t="s">
        <v>746</v>
      </c>
      <c r="D113" t="s">
        <v>747</v>
      </c>
      <c r="E113" t="s">
        <v>748</v>
      </c>
      <c r="F113" t="s">
        <v>749</v>
      </c>
      <c r="G113" t="s">
        <v>750</v>
      </c>
      <c r="H113" t="s">
        <v>751</v>
      </c>
      <c r="I113" t="s">
        <v>752</v>
      </c>
    </row>
    <row r="114" spans="1:9" x14ac:dyDescent="0.25">
      <c r="A114" t="s">
        <v>753</v>
      </c>
      <c r="B114" t="s">
        <v>754</v>
      </c>
      <c r="C114" t="s">
        <v>754</v>
      </c>
      <c r="D114" t="s">
        <v>754</v>
      </c>
      <c r="E114" t="s">
        <v>754</v>
      </c>
      <c r="F114" t="s">
        <v>755</v>
      </c>
      <c r="G114" t="s">
        <v>754</v>
      </c>
      <c r="H114" t="s">
        <v>756</v>
      </c>
      <c r="I114" t="s">
        <v>754</v>
      </c>
    </row>
    <row r="115" spans="1:9" x14ac:dyDescent="0.25">
      <c r="A115" t="s">
        <v>757</v>
      </c>
      <c r="B115" t="s">
        <v>758</v>
      </c>
      <c r="C115" t="s">
        <v>759</v>
      </c>
      <c r="D115" t="s">
        <v>760</v>
      </c>
      <c r="E115" t="s">
        <v>761</v>
      </c>
      <c r="F115" t="s">
        <v>762</v>
      </c>
      <c r="G115" t="s">
        <v>758</v>
      </c>
      <c r="H115" t="s">
        <v>758</v>
      </c>
      <c r="I115" t="s">
        <v>763</v>
      </c>
    </row>
    <row r="116" spans="1:9" x14ac:dyDescent="0.25">
      <c r="A116" t="s">
        <v>764</v>
      </c>
      <c r="B116" t="s">
        <v>765</v>
      </c>
      <c r="C116" t="s">
        <v>766</v>
      </c>
      <c r="D116" t="s">
        <v>765</v>
      </c>
      <c r="E116" t="s">
        <v>765</v>
      </c>
      <c r="F116" t="s">
        <v>767</v>
      </c>
      <c r="G116" t="s">
        <v>765</v>
      </c>
      <c r="H116" t="s">
        <v>765</v>
      </c>
      <c r="I116" t="s">
        <v>768</v>
      </c>
    </row>
    <row r="117" spans="1:9" x14ac:dyDescent="0.25">
      <c r="A117" t="s">
        <v>769</v>
      </c>
      <c r="B117" t="s">
        <v>770</v>
      </c>
      <c r="C117" t="s">
        <v>771</v>
      </c>
      <c r="D117" t="s">
        <v>772</v>
      </c>
      <c r="E117" t="s">
        <v>773</v>
      </c>
      <c r="F117" t="s">
        <v>774</v>
      </c>
      <c r="G117" t="s">
        <v>770</v>
      </c>
      <c r="H117" t="s">
        <v>770</v>
      </c>
      <c r="I117" t="s">
        <v>775</v>
      </c>
    </row>
    <row r="118" spans="1:9" x14ac:dyDescent="0.25">
      <c r="A118" t="s">
        <v>776</v>
      </c>
      <c r="B118" t="s">
        <v>777</v>
      </c>
      <c r="C118" t="s">
        <v>777</v>
      </c>
      <c r="D118" t="s">
        <v>777</v>
      </c>
      <c r="E118" t="s">
        <v>777</v>
      </c>
      <c r="F118" t="s">
        <v>778</v>
      </c>
      <c r="G118" t="s">
        <v>777</v>
      </c>
      <c r="H118" t="s">
        <v>777</v>
      </c>
      <c r="I118" t="s">
        <v>777</v>
      </c>
    </row>
    <row r="119" spans="1:9" x14ac:dyDescent="0.25">
      <c r="A119" t="s">
        <v>779</v>
      </c>
      <c r="B119" t="s">
        <v>780</v>
      </c>
      <c r="C119" t="s">
        <v>780</v>
      </c>
      <c r="D119" t="s">
        <v>780</v>
      </c>
      <c r="E119" t="s">
        <v>781</v>
      </c>
      <c r="F119" t="s">
        <v>782</v>
      </c>
      <c r="G119" t="s">
        <v>780</v>
      </c>
      <c r="H119" t="s">
        <v>780</v>
      </c>
      <c r="I119" t="s">
        <v>780</v>
      </c>
    </row>
    <row r="120" spans="1:9" x14ac:dyDescent="0.25">
      <c r="A120" t="s">
        <v>783</v>
      </c>
      <c r="B120" t="s">
        <v>784</v>
      </c>
      <c r="C120" t="s">
        <v>785</v>
      </c>
      <c r="D120" t="s">
        <v>784</v>
      </c>
      <c r="E120" t="s">
        <v>786</v>
      </c>
      <c r="F120" t="s">
        <v>787</v>
      </c>
      <c r="G120" t="s">
        <v>784</v>
      </c>
      <c r="H120" t="s">
        <v>788</v>
      </c>
      <c r="I120" t="s">
        <v>789</v>
      </c>
    </row>
    <row r="121" spans="1:9" x14ac:dyDescent="0.25">
      <c r="A121" t="s">
        <v>790</v>
      </c>
      <c r="B121" t="s">
        <v>791</v>
      </c>
      <c r="C121" t="s">
        <v>792</v>
      </c>
      <c r="D121" t="s">
        <v>793</v>
      </c>
      <c r="E121" t="s">
        <v>791</v>
      </c>
      <c r="F121" t="s">
        <v>794</v>
      </c>
      <c r="G121" t="s">
        <v>795</v>
      </c>
      <c r="H121" t="s">
        <v>796</v>
      </c>
      <c r="I121" t="s">
        <v>796</v>
      </c>
    </row>
    <row r="122" spans="1:9" x14ac:dyDescent="0.25">
      <c r="A122" t="s">
        <v>797</v>
      </c>
      <c r="B122" t="s">
        <v>798</v>
      </c>
      <c r="C122" t="s">
        <v>799</v>
      </c>
      <c r="D122" t="s">
        <v>800</v>
      </c>
      <c r="E122" t="s">
        <v>801</v>
      </c>
      <c r="F122" t="s">
        <v>802</v>
      </c>
      <c r="G122" t="s">
        <v>803</v>
      </c>
      <c r="H122" t="s">
        <v>804</v>
      </c>
      <c r="I122" t="s">
        <v>804</v>
      </c>
    </row>
    <row r="123" spans="1:9" x14ac:dyDescent="0.25">
      <c r="A123" t="s">
        <v>805</v>
      </c>
      <c r="B123" t="s">
        <v>806</v>
      </c>
      <c r="C123" t="s">
        <v>807</v>
      </c>
      <c r="D123" t="s">
        <v>806</v>
      </c>
      <c r="E123" t="s">
        <v>808</v>
      </c>
      <c r="F123" t="s">
        <v>809</v>
      </c>
      <c r="G123" t="s">
        <v>810</v>
      </c>
      <c r="H123" t="s">
        <v>811</v>
      </c>
      <c r="I123" t="s">
        <v>812</v>
      </c>
    </row>
    <row r="124" spans="1:9" x14ac:dyDescent="0.25">
      <c r="A124" t="s">
        <v>813</v>
      </c>
      <c r="B124" t="s">
        <v>814</v>
      </c>
      <c r="C124" t="s">
        <v>815</v>
      </c>
      <c r="D124" t="s">
        <v>816</v>
      </c>
      <c r="E124" t="s">
        <v>814</v>
      </c>
      <c r="F124" t="s">
        <v>817</v>
      </c>
      <c r="G124" t="s">
        <v>818</v>
      </c>
      <c r="H124" t="s">
        <v>814</v>
      </c>
      <c r="I124" t="s">
        <v>819</v>
      </c>
    </row>
    <row r="125" spans="1:9" x14ac:dyDescent="0.25">
      <c r="A125" t="s">
        <v>820</v>
      </c>
      <c r="B125" t="s">
        <v>821</v>
      </c>
      <c r="C125" t="s">
        <v>822</v>
      </c>
      <c r="D125" t="s">
        <v>821</v>
      </c>
      <c r="E125" t="s">
        <v>823</v>
      </c>
      <c r="F125" t="s">
        <v>824</v>
      </c>
      <c r="G125" t="s">
        <v>821</v>
      </c>
      <c r="H125" t="s">
        <v>821</v>
      </c>
      <c r="I125" t="s">
        <v>825</v>
      </c>
    </row>
    <row r="126" spans="1:9" x14ac:dyDescent="0.25">
      <c r="A126" t="s">
        <v>826</v>
      </c>
      <c r="B126" t="s">
        <v>827</v>
      </c>
      <c r="C126" t="s">
        <v>828</v>
      </c>
      <c r="D126" t="s">
        <v>827</v>
      </c>
      <c r="E126" t="s">
        <v>829</v>
      </c>
      <c r="F126" t="s">
        <v>830</v>
      </c>
      <c r="G126" t="s">
        <v>827</v>
      </c>
      <c r="H126" t="s">
        <v>827</v>
      </c>
      <c r="I126" t="s">
        <v>829</v>
      </c>
    </row>
    <row r="127" spans="1:9" x14ac:dyDescent="0.25">
      <c r="A127" t="s">
        <v>831</v>
      </c>
      <c r="B127" t="s">
        <v>832</v>
      </c>
      <c r="C127" t="s">
        <v>833</v>
      </c>
      <c r="D127" t="s">
        <v>832</v>
      </c>
      <c r="E127" t="s">
        <v>832</v>
      </c>
      <c r="F127" t="s">
        <v>834</v>
      </c>
      <c r="G127" t="s">
        <v>832</v>
      </c>
      <c r="H127" t="s">
        <v>832</v>
      </c>
      <c r="I127" t="s">
        <v>835</v>
      </c>
    </row>
    <row r="128" spans="1:9" x14ac:dyDescent="0.25">
      <c r="A128" t="s">
        <v>836</v>
      </c>
      <c r="B128" t="s">
        <v>837</v>
      </c>
      <c r="C128" t="s">
        <v>838</v>
      </c>
      <c r="D128" t="s">
        <v>839</v>
      </c>
      <c r="E128" t="s">
        <v>840</v>
      </c>
      <c r="F128" t="s">
        <v>841</v>
      </c>
      <c r="G128" t="s">
        <v>842</v>
      </c>
      <c r="H128" t="s">
        <v>843</v>
      </c>
      <c r="I128" t="s">
        <v>844</v>
      </c>
    </row>
    <row r="129" spans="1:9" x14ac:dyDescent="0.25">
      <c r="A129" t="s">
        <v>845</v>
      </c>
      <c r="B129" t="s">
        <v>846</v>
      </c>
      <c r="C129" t="s">
        <v>847</v>
      </c>
      <c r="D129" t="s">
        <v>848</v>
      </c>
      <c r="E129" t="s">
        <v>849</v>
      </c>
      <c r="F129" t="s">
        <v>850</v>
      </c>
      <c r="G129" t="s">
        <v>851</v>
      </c>
      <c r="H129" t="s">
        <v>852</v>
      </c>
      <c r="I129" t="s">
        <v>852</v>
      </c>
    </row>
    <row r="130" spans="1:9" x14ac:dyDescent="0.25">
      <c r="A130" t="s">
        <v>853</v>
      </c>
      <c r="B130" t="s">
        <v>854</v>
      </c>
      <c r="C130" t="s">
        <v>854</v>
      </c>
      <c r="D130" t="s">
        <v>854</v>
      </c>
      <c r="E130" t="s">
        <v>855</v>
      </c>
      <c r="F130" t="s">
        <v>856</v>
      </c>
      <c r="G130" t="s">
        <v>854</v>
      </c>
      <c r="H130" t="s">
        <v>854</v>
      </c>
      <c r="I130" t="s">
        <v>854</v>
      </c>
    </row>
    <row r="131" spans="1:9" x14ac:dyDescent="0.25">
      <c r="A131" t="s">
        <v>857</v>
      </c>
      <c r="B131" t="s">
        <v>858</v>
      </c>
      <c r="C131" t="s">
        <v>859</v>
      </c>
      <c r="D131" t="s">
        <v>860</v>
      </c>
      <c r="E131" t="s">
        <v>861</v>
      </c>
      <c r="F131" t="s">
        <v>862</v>
      </c>
      <c r="G131" t="s">
        <v>863</v>
      </c>
      <c r="H131" t="s">
        <v>864</v>
      </c>
      <c r="I131" t="s">
        <v>865</v>
      </c>
    </row>
    <row r="132" spans="1:9" x14ac:dyDescent="0.25">
      <c r="A132" t="s">
        <v>866</v>
      </c>
      <c r="B132" t="s">
        <v>867</v>
      </c>
      <c r="C132" t="s">
        <v>867</v>
      </c>
      <c r="D132" t="s">
        <v>867</v>
      </c>
      <c r="E132" t="s">
        <v>867</v>
      </c>
      <c r="F132" t="s">
        <v>868</v>
      </c>
      <c r="G132" t="s">
        <v>867</v>
      </c>
      <c r="H132" t="s">
        <v>869</v>
      </c>
      <c r="I132" t="s">
        <v>870</v>
      </c>
    </row>
    <row r="133" spans="1:9" x14ac:dyDescent="0.25">
      <c r="A133" t="s">
        <v>871</v>
      </c>
      <c r="B133" t="s">
        <v>872</v>
      </c>
      <c r="C133" t="s">
        <v>872</v>
      </c>
      <c r="D133" t="s">
        <v>872</v>
      </c>
      <c r="E133" t="s">
        <v>872</v>
      </c>
      <c r="F133" t="s">
        <v>873</v>
      </c>
      <c r="G133" t="s">
        <v>874</v>
      </c>
      <c r="H133" t="s">
        <v>874</v>
      </c>
      <c r="I133" t="s">
        <v>874</v>
      </c>
    </row>
    <row r="134" spans="1:9" x14ac:dyDescent="0.25">
      <c r="A134" t="s">
        <v>875</v>
      </c>
      <c r="B134" t="s">
        <v>876</v>
      </c>
      <c r="C134" t="s">
        <v>876</v>
      </c>
      <c r="D134" t="s">
        <v>876</v>
      </c>
      <c r="E134" t="s">
        <v>877</v>
      </c>
      <c r="F134" t="s">
        <v>878</v>
      </c>
      <c r="G134" t="s">
        <v>879</v>
      </c>
      <c r="H134" t="s">
        <v>880</v>
      </c>
      <c r="I134" t="s">
        <v>876</v>
      </c>
    </row>
    <row r="135" spans="1:9" x14ac:dyDescent="0.25">
      <c r="A135" t="s">
        <v>881</v>
      </c>
      <c r="B135" t="s">
        <v>882</v>
      </c>
      <c r="C135" t="s">
        <v>883</v>
      </c>
      <c r="D135" t="s">
        <v>884</v>
      </c>
      <c r="E135" t="s">
        <v>885</v>
      </c>
      <c r="F135" t="s">
        <v>886</v>
      </c>
      <c r="G135" t="s">
        <v>887</v>
      </c>
      <c r="H135" t="s">
        <v>888</v>
      </c>
      <c r="I135" t="s">
        <v>889</v>
      </c>
    </row>
    <row r="136" spans="1:9" x14ac:dyDescent="0.25">
      <c r="A136" t="s">
        <v>890</v>
      </c>
      <c r="B136" t="s">
        <v>891</v>
      </c>
      <c r="C136" t="s">
        <v>892</v>
      </c>
      <c r="D136" t="s">
        <v>893</v>
      </c>
      <c r="E136" t="s">
        <v>894</v>
      </c>
      <c r="F136" t="s">
        <v>895</v>
      </c>
      <c r="G136" t="s">
        <v>896</v>
      </c>
      <c r="H136" t="s">
        <v>897</v>
      </c>
      <c r="I136" t="s">
        <v>898</v>
      </c>
    </row>
    <row r="137" spans="1:9" x14ac:dyDescent="0.25">
      <c r="A137" t="s">
        <v>899</v>
      </c>
      <c r="B137" t="s">
        <v>900</v>
      </c>
      <c r="C137" t="s">
        <v>901</v>
      </c>
      <c r="D137" t="s">
        <v>902</v>
      </c>
      <c r="E137" t="s">
        <v>900</v>
      </c>
      <c r="F137" t="s">
        <v>903</v>
      </c>
      <c r="G137" t="s">
        <v>904</v>
      </c>
      <c r="H137" t="s">
        <v>905</v>
      </c>
      <c r="I137" t="s">
        <v>905</v>
      </c>
    </row>
    <row r="138" spans="1:9" x14ac:dyDescent="0.25">
      <c r="A138" t="s">
        <v>906</v>
      </c>
      <c r="B138" t="s">
        <v>907</v>
      </c>
      <c r="C138" t="s">
        <v>907</v>
      </c>
      <c r="D138" t="s">
        <v>907</v>
      </c>
      <c r="E138" t="s">
        <v>907</v>
      </c>
      <c r="F138" t="s">
        <v>908</v>
      </c>
      <c r="G138" t="s">
        <v>907</v>
      </c>
      <c r="H138" t="s">
        <v>909</v>
      </c>
      <c r="I138" t="s">
        <v>910</v>
      </c>
    </row>
    <row r="139" spans="1:9" x14ac:dyDescent="0.25">
      <c r="A139" t="s">
        <v>911</v>
      </c>
      <c r="B139" t="s">
        <v>912</v>
      </c>
      <c r="C139" t="s">
        <v>913</v>
      </c>
      <c r="D139" t="s">
        <v>914</v>
      </c>
      <c r="E139" t="s">
        <v>915</v>
      </c>
      <c r="F139" t="s">
        <v>916</v>
      </c>
      <c r="G139" t="s">
        <v>917</v>
      </c>
      <c r="H139" t="s">
        <v>917</v>
      </c>
      <c r="I139" t="s">
        <v>918</v>
      </c>
    </row>
    <row r="140" spans="1:9" x14ac:dyDescent="0.25">
      <c r="A140" t="s">
        <v>919</v>
      </c>
      <c r="B140" t="s">
        <v>920</v>
      </c>
      <c r="C140" t="s">
        <v>921</v>
      </c>
      <c r="D140" t="s">
        <v>920</v>
      </c>
      <c r="E140" t="s">
        <v>922</v>
      </c>
      <c r="F140" t="s">
        <v>923</v>
      </c>
      <c r="G140" t="s">
        <v>922</v>
      </c>
      <c r="H140" t="s">
        <v>920</v>
      </c>
      <c r="I140" t="s">
        <v>922</v>
      </c>
    </row>
    <row r="141" spans="1:9" x14ac:dyDescent="0.25">
      <c r="A141" t="s">
        <v>924</v>
      </c>
      <c r="B141" t="s">
        <v>925</v>
      </c>
      <c r="C141" t="s">
        <v>926</v>
      </c>
      <c r="D141" t="s">
        <v>927</v>
      </c>
      <c r="E141" t="s">
        <v>928</v>
      </c>
      <c r="F141" t="s">
        <v>929</v>
      </c>
      <c r="G141" t="s">
        <v>930</v>
      </c>
      <c r="H141" t="s">
        <v>931</v>
      </c>
      <c r="I141" t="s">
        <v>932</v>
      </c>
    </row>
    <row r="142" spans="1:9" x14ac:dyDescent="0.25">
      <c r="A142" t="s">
        <v>933</v>
      </c>
      <c r="B142" t="s">
        <v>934</v>
      </c>
      <c r="C142" t="s">
        <v>934</v>
      </c>
      <c r="D142" t="s">
        <v>934</v>
      </c>
      <c r="E142" t="s">
        <v>934</v>
      </c>
      <c r="F142" t="s">
        <v>935</v>
      </c>
      <c r="G142" t="s">
        <v>936</v>
      </c>
      <c r="H142" t="s">
        <v>934</v>
      </c>
      <c r="I142" t="s">
        <v>934</v>
      </c>
    </row>
    <row r="143" spans="1:9" x14ac:dyDescent="0.25">
      <c r="A143" t="s">
        <v>937</v>
      </c>
      <c r="B143" t="s">
        <v>938</v>
      </c>
      <c r="C143" t="s">
        <v>938</v>
      </c>
      <c r="D143" t="s">
        <v>938</v>
      </c>
      <c r="E143" t="s">
        <v>939</v>
      </c>
      <c r="F143" t="s">
        <v>940</v>
      </c>
      <c r="G143" t="s">
        <v>938</v>
      </c>
      <c r="H143" t="s">
        <v>938</v>
      </c>
      <c r="I143" t="s">
        <v>938</v>
      </c>
    </row>
    <row r="144" spans="1:9" x14ac:dyDescent="0.25">
      <c r="A144" t="s">
        <v>941</v>
      </c>
      <c r="B144" t="s">
        <v>942</v>
      </c>
      <c r="C144" t="s">
        <v>943</v>
      </c>
      <c r="D144" t="s">
        <v>942</v>
      </c>
      <c r="E144" t="s">
        <v>942</v>
      </c>
      <c r="F144" t="s">
        <v>944</v>
      </c>
      <c r="G144" t="s">
        <v>942</v>
      </c>
      <c r="H144" t="s">
        <v>942</v>
      </c>
      <c r="I144" t="s">
        <v>945</v>
      </c>
    </row>
    <row r="145" spans="1:9" x14ac:dyDescent="0.25">
      <c r="A145" t="s">
        <v>946</v>
      </c>
      <c r="B145" t="s">
        <v>947</v>
      </c>
      <c r="C145" t="s">
        <v>948</v>
      </c>
      <c r="D145" t="s">
        <v>948</v>
      </c>
      <c r="E145" t="s">
        <v>947</v>
      </c>
      <c r="F145" t="s">
        <v>949</v>
      </c>
      <c r="G145" t="s">
        <v>947</v>
      </c>
      <c r="H145" t="s">
        <v>950</v>
      </c>
      <c r="I145" t="s">
        <v>950</v>
      </c>
    </row>
    <row r="146" spans="1:9" x14ac:dyDescent="0.25">
      <c r="A146" t="s">
        <v>951</v>
      </c>
      <c r="B146" t="s">
        <v>952</v>
      </c>
      <c r="C146" t="s">
        <v>953</v>
      </c>
      <c r="D146" t="s">
        <v>953</v>
      </c>
      <c r="E146" t="s">
        <v>953</v>
      </c>
      <c r="F146" t="s">
        <v>954</v>
      </c>
      <c r="G146" t="s">
        <v>953</v>
      </c>
      <c r="H146" t="s">
        <v>955</v>
      </c>
      <c r="I146" t="s">
        <v>956</v>
      </c>
    </row>
    <row r="147" spans="1:9" x14ac:dyDescent="0.25">
      <c r="A147" t="s">
        <v>957</v>
      </c>
      <c r="B147" t="s">
        <v>958</v>
      </c>
      <c r="C147" t="s">
        <v>959</v>
      </c>
      <c r="D147" t="s">
        <v>960</v>
      </c>
      <c r="E147" t="s">
        <v>961</v>
      </c>
      <c r="F147" t="s">
        <v>962</v>
      </c>
      <c r="G147" t="s">
        <v>958</v>
      </c>
      <c r="H147" t="s">
        <v>963</v>
      </c>
      <c r="I147" t="s">
        <v>964</v>
      </c>
    </row>
    <row r="148" spans="1:9" x14ac:dyDescent="0.25">
      <c r="A148" t="s">
        <v>965</v>
      </c>
      <c r="B148" t="s">
        <v>966</v>
      </c>
      <c r="C148" t="s">
        <v>967</v>
      </c>
      <c r="D148" t="s">
        <v>968</v>
      </c>
      <c r="E148" t="s">
        <v>969</v>
      </c>
      <c r="F148" t="s">
        <v>970</v>
      </c>
      <c r="G148" t="s">
        <v>966</v>
      </c>
      <c r="H148" t="s">
        <v>966</v>
      </c>
      <c r="I148" t="s">
        <v>971</v>
      </c>
    </row>
    <row r="149" spans="1:9" x14ac:dyDescent="0.25">
      <c r="A149" t="s">
        <v>972</v>
      </c>
      <c r="B149" t="s">
        <v>973</v>
      </c>
      <c r="C149" t="s">
        <v>974</v>
      </c>
      <c r="D149" t="s">
        <v>975</v>
      </c>
      <c r="E149" t="s">
        <v>976</v>
      </c>
      <c r="F149" t="s">
        <v>977</v>
      </c>
      <c r="G149" t="s">
        <v>973</v>
      </c>
      <c r="H149" t="s">
        <v>978</v>
      </c>
      <c r="I149" t="s">
        <v>979</v>
      </c>
    </row>
    <row r="150" spans="1:9" x14ac:dyDescent="0.25">
      <c r="A150" t="s">
        <v>980</v>
      </c>
      <c r="B150" t="s">
        <v>981</v>
      </c>
      <c r="C150" t="s">
        <v>982</v>
      </c>
      <c r="D150" t="s">
        <v>982</v>
      </c>
      <c r="E150" t="s">
        <v>981</v>
      </c>
      <c r="F150" t="s">
        <v>983</v>
      </c>
      <c r="G150" t="s">
        <v>982</v>
      </c>
      <c r="H150" t="s">
        <v>982</v>
      </c>
      <c r="I150" t="s">
        <v>982</v>
      </c>
    </row>
    <row r="151" spans="1:9" x14ac:dyDescent="0.25">
      <c r="A151" t="s">
        <v>984</v>
      </c>
      <c r="B151" t="s">
        <v>985</v>
      </c>
      <c r="C151" t="s">
        <v>986</v>
      </c>
      <c r="D151" t="s">
        <v>987</v>
      </c>
      <c r="E151" t="s">
        <v>988</v>
      </c>
      <c r="F151" t="s">
        <v>989</v>
      </c>
      <c r="G151" t="s">
        <v>990</v>
      </c>
      <c r="H151" t="s">
        <v>990</v>
      </c>
      <c r="I151" t="s">
        <v>991</v>
      </c>
    </row>
    <row r="152" spans="1:9" x14ac:dyDescent="0.25">
      <c r="A152" t="s">
        <v>992</v>
      </c>
      <c r="B152" t="s">
        <v>993</v>
      </c>
      <c r="C152" t="s">
        <v>994</v>
      </c>
      <c r="D152" t="s">
        <v>995</v>
      </c>
      <c r="E152" t="s">
        <v>993</v>
      </c>
      <c r="F152" t="s">
        <v>996</v>
      </c>
      <c r="G152" t="s">
        <v>993</v>
      </c>
      <c r="H152" t="s">
        <v>993</v>
      </c>
      <c r="I152" t="s">
        <v>997</v>
      </c>
    </row>
    <row r="153" spans="1:9" x14ac:dyDescent="0.25">
      <c r="A153" t="s">
        <v>998</v>
      </c>
      <c r="B153" t="s">
        <v>999</v>
      </c>
      <c r="C153" t="s">
        <v>999</v>
      </c>
      <c r="D153" t="s">
        <v>999</v>
      </c>
      <c r="E153" t="s">
        <v>1000</v>
      </c>
      <c r="F153" t="s">
        <v>1001</v>
      </c>
      <c r="G153" t="s">
        <v>999</v>
      </c>
      <c r="H153" t="s">
        <v>1002</v>
      </c>
      <c r="I153" t="s">
        <v>1003</v>
      </c>
    </row>
    <row r="154" spans="1:9" x14ac:dyDescent="0.25">
      <c r="A154" t="s">
        <v>1004</v>
      </c>
      <c r="B154" t="s">
        <v>1005</v>
      </c>
      <c r="C154" t="s">
        <v>1006</v>
      </c>
      <c r="D154" t="s">
        <v>1007</v>
      </c>
      <c r="E154" t="s">
        <v>1008</v>
      </c>
      <c r="F154" t="s">
        <v>1009</v>
      </c>
      <c r="G154" t="s">
        <v>1010</v>
      </c>
      <c r="H154" t="s">
        <v>1011</v>
      </c>
      <c r="I154" t="s">
        <v>1012</v>
      </c>
    </row>
    <row r="155" spans="1:9" x14ac:dyDescent="0.25">
      <c r="A155" t="s">
        <v>1013</v>
      </c>
      <c r="B155" t="s">
        <v>1014</v>
      </c>
      <c r="C155" t="s">
        <v>1015</v>
      </c>
      <c r="D155" t="s">
        <v>1015</v>
      </c>
      <c r="E155" t="s">
        <v>1016</v>
      </c>
      <c r="F155" t="s">
        <v>1017</v>
      </c>
      <c r="G155" t="s">
        <v>1014</v>
      </c>
      <c r="H155" t="s">
        <v>1015</v>
      </c>
      <c r="I155" t="s">
        <v>1018</v>
      </c>
    </row>
    <row r="156" spans="1:9" x14ac:dyDescent="0.25">
      <c r="A156" t="s">
        <v>1019</v>
      </c>
      <c r="B156" t="s">
        <v>1020</v>
      </c>
      <c r="C156" t="s">
        <v>1021</v>
      </c>
      <c r="D156" t="s">
        <v>1022</v>
      </c>
      <c r="E156" t="s">
        <v>1023</v>
      </c>
      <c r="F156" t="s">
        <v>1024</v>
      </c>
      <c r="G156" t="s">
        <v>1020</v>
      </c>
      <c r="H156" t="s">
        <v>1025</v>
      </c>
      <c r="I156" t="s">
        <v>1026</v>
      </c>
    </row>
    <row r="157" spans="1:9" x14ac:dyDescent="0.25">
      <c r="A157" t="s">
        <v>1027</v>
      </c>
      <c r="B157" t="s">
        <v>1028</v>
      </c>
      <c r="C157" t="s">
        <v>1029</v>
      </c>
      <c r="D157" t="s">
        <v>1030</v>
      </c>
      <c r="E157" t="s">
        <v>1031</v>
      </c>
      <c r="F157" t="s">
        <v>1032</v>
      </c>
      <c r="G157" t="s">
        <v>1033</v>
      </c>
      <c r="H157" t="s">
        <v>1034</v>
      </c>
      <c r="I157" t="s">
        <v>1035</v>
      </c>
    </row>
    <row r="158" spans="1:9" x14ac:dyDescent="0.25">
      <c r="A158" t="s">
        <v>1036</v>
      </c>
      <c r="B158" t="s">
        <v>1037</v>
      </c>
      <c r="C158" t="s">
        <v>1038</v>
      </c>
      <c r="D158" t="s">
        <v>1037</v>
      </c>
      <c r="E158" t="s">
        <v>1037</v>
      </c>
      <c r="F158" t="s">
        <v>1039</v>
      </c>
      <c r="G158" t="s">
        <v>1037</v>
      </c>
      <c r="H158" t="s">
        <v>1040</v>
      </c>
      <c r="I158" t="s">
        <v>1041</v>
      </c>
    </row>
    <row r="159" spans="1:9" x14ac:dyDescent="0.25">
      <c r="A159" t="s">
        <v>1042</v>
      </c>
      <c r="B159" t="s">
        <v>1043</v>
      </c>
      <c r="C159" t="s">
        <v>1043</v>
      </c>
      <c r="D159" t="s">
        <v>1043</v>
      </c>
      <c r="E159" t="s">
        <v>1044</v>
      </c>
      <c r="F159" t="s">
        <v>1045</v>
      </c>
      <c r="G159" t="s">
        <v>1043</v>
      </c>
      <c r="H159" t="s">
        <v>1043</v>
      </c>
      <c r="I159" t="s">
        <v>1043</v>
      </c>
    </row>
    <row r="160" spans="1:9" x14ac:dyDescent="0.25">
      <c r="A160" t="s">
        <v>1046</v>
      </c>
      <c r="B160" t="s">
        <v>1047</v>
      </c>
      <c r="C160" t="s">
        <v>1048</v>
      </c>
      <c r="D160" t="s">
        <v>1047</v>
      </c>
      <c r="E160" t="s">
        <v>1047</v>
      </c>
      <c r="F160" t="s">
        <v>1049</v>
      </c>
      <c r="G160" t="s">
        <v>1047</v>
      </c>
      <c r="H160" t="s">
        <v>1048</v>
      </c>
      <c r="I160" t="s">
        <v>1047</v>
      </c>
    </row>
    <row r="161" spans="1:9" x14ac:dyDescent="0.25">
      <c r="A161" t="s">
        <v>1050</v>
      </c>
      <c r="B161" t="s">
        <v>1051</v>
      </c>
      <c r="C161" t="s">
        <v>1052</v>
      </c>
      <c r="D161" t="s">
        <v>1053</v>
      </c>
      <c r="E161" t="s">
        <v>1054</v>
      </c>
      <c r="F161" t="s">
        <v>1055</v>
      </c>
      <c r="G161" t="s">
        <v>1056</v>
      </c>
      <c r="H161" t="s">
        <v>1057</v>
      </c>
      <c r="I161" t="s">
        <v>1056</v>
      </c>
    </row>
    <row r="162" spans="1:9" x14ac:dyDescent="0.25">
      <c r="A162" t="s">
        <v>1058</v>
      </c>
      <c r="B162" t="s">
        <v>1059</v>
      </c>
      <c r="C162" t="s">
        <v>1060</v>
      </c>
      <c r="D162" t="s">
        <v>1059</v>
      </c>
      <c r="E162" t="s">
        <v>1059</v>
      </c>
      <c r="F162" t="s">
        <v>1061</v>
      </c>
      <c r="G162" t="s">
        <v>1059</v>
      </c>
      <c r="H162" t="s">
        <v>1059</v>
      </c>
      <c r="I162" t="s">
        <v>1059</v>
      </c>
    </row>
    <row r="163" spans="1:9" x14ac:dyDescent="0.25">
      <c r="A163" t="s">
        <v>1062</v>
      </c>
      <c r="B163" t="s">
        <v>1063</v>
      </c>
      <c r="C163" t="s">
        <v>1064</v>
      </c>
      <c r="D163" t="s">
        <v>1065</v>
      </c>
      <c r="E163" t="s">
        <v>1066</v>
      </c>
      <c r="F163" t="s">
        <v>1067</v>
      </c>
      <c r="G163" t="s">
        <v>1068</v>
      </c>
      <c r="H163" t="s">
        <v>1069</v>
      </c>
      <c r="I163" t="s">
        <v>1070</v>
      </c>
    </row>
    <row r="164" spans="1:9" x14ac:dyDescent="0.25">
      <c r="A164" t="s">
        <v>1071</v>
      </c>
      <c r="B164" t="s">
        <v>1072</v>
      </c>
      <c r="C164" t="s">
        <v>1073</v>
      </c>
      <c r="D164" t="s">
        <v>1074</v>
      </c>
      <c r="E164" t="s">
        <v>1075</v>
      </c>
      <c r="F164" t="s">
        <v>1076</v>
      </c>
      <c r="G164" t="s">
        <v>1077</v>
      </c>
      <c r="H164" t="s">
        <v>1072</v>
      </c>
      <c r="I164" t="s">
        <v>1078</v>
      </c>
    </row>
    <row r="165" spans="1:9" x14ac:dyDescent="0.25">
      <c r="A165" t="s">
        <v>1079</v>
      </c>
      <c r="B165" t="s">
        <v>1080</v>
      </c>
      <c r="C165" t="s">
        <v>1080</v>
      </c>
      <c r="D165" t="s">
        <v>1080</v>
      </c>
      <c r="E165" t="s">
        <v>1080</v>
      </c>
      <c r="F165" t="s">
        <v>1081</v>
      </c>
      <c r="G165" t="s">
        <v>1080</v>
      </c>
      <c r="H165" t="s">
        <v>1080</v>
      </c>
      <c r="I165" t="s">
        <v>1080</v>
      </c>
    </row>
    <row r="166" spans="1:9" x14ac:dyDescent="0.25">
      <c r="A166" t="s">
        <v>1082</v>
      </c>
      <c r="B166" t="s">
        <v>1083</v>
      </c>
      <c r="C166" t="s">
        <v>1084</v>
      </c>
      <c r="D166" t="s">
        <v>1083</v>
      </c>
      <c r="E166" t="s">
        <v>1085</v>
      </c>
      <c r="F166" t="s">
        <v>1086</v>
      </c>
      <c r="G166" t="s">
        <v>1087</v>
      </c>
      <c r="H166" t="s">
        <v>1088</v>
      </c>
      <c r="I166" t="s">
        <v>1089</v>
      </c>
    </row>
    <row r="167" spans="1:9" x14ac:dyDescent="0.25">
      <c r="A167" t="s">
        <v>1090</v>
      </c>
      <c r="B167" t="s">
        <v>1091</v>
      </c>
      <c r="C167" t="s">
        <v>1092</v>
      </c>
      <c r="D167" t="s">
        <v>1093</v>
      </c>
      <c r="E167" t="s">
        <v>1094</v>
      </c>
      <c r="F167" t="s">
        <v>1095</v>
      </c>
      <c r="G167" t="s">
        <v>1096</v>
      </c>
      <c r="H167" t="s">
        <v>1097</v>
      </c>
      <c r="I167" t="s">
        <v>1098</v>
      </c>
    </row>
    <row r="168" spans="1:9" x14ac:dyDescent="0.25">
      <c r="A168" t="s">
        <v>1099</v>
      </c>
      <c r="B168" t="s">
        <v>1100</v>
      </c>
      <c r="C168" t="s">
        <v>1100</v>
      </c>
      <c r="D168" t="s">
        <v>1101</v>
      </c>
      <c r="E168" t="s">
        <v>1100</v>
      </c>
      <c r="F168" t="s">
        <v>1102</v>
      </c>
      <c r="G168" t="s">
        <v>1103</v>
      </c>
      <c r="H168" t="s">
        <v>1100</v>
      </c>
      <c r="I168" t="s">
        <v>1100</v>
      </c>
    </row>
    <row r="169" spans="1:9" x14ac:dyDescent="0.25">
      <c r="A169" t="s">
        <v>1104</v>
      </c>
      <c r="B169" t="s">
        <v>1105</v>
      </c>
      <c r="C169" t="s">
        <v>1106</v>
      </c>
      <c r="D169" t="s">
        <v>1107</v>
      </c>
      <c r="E169" t="s">
        <v>1108</v>
      </c>
      <c r="F169" t="s">
        <v>1109</v>
      </c>
      <c r="G169" t="s">
        <v>1105</v>
      </c>
      <c r="H169" t="s">
        <v>1110</v>
      </c>
      <c r="I169" t="s">
        <v>1111</v>
      </c>
    </row>
    <row r="170" spans="1:9" x14ac:dyDescent="0.25">
      <c r="A170" t="s">
        <v>1112</v>
      </c>
      <c r="B170" t="s">
        <v>1113</v>
      </c>
      <c r="C170" t="s">
        <v>1113</v>
      </c>
      <c r="D170" t="s">
        <v>1113</v>
      </c>
      <c r="E170" t="s">
        <v>1113</v>
      </c>
      <c r="F170" t="s">
        <v>1114</v>
      </c>
      <c r="G170" t="s">
        <v>1113</v>
      </c>
      <c r="H170" t="s">
        <v>1113</v>
      </c>
      <c r="I170" t="s">
        <v>1113</v>
      </c>
    </row>
    <row r="171" spans="1:9" x14ac:dyDescent="0.25">
      <c r="A171" t="s">
        <v>1115</v>
      </c>
      <c r="B171" t="s">
        <v>1116</v>
      </c>
      <c r="C171" t="s">
        <v>1117</v>
      </c>
      <c r="D171" t="s">
        <v>1118</v>
      </c>
      <c r="E171" t="s">
        <v>1119</v>
      </c>
      <c r="F171" t="s">
        <v>1120</v>
      </c>
      <c r="G171" t="s">
        <v>1121</v>
      </c>
      <c r="H171" t="s">
        <v>1122</v>
      </c>
      <c r="I171" t="s">
        <v>1123</v>
      </c>
    </row>
    <row r="172" spans="1:9" x14ac:dyDescent="0.25">
      <c r="A172" t="s">
        <v>1124</v>
      </c>
      <c r="B172" t="s">
        <v>1125</v>
      </c>
      <c r="C172" t="s">
        <v>1126</v>
      </c>
      <c r="D172" t="s">
        <v>1125</v>
      </c>
      <c r="E172" t="s">
        <v>1127</v>
      </c>
      <c r="F172" t="s">
        <v>1128</v>
      </c>
      <c r="G172" t="s">
        <v>1129</v>
      </c>
      <c r="H172" t="s">
        <v>1130</v>
      </c>
      <c r="I172" t="s">
        <v>1125</v>
      </c>
    </row>
    <row r="173" spans="1:9" x14ac:dyDescent="0.25">
      <c r="A173" t="s">
        <v>1131</v>
      </c>
      <c r="B173" t="s">
        <v>1132</v>
      </c>
      <c r="C173" t="s">
        <v>1133</v>
      </c>
      <c r="D173" t="s">
        <v>1134</v>
      </c>
      <c r="E173" t="s">
        <v>1135</v>
      </c>
      <c r="F173" t="s">
        <v>1136</v>
      </c>
      <c r="G173" t="s">
        <v>1132</v>
      </c>
      <c r="H173" t="s">
        <v>1132</v>
      </c>
      <c r="I173" t="s">
        <v>1137</v>
      </c>
    </row>
    <row r="174" spans="1:9" x14ac:dyDescent="0.25">
      <c r="A174" t="s">
        <v>1138</v>
      </c>
      <c r="B174" t="s">
        <v>1139</v>
      </c>
      <c r="C174" t="s">
        <v>1140</v>
      </c>
      <c r="D174" t="s">
        <v>1139</v>
      </c>
      <c r="E174" t="s">
        <v>1139</v>
      </c>
      <c r="F174" t="s">
        <v>1141</v>
      </c>
      <c r="G174" t="s">
        <v>1142</v>
      </c>
      <c r="H174" t="s">
        <v>1143</v>
      </c>
      <c r="I174" t="s">
        <v>1144</v>
      </c>
    </row>
    <row r="175" spans="1:9" x14ac:dyDescent="0.25">
      <c r="A175" t="s">
        <v>1145</v>
      </c>
      <c r="B175" t="s">
        <v>1146</v>
      </c>
      <c r="C175" t="s">
        <v>1146</v>
      </c>
      <c r="D175" t="s">
        <v>1146</v>
      </c>
      <c r="E175" t="s">
        <v>1147</v>
      </c>
      <c r="F175" t="s">
        <v>1148</v>
      </c>
      <c r="G175" t="s">
        <v>1146</v>
      </c>
      <c r="H175" t="s">
        <v>1146</v>
      </c>
      <c r="I175" t="s">
        <v>1146</v>
      </c>
    </row>
    <row r="176" spans="1:9" x14ac:dyDescent="0.25">
      <c r="A176" t="s">
        <v>1149</v>
      </c>
      <c r="B176" t="s">
        <v>1150</v>
      </c>
      <c r="C176" t="s">
        <v>1151</v>
      </c>
      <c r="D176" t="s">
        <v>1152</v>
      </c>
      <c r="E176" t="s">
        <v>1153</v>
      </c>
      <c r="F176" t="s">
        <v>1154</v>
      </c>
      <c r="G176" t="s">
        <v>1155</v>
      </c>
      <c r="H176" t="s">
        <v>1156</v>
      </c>
      <c r="I176" t="s">
        <v>1156</v>
      </c>
    </row>
    <row r="177" spans="1:9" x14ac:dyDescent="0.25">
      <c r="A177" t="s">
        <v>1157</v>
      </c>
      <c r="B177" t="s">
        <v>1158</v>
      </c>
      <c r="C177" t="s">
        <v>1159</v>
      </c>
      <c r="D177" t="s">
        <v>1158</v>
      </c>
      <c r="E177" t="s">
        <v>1158</v>
      </c>
      <c r="F177" t="s">
        <v>1160</v>
      </c>
      <c r="G177" t="s">
        <v>1158</v>
      </c>
      <c r="H177" t="s">
        <v>1158</v>
      </c>
      <c r="I177" t="s">
        <v>1161</v>
      </c>
    </row>
    <row r="178" spans="1:9" x14ac:dyDescent="0.25">
      <c r="A178" t="s">
        <v>1162</v>
      </c>
      <c r="B178" t="s">
        <v>1163</v>
      </c>
      <c r="C178" t="s">
        <v>1163</v>
      </c>
      <c r="D178" t="s">
        <v>1164</v>
      </c>
      <c r="E178" t="s">
        <v>1165</v>
      </c>
      <c r="F178" t="s">
        <v>1166</v>
      </c>
      <c r="G178" t="s">
        <v>1163</v>
      </c>
      <c r="H178" t="s">
        <v>1167</v>
      </c>
      <c r="I178" t="s">
        <v>1168</v>
      </c>
    </row>
    <row r="179" spans="1:9" x14ac:dyDescent="0.25">
      <c r="A179" t="s">
        <v>1169</v>
      </c>
      <c r="B179" t="s">
        <v>1170</v>
      </c>
      <c r="C179" t="s">
        <v>1171</v>
      </c>
      <c r="D179" t="s">
        <v>1172</v>
      </c>
      <c r="E179" t="s">
        <v>1173</v>
      </c>
      <c r="F179" t="s">
        <v>1174</v>
      </c>
      <c r="G179" t="s">
        <v>1175</v>
      </c>
      <c r="H179" t="s">
        <v>1176</v>
      </c>
      <c r="I179" t="s">
        <v>1177</v>
      </c>
    </row>
    <row r="180" spans="1:9" x14ac:dyDescent="0.25">
      <c r="A180" t="s">
        <v>1178</v>
      </c>
      <c r="B180" t="s">
        <v>1179</v>
      </c>
      <c r="C180" t="s">
        <v>1179</v>
      </c>
      <c r="D180" t="s">
        <v>1179</v>
      </c>
      <c r="E180" t="s">
        <v>1179</v>
      </c>
      <c r="F180" t="s">
        <v>1180</v>
      </c>
      <c r="G180" t="s">
        <v>1179</v>
      </c>
      <c r="H180" t="s">
        <v>1179</v>
      </c>
      <c r="I180" t="s">
        <v>1179</v>
      </c>
    </row>
    <row r="181" spans="1:9" x14ac:dyDescent="0.25">
      <c r="A181" t="s">
        <v>1181</v>
      </c>
      <c r="B181" t="s">
        <v>1182</v>
      </c>
      <c r="C181" t="s">
        <v>1183</v>
      </c>
      <c r="D181" t="s">
        <v>1184</v>
      </c>
      <c r="E181" t="s">
        <v>1185</v>
      </c>
      <c r="F181" t="s">
        <v>1186</v>
      </c>
      <c r="G181" t="s">
        <v>1187</v>
      </c>
      <c r="H181" t="s">
        <v>1188</v>
      </c>
      <c r="I181" t="s">
        <v>1189</v>
      </c>
    </row>
    <row r="182" spans="1:9" x14ac:dyDescent="0.25">
      <c r="A182" t="s">
        <v>1190</v>
      </c>
      <c r="B182" t="s">
        <v>1191</v>
      </c>
      <c r="C182" t="s">
        <v>1192</v>
      </c>
      <c r="D182" t="s">
        <v>1191</v>
      </c>
      <c r="E182" t="s">
        <v>1191</v>
      </c>
      <c r="F182" t="s">
        <v>1193</v>
      </c>
      <c r="G182" t="s">
        <v>1191</v>
      </c>
      <c r="H182" t="s">
        <v>1191</v>
      </c>
      <c r="I182" t="s">
        <v>1194</v>
      </c>
    </row>
    <row r="183" spans="1:9" x14ac:dyDescent="0.25">
      <c r="A183" t="s">
        <v>1195</v>
      </c>
      <c r="B183" t="s">
        <v>1196</v>
      </c>
      <c r="C183" t="s">
        <v>1196</v>
      </c>
      <c r="D183" t="s">
        <v>1196</v>
      </c>
      <c r="E183" t="s">
        <v>1196</v>
      </c>
      <c r="F183" t="s">
        <v>1197</v>
      </c>
      <c r="G183" t="s">
        <v>1196</v>
      </c>
      <c r="H183" t="s">
        <v>1196</v>
      </c>
      <c r="I183" t="s">
        <v>1196</v>
      </c>
    </row>
    <row r="184" spans="1:9" x14ac:dyDescent="0.25">
      <c r="A184" t="s">
        <v>1198</v>
      </c>
      <c r="B184" t="s">
        <v>1199</v>
      </c>
      <c r="C184" t="s">
        <v>1199</v>
      </c>
      <c r="D184" t="s">
        <v>1199</v>
      </c>
      <c r="E184" t="s">
        <v>1199</v>
      </c>
      <c r="F184" t="s">
        <v>1200</v>
      </c>
      <c r="G184" t="s">
        <v>1199</v>
      </c>
      <c r="H184" t="s">
        <v>1199</v>
      </c>
      <c r="I184" t="s">
        <v>1199</v>
      </c>
    </row>
    <row r="185" spans="1:9" x14ac:dyDescent="0.25">
      <c r="A185" t="s">
        <v>1201</v>
      </c>
      <c r="B185" t="s">
        <v>1202</v>
      </c>
      <c r="C185" t="s">
        <v>1203</v>
      </c>
      <c r="D185" t="s">
        <v>1204</v>
      </c>
      <c r="E185" t="s">
        <v>1205</v>
      </c>
      <c r="F185" t="s">
        <v>1206</v>
      </c>
      <c r="G185" t="s">
        <v>1207</v>
      </c>
      <c r="H185" t="s">
        <v>1208</v>
      </c>
      <c r="I185" t="s">
        <v>1209</v>
      </c>
    </row>
    <row r="186" spans="1:9" x14ac:dyDescent="0.25">
      <c r="A186" t="s">
        <v>1210</v>
      </c>
      <c r="B186" t="s">
        <v>1211</v>
      </c>
      <c r="C186" t="s">
        <v>1212</v>
      </c>
      <c r="D186" t="s">
        <v>1213</v>
      </c>
      <c r="E186" t="s">
        <v>1211</v>
      </c>
      <c r="F186" t="s">
        <v>1214</v>
      </c>
      <c r="G186" t="s">
        <v>1211</v>
      </c>
      <c r="H186" t="s">
        <v>1215</v>
      </c>
      <c r="I186" t="s">
        <v>1216</v>
      </c>
    </row>
    <row r="187" spans="1:9" x14ac:dyDescent="0.25">
      <c r="A187" t="s">
        <v>1850</v>
      </c>
      <c r="B187" t="s">
        <v>1851</v>
      </c>
      <c r="C187" t="s">
        <v>1859</v>
      </c>
      <c r="D187" t="s">
        <v>1851</v>
      </c>
      <c r="E187" t="s">
        <v>1860</v>
      </c>
      <c r="F187" t="s">
        <v>1861</v>
      </c>
      <c r="G187" t="s">
        <v>1860</v>
      </c>
      <c r="H187" t="s">
        <v>1862</v>
      </c>
      <c r="I187" t="s">
        <v>1860</v>
      </c>
    </row>
    <row r="188" spans="1:9" x14ac:dyDescent="0.25">
      <c r="A188" t="s">
        <v>1852</v>
      </c>
      <c r="B188" t="s">
        <v>1853</v>
      </c>
      <c r="C188" t="s">
        <v>1863</v>
      </c>
      <c r="D188" t="s">
        <v>1864</v>
      </c>
      <c r="E188" t="s">
        <v>1865</v>
      </c>
      <c r="F188" t="s">
        <v>1866</v>
      </c>
      <c r="G188" t="s">
        <v>1867</v>
      </c>
      <c r="H188" t="s">
        <v>1868</v>
      </c>
      <c r="I188" t="s">
        <v>1869</v>
      </c>
    </row>
    <row r="189" spans="1:9" x14ac:dyDescent="0.25">
      <c r="A189" t="s">
        <v>1855</v>
      </c>
      <c r="B189" t="s">
        <v>1856</v>
      </c>
      <c r="C189" t="s">
        <v>1870</v>
      </c>
      <c r="D189" t="s">
        <v>1856</v>
      </c>
      <c r="E189" t="s">
        <v>1856</v>
      </c>
      <c r="F189" t="s">
        <v>1871</v>
      </c>
      <c r="G189" t="s">
        <v>1872</v>
      </c>
      <c r="H189" t="s">
        <v>1872</v>
      </c>
      <c r="I189" t="s">
        <v>1872</v>
      </c>
    </row>
    <row r="190" spans="1:9" x14ac:dyDescent="0.25">
      <c r="A190" t="s">
        <v>1857</v>
      </c>
      <c r="B190" t="s">
        <v>1858</v>
      </c>
      <c r="C190" t="s">
        <v>1873</v>
      </c>
      <c r="D190" t="s">
        <v>1858</v>
      </c>
      <c r="E190" t="s">
        <v>1858</v>
      </c>
      <c r="F190" t="s">
        <v>1874</v>
      </c>
      <c r="G190" t="s">
        <v>1858</v>
      </c>
      <c r="H190" t="s">
        <v>1875</v>
      </c>
      <c r="I190" t="s">
        <v>1875</v>
      </c>
    </row>
  </sheetData>
  <autoFilter ref="A1:H186" xr:uid="{00000000-0009-0000-0000-000004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Regions</vt:lpstr>
      <vt:lpstr>Codes</vt:lpstr>
      <vt:lpstr>Countries</vt:lpstr>
      <vt:lpstr>Countries_per_regions</vt:lpstr>
      <vt:lpstr>MappingTable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Dominik Cvetko</dc:creator>
  <cp:lastModifiedBy>Dominik Cvetko</cp:lastModifiedBy>
  <dcterms:created xsi:type="dcterms:W3CDTF">2026-06-01T09:52:12Z</dcterms:created>
  <dcterms:modified xsi:type="dcterms:W3CDTF">2026-09-25T10:50:10Z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8b1ffe9-42de-443c-aef6-86a7b9ca47f5_Enabled">
    <vt:lpwstr>true</vt:lpwstr>
  </property>
  <property fmtid="{D5CDD505-2E9C-101B-9397-08002B2CF9AE}" pid="3" name="MSIP_Label_b8b1ffe9-42de-443c-aef6-86a7b9ca47f5_SetDate">
    <vt:lpwstr>2026-06-01T11:42:05Z</vt:lpwstr>
  </property>
  <property fmtid="{D5CDD505-2E9C-101B-9397-08002B2CF9AE}" pid="4" name="MSIP_Label_b8b1ffe9-42de-443c-aef6-86a7b9ca47f5_Method">
    <vt:lpwstr>Standard</vt:lpwstr>
  </property>
  <property fmtid="{D5CDD505-2E9C-101B-9397-08002B2CF9AE}" pid="5" name="MSIP_Label_b8b1ffe9-42de-443c-aef6-86a7b9ca47f5_Name">
    <vt:lpwstr>Internal</vt:lpwstr>
  </property>
  <property fmtid="{D5CDD505-2E9C-101B-9397-08002B2CF9AE}" pid="6" name="MSIP_Label_b8b1ffe9-42de-443c-aef6-86a7b9ca47f5_SiteId">
    <vt:lpwstr>70d04d7a-e805-459b-96ac-35bc9f7762b7</vt:lpwstr>
  </property>
  <property fmtid="{D5CDD505-2E9C-101B-9397-08002B2CF9AE}" pid="7" name="MSIP_Label_b8b1ffe9-42de-443c-aef6-86a7b9ca47f5_ActionId">
    <vt:lpwstr>6336547d-adc2-4571-b2e6-308e12f29445</vt:lpwstr>
  </property>
  <property fmtid="{D5CDD505-2E9C-101B-9397-08002B2CF9AE}" pid="8" name="MSIP_Label_b8b1ffe9-42de-443c-aef6-86a7b9ca47f5_ContentBits">
    <vt:lpwstr>0</vt:lpwstr>
  </property>
  <property fmtid="{D5CDD505-2E9C-101B-9397-08002B2CF9AE}" pid="9" name="MSIP_Label_b8b1ffe9-42de-443c-aef6-86a7b9ca47f5_Tag">
    <vt:lpwstr>10, 3, 0, 1</vt:lpwstr>
  </property>
  <property fmtid="{D5CDD505-2E9C-101B-9397-08002B2CF9AE}" pid="10" name="ContentTypeId">
    <vt:lpwstr>0x0101007113BAA1CEDDFC45BBB3E5AE2B53E5DC</vt:lpwstr>
  </property>
</Properties>
</file>