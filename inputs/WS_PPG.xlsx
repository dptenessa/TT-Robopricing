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rtelekom-my.sharepoint.com/personal/diego_deblock_t_ht_hr/Documents/Documents/Python/T GLobal robopricing v2.0/inputs/"/>
    </mc:Choice>
  </mc:AlternateContent>
  <xr:revisionPtr revIDLastSave="0" documentId="13_ncr:20000001_{8BCFF1AF-B38A-4087-BF3F-D48469DDC6FC}" xr6:coauthVersionLast="47" xr6:coauthVersionMax="47" xr10:uidLastSave="{00000000-0000-0000-0000-000000000000}"/>
  <bookViews>
    <workbookView xWindow="11310" yWindow="2805" windowWidth="21945" windowHeight="15345" xr2:uid="{00000000-000D-0000-FFFF-FFFF00000000}"/>
  </bookViews>
  <sheets>
    <sheet name="min per Codes" sheetId="3" r:id="rId1"/>
    <sheet name="EU_Regions" sheetId="4" r:id="rId2"/>
    <sheet name="Query result" sheetId="1" r:id="rId3"/>
    <sheet name="Sheet1" sheetId="2" r:id="rId4"/>
  </sheets>
  <definedNames>
    <definedName name="_xlnm._FilterDatabase" localSheetId="2" hidden="1">'Query result'!$A$1:$E$419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4" l="1"/>
  <c r="K15" i="4"/>
  <c r="L15" i="4"/>
  <c r="H15" i="4"/>
  <c r="C15" i="4" s="1"/>
  <c r="I15" i="4"/>
  <c r="D15" i="4" s="1"/>
  <c r="O3" i="4" a="1"/>
  <c r="O3" i="4" s="1"/>
  <c r="O4" i="4" a="1"/>
  <c r="O4" i="4" s="1"/>
  <c r="O6" i="4" a="1"/>
  <c r="O6" i="4" s="1"/>
  <c r="O7" i="4" a="1"/>
  <c r="O7" i="4" s="1"/>
  <c r="O8" i="4" a="1"/>
  <c r="O8" i="4" s="1"/>
  <c r="O9" i="4" a="1"/>
  <c r="O9" i="4"/>
  <c r="O11" i="4" a="1"/>
  <c r="O11" i="4" s="1"/>
  <c r="O12" i="4" a="1"/>
  <c r="O12" i="4" s="1"/>
  <c r="O13" i="4" a="1"/>
  <c r="O13" i="4" s="1"/>
  <c r="O2" i="4" a="1"/>
  <c r="O2" i="4" s="1"/>
  <c r="C3" i="4"/>
  <c r="C4" i="4"/>
  <c r="C6" i="4"/>
  <c r="C7" i="4"/>
  <c r="C8" i="4"/>
  <c r="C9" i="4"/>
  <c r="C11" i="4"/>
  <c r="C12" i="4"/>
  <c r="C13" i="4"/>
  <c r="C2" i="4"/>
  <c r="H3" i="4"/>
  <c r="H4" i="4"/>
  <c r="H5" i="4"/>
  <c r="C5" i="4" s="1"/>
  <c r="H6" i="4"/>
  <c r="H7" i="4"/>
  <c r="H8" i="4"/>
  <c r="H9" i="4"/>
  <c r="H10" i="4"/>
  <c r="C10" i="4" s="1"/>
  <c r="H11" i="4"/>
  <c r="H12" i="4"/>
  <c r="H13" i="4"/>
  <c r="H14" i="4"/>
  <c r="C14" i="4" s="1"/>
  <c r="H2" i="4"/>
  <c r="D9" i="4"/>
  <c r="L2" i="4"/>
  <c r="L3" i="4"/>
  <c r="M3" i="4" s="1" a="1"/>
  <c r="M3" i="4" s="1"/>
  <c r="N3" i="4" s="1" a="1"/>
  <c r="N3" i="4" s="1"/>
  <c r="L4" i="4"/>
  <c r="L5" i="4"/>
  <c r="O5" i="4" s="1" a="1"/>
  <c r="O5" i="4" s="1"/>
  <c r="L6" i="4"/>
  <c r="L7" i="4"/>
  <c r="L8" i="4"/>
  <c r="L9" i="4"/>
  <c r="L10" i="4"/>
  <c r="L11" i="4"/>
  <c r="L12" i="4"/>
  <c r="L13" i="4"/>
  <c r="L14" i="4"/>
  <c r="O14" i="4" s="1" a="1"/>
  <c r="O14" i="4" s="1"/>
  <c r="K3" i="4"/>
  <c r="K4" i="4"/>
  <c r="K5" i="4"/>
  <c r="K6" i="4"/>
  <c r="K7" i="4"/>
  <c r="K8" i="4"/>
  <c r="K10" i="4"/>
  <c r="K11" i="4"/>
  <c r="K12" i="4"/>
  <c r="K13" i="4"/>
  <c r="K14" i="4"/>
  <c r="K2" i="4"/>
  <c r="J3" i="4"/>
  <c r="J4" i="4"/>
  <c r="M4" i="4" s="1" a="1"/>
  <c r="M4" i="4" s="1"/>
  <c r="N4" i="4" s="1" a="1"/>
  <c r="N4" i="4" s="1"/>
  <c r="J5" i="4"/>
  <c r="J6" i="4"/>
  <c r="M6" i="4" s="1" a="1"/>
  <c r="M6" i="4" s="1"/>
  <c r="N6" i="4" s="1" a="1"/>
  <c r="N6" i="4" s="1"/>
  <c r="J7" i="4"/>
  <c r="M7" i="4" s="1" a="1"/>
  <c r="M7" i="4" s="1"/>
  <c r="N7" i="4" s="1" a="1"/>
  <c r="N7" i="4" s="1"/>
  <c r="J8" i="4"/>
  <c r="M8" i="4" s="1" a="1"/>
  <c r="M8" i="4" s="1"/>
  <c r="N8" i="4" s="1" a="1"/>
  <c r="N8" i="4" s="1"/>
  <c r="J9" i="4"/>
  <c r="M9" i="4" s="1" a="1"/>
  <c r="M9" i="4" s="1"/>
  <c r="N9" i="4" s="1" a="1"/>
  <c r="N9" i="4" s="1"/>
  <c r="J10" i="4"/>
  <c r="J11" i="4"/>
  <c r="M11" i="4" s="1" a="1"/>
  <c r="M11" i="4" s="1"/>
  <c r="N11" i="4" s="1" a="1"/>
  <c r="N11" i="4" s="1"/>
  <c r="J12" i="4"/>
  <c r="M12" i="4" s="1" a="1"/>
  <c r="M12" i="4" s="1"/>
  <c r="N12" i="4" s="1" a="1"/>
  <c r="N12" i="4" s="1"/>
  <c r="J13" i="4"/>
  <c r="M13" i="4" s="1" a="1"/>
  <c r="M13" i="4" s="1"/>
  <c r="N13" i="4" s="1" a="1"/>
  <c r="N13" i="4" s="1"/>
  <c r="J14" i="4"/>
  <c r="J2" i="4"/>
  <c r="M2" i="4" s="1" a="1"/>
  <c r="M2" i="4" s="1"/>
  <c r="N2" i="4" s="1" a="1"/>
  <c r="N2" i="4" s="1"/>
  <c r="I14" i="4"/>
  <c r="D14" i="4" s="1"/>
  <c r="I13" i="4"/>
  <c r="D13" i="4" s="1"/>
  <c r="I12" i="4"/>
  <c r="D12" i="4" s="1"/>
  <c r="I11" i="4"/>
  <c r="D11" i="4" s="1"/>
  <c r="I10" i="4"/>
  <c r="D10" i="4" s="1"/>
  <c r="I9" i="4"/>
  <c r="I8" i="4"/>
  <c r="D8" i="4" s="1"/>
  <c r="I7" i="4"/>
  <c r="D7" i="4" s="1"/>
  <c r="I6" i="4"/>
  <c r="D6" i="4" s="1"/>
  <c r="I5" i="4"/>
  <c r="D5" i="4" s="1"/>
  <c r="I4" i="4"/>
  <c r="D4" i="4" s="1"/>
  <c r="I3" i="4"/>
  <c r="D3" i="4" s="1"/>
  <c r="I2" i="4"/>
  <c r="D2" i="4" s="1"/>
  <c r="O10" i="4" l="1" a="1"/>
  <c r="O10" i="4" s="1"/>
  <c r="M15" i="4" a="1"/>
  <c r="M15" i="4" s="1"/>
  <c r="N15" i="4" s="1" a="1"/>
  <c r="N15" i="4" s="1"/>
  <c r="M5" i="4" a="1"/>
  <c r="M5" i="4" s="1"/>
  <c r="N5" i="4" s="1" a="1"/>
  <c r="N5" i="4" s="1"/>
  <c r="M14" i="4" a="1"/>
  <c r="M14" i="4" s="1"/>
  <c r="N14" i="4" s="1" a="1"/>
  <c r="N14" i="4" s="1"/>
  <c r="M10" i="4" a="1"/>
  <c r="M10" i="4" s="1"/>
  <c r="N10" i="4" s="1" a="1"/>
  <c r="N10" i="4" s="1"/>
  <c r="O15" i="4" a="1"/>
  <c r="O15" i="4" s="1"/>
  <c r="F19" i="1"/>
  <c r="G19" i="1" s="1"/>
  <c r="H19" i="1"/>
  <c r="I19" i="1" s="1"/>
  <c r="F20" i="1"/>
  <c r="H20" i="1"/>
  <c r="F21" i="1"/>
  <c r="H21" i="1"/>
  <c r="I21" i="1" s="1"/>
  <c r="F22" i="1"/>
  <c r="H22" i="1"/>
  <c r="I22" i="1" s="1"/>
  <c r="F23" i="1"/>
  <c r="H23" i="1"/>
  <c r="J23" i="1" s="1"/>
  <c r="F24" i="1"/>
  <c r="H24" i="1"/>
  <c r="I24" i="1" s="1"/>
  <c r="F25" i="1"/>
  <c r="H25" i="1"/>
  <c r="J25" i="1" s="1"/>
  <c r="F26" i="1"/>
  <c r="H26" i="1"/>
  <c r="I26" i="1"/>
  <c r="J26" i="1"/>
  <c r="F27" i="1"/>
  <c r="G27" i="1" s="1"/>
  <c r="H27" i="1"/>
  <c r="J27" i="1" s="1"/>
  <c r="F28" i="1"/>
  <c r="G28" i="1" s="1"/>
  <c r="H28" i="1"/>
  <c r="F29" i="1"/>
  <c r="H29" i="1"/>
  <c r="F30" i="1"/>
  <c r="H30" i="1"/>
  <c r="I30" i="1" s="1"/>
  <c r="F31" i="1"/>
  <c r="H31" i="1"/>
  <c r="J31" i="1" s="1"/>
  <c r="F32" i="1"/>
  <c r="G32" i="1" s="1"/>
  <c r="H32" i="1"/>
  <c r="I32" i="1" s="1"/>
  <c r="F33" i="1"/>
  <c r="G33" i="1" s="1"/>
  <c r="H33" i="1"/>
  <c r="J33" i="1" s="1"/>
  <c r="I33" i="1"/>
  <c r="F34" i="1"/>
  <c r="H34" i="1"/>
  <c r="F35" i="1"/>
  <c r="H35" i="1"/>
  <c r="J35" i="1" s="1"/>
  <c r="F36" i="1"/>
  <c r="H36" i="1"/>
  <c r="F37" i="1"/>
  <c r="H37" i="1"/>
  <c r="J37" i="1" s="1"/>
  <c r="F38" i="1"/>
  <c r="H38" i="1"/>
  <c r="I38" i="1" s="1"/>
  <c r="F39" i="1"/>
  <c r="H39" i="1"/>
  <c r="J39" i="1" s="1"/>
  <c r="F40" i="1"/>
  <c r="G40" i="1" s="1"/>
  <c r="H40" i="1"/>
  <c r="I40" i="1" s="1"/>
  <c r="F41" i="1"/>
  <c r="G41" i="1" s="1"/>
  <c r="H41" i="1"/>
  <c r="J41" i="1" s="1"/>
  <c r="F42" i="1"/>
  <c r="G42" i="1" s="1"/>
  <c r="H42" i="1"/>
  <c r="I42" i="1" s="1"/>
  <c r="F43" i="1"/>
  <c r="H43" i="1"/>
  <c r="J43" i="1" s="1"/>
  <c r="F44" i="1"/>
  <c r="H44" i="1"/>
  <c r="F45" i="1"/>
  <c r="H45" i="1"/>
  <c r="J45" i="1" s="1"/>
  <c r="F46" i="1"/>
  <c r="G46" i="1" s="1"/>
  <c r="H46" i="1"/>
  <c r="I46" i="1" s="1"/>
  <c r="F47" i="1"/>
  <c r="H47" i="1"/>
  <c r="J47" i="1" s="1"/>
  <c r="F48" i="1"/>
  <c r="H48" i="1"/>
  <c r="I48" i="1" s="1"/>
  <c r="F49" i="1"/>
  <c r="H49" i="1"/>
  <c r="F50" i="1"/>
  <c r="H50" i="1"/>
  <c r="J50" i="1" s="1"/>
  <c r="F51" i="1"/>
  <c r="H51" i="1"/>
  <c r="J51" i="1" s="1"/>
  <c r="F52" i="1"/>
  <c r="H52" i="1"/>
  <c r="F53" i="1"/>
  <c r="H53" i="1"/>
  <c r="I53" i="1" s="1"/>
  <c r="F54" i="1"/>
  <c r="H54" i="1"/>
  <c r="I54" i="1" s="1"/>
  <c r="F55" i="1"/>
  <c r="G55" i="1" s="1"/>
  <c r="H55" i="1"/>
  <c r="J55" i="1" s="1"/>
  <c r="F56" i="1"/>
  <c r="H56" i="1"/>
  <c r="I56" i="1" s="1"/>
  <c r="F57" i="1"/>
  <c r="H57" i="1"/>
  <c r="J57" i="1" s="1"/>
  <c r="F58" i="1"/>
  <c r="H58" i="1"/>
  <c r="I58" i="1" s="1"/>
  <c r="F59" i="1"/>
  <c r="G59" i="1" s="1"/>
  <c r="H59" i="1"/>
  <c r="I59" i="1" s="1"/>
  <c r="F60" i="1"/>
  <c r="H60" i="1"/>
  <c r="I60" i="1" s="1"/>
  <c r="F61" i="1"/>
  <c r="H61" i="1"/>
  <c r="I61" i="1" s="1"/>
  <c r="F62" i="1"/>
  <c r="G62" i="1" s="1"/>
  <c r="H62" i="1"/>
  <c r="F63" i="1"/>
  <c r="H63" i="1"/>
  <c r="F64" i="1"/>
  <c r="H64" i="1"/>
  <c r="I64" i="1" s="1"/>
  <c r="F65" i="1"/>
  <c r="H65" i="1"/>
  <c r="J65" i="1" s="1"/>
  <c r="F66" i="1"/>
  <c r="H66" i="1"/>
  <c r="F67" i="1"/>
  <c r="H67" i="1"/>
  <c r="I67" i="1" s="1"/>
  <c r="F68" i="1"/>
  <c r="H68" i="1"/>
  <c r="I68" i="1" s="1"/>
  <c r="F69" i="1"/>
  <c r="H69" i="1"/>
  <c r="I69" i="1" s="1"/>
  <c r="F70" i="1"/>
  <c r="G70" i="1" s="1"/>
  <c r="H70" i="1"/>
  <c r="I70" i="1" s="1"/>
  <c r="F71" i="1"/>
  <c r="G71" i="1" s="1"/>
  <c r="H71" i="1"/>
  <c r="J71" i="1" s="1"/>
  <c r="F72" i="1"/>
  <c r="F73" i="1"/>
  <c r="J73" i="1"/>
  <c r="F74" i="1"/>
  <c r="F75" i="1"/>
  <c r="H75" i="1"/>
  <c r="I75" i="1" s="1"/>
  <c r="F76" i="1"/>
  <c r="H76" i="1"/>
  <c r="F77" i="1"/>
  <c r="H77" i="1"/>
  <c r="J77" i="1" s="1"/>
  <c r="F78" i="1"/>
  <c r="H78" i="1"/>
  <c r="F79" i="1"/>
  <c r="H79" i="1"/>
  <c r="J79" i="1" s="1"/>
  <c r="F80" i="1"/>
  <c r="H80" i="1"/>
  <c r="F81" i="1"/>
  <c r="H81" i="1"/>
  <c r="J81" i="1" s="1"/>
  <c r="F82" i="1"/>
  <c r="H82" i="1"/>
  <c r="I82" i="1" s="1"/>
  <c r="J82" i="1"/>
  <c r="F83" i="1"/>
  <c r="H83" i="1"/>
  <c r="I83" i="1" s="1"/>
  <c r="F84" i="1"/>
  <c r="H84" i="1"/>
  <c r="I84" i="1" s="1"/>
  <c r="F85" i="1"/>
  <c r="H85" i="1"/>
  <c r="I85" i="1" s="1"/>
  <c r="F86" i="1"/>
  <c r="H86" i="1"/>
  <c r="I86" i="1" s="1"/>
  <c r="F87" i="1"/>
  <c r="G87" i="1" s="1"/>
  <c r="H87" i="1"/>
  <c r="J87" i="1" s="1"/>
  <c r="F88" i="1"/>
  <c r="G88" i="1" s="1"/>
  <c r="H88" i="1"/>
  <c r="F89" i="1"/>
  <c r="H89" i="1"/>
  <c r="F90" i="1"/>
  <c r="H90" i="1"/>
  <c r="I90" i="1" s="1"/>
  <c r="F91" i="1"/>
  <c r="H91" i="1"/>
  <c r="F92" i="1"/>
  <c r="G93" i="1" s="1"/>
  <c r="H92" i="1"/>
  <c r="I92" i="1" s="1"/>
  <c r="F93" i="1"/>
  <c r="H93" i="1"/>
  <c r="J93" i="1" s="1"/>
  <c r="F94" i="1"/>
  <c r="H94" i="1"/>
  <c r="I94" i="1" s="1"/>
  <c r="F95" i="1"/>
  <c r="H95" i="1"/>
  <c r="F96" i="1"/>
  <c r="H96" i="1"/>
  <c r="F97" i="1"/>
  <c r="H97" i="1"/>
  <c r="J97" i="1" s="1"/>
  <c r="F98" i="1"/>
  <c r="H98" i="1"/>
  <c r="I98" i="1" s="1"/>
  <c r="F99" i="1"/>
  <c r="G99" i="1"/>
  <c r="H99" i="1"/>
  <c r="I99" i="1" s="1"/>
  <c r="F100" i="1"/>
  <c r="G100" i="1" s="1"/>
  <c r="H100" i="1"/>
  <c r="I100" i="1" s="1"/>
  <c r="F101" i="1"/>
  <c r="G101" i="1" s="1"/>
  <c r="H101" i="1"/>
  <c r="I101" i="1" s="1"/>
  <c r="F102" i="1"/>
  <c r="G102" i="1" s="1"/>
  <c r="H102" i="1"/>
  <c r="I102" i="1" s="1"/>
  <c r="F103" i="1"/>
  <c r="H103" i="1"/>
  <c r="J103" i="1" s="1"/>
  <c r="F104" i="1"/>
  <c r="H104" i="1"/>
  <c r="F105" i="1"/>
  <c r="H105" i="1"/>
  <c r="J105" i="1" s="1"/>
  <c r="F106" i="1"/>
  <c r="H106" i="1"/>
  <c r="J106" i="1" s="1"/>
  <c r="F107" i="1"/>
  <c r="H107" i="1"/>
  <c r="I107" i="1" s="1"/>
  <c r="F108" i="1"/>
  <c r="H108" i="1"/>
  <c r="I108" i="1" s="1"/>
  <c r="F109" i="1"/>
  <c r="H109" i="1"/>
  <c r="I109" i="1" s="1"/>
  <c r="F110" i="1"/>
  <c r="H110" i="1"/>
  <c r="I110" i="1" s="1"/>
  <c r="F111" i="1"/>
  <c r="G111" i="1" s="1"/>
  <c r="H111" i="1"/>
  <c r="J111" i="1" s="1"/>
  <c r="F112" i="1"/>
  <c r="G112" i="1" s="1"/>
  <c r="H112" i="1"/>
  <c r="F113" i="1"/>
  <c r="G113" i="1" s="1"/>
  <c r="H113" i="1"/>
  <c r="J113" i="1" s="1"/>
  <c r="F114" i="1"/>
  <c r="H114" i="1"/>
  <c r="J114" i="1" s="1"/>
  <c r="F115" i="1"/>
  <c r="H115" i="1"/>
  <c r="I115" i="1" s="1"/>
  <c r="F116" i="1"/>
  <c r="H116" i="1"/>
  <c r="I116" i="1" s="1"/>
  <c r="F117" i="1"/>
  <c r="H117" i="1"/>
  <c r="I117" i="1" s="1"/>
  <c r="F118" i="1"/>
  <c r="H118" i="1"/>
  <c r="I118" i="1" s="1"/>
  <c r="F119" i="1"/>
  <c r="H119" i="1"/>
  <c r="J119" i="1" s="1"/>
  <c r="F120" i="1"/>
  <c r="H120" i="1"/>
  <c r="F121" i="1"/>
  <c r="H121" i="1"/>
  <c r="J121" i="1" s="1"/>
  <c r="F122" i="1"/>
  <c r="H122" i="1"/>
  <c r="J122" i="1" s="1"/>
  <c r="F123" i="1"/>
  <c r="G123" i="1" s="1"/>
  <c r="H123" i="1"/>
  <c r="I123" i="1" s="1"/>
  <c r="F124" i="1"/>
  <c r="G124" i="1" s="1"/>
  <c r="H124" i="1"/>
  <c r="I124" i="1" s="1"/>
  <c r="F125" i="1"/>
  <c r="G125" i="1" s="1"/>
  <c r="H125" i="1"/>
  <c r="I125" i="1" s="1"/>
  <c r="F126" i="1"/>
  <c r="H126" i="1"/>
  <c r="I126" i="1" s="1"/>
  <c r="F127" i="1"/>
  <c r="H127" i="1"/>
  <c r="J127" i="1" s="1"/>
  <c r="F128" i="1"/>
  <c r="H128" i="1"/>
  <c r="F129" i="1"/>
  <c r="H129" i="1"/>
  <c r="J129" i="1" s="1"/>
  <c r="F130" i="1"/>
  <c r="H130" i="1"/>
  <c r="J130" i="1" s="1"/>
  <c r="F131" i="1"/>
  <c r="H131" i="1"/>
  <c r="I131" i="1" s="1"/>
  <c r="F132" i="1"/>
  <c r="H132" i="1"/>
  <c r="I132" i="1" s="1"/>
  <c r="F133" i="1"/>
  <c r="G133" i="1" s="1"/>
  <c r="H133" i="1"/>
  <c r="I133" i="1" s="1"/>
  <c r="F134" i="1"/>
  <c r="H134" i="1"/>
  <c r="I134" i="1" s="1"/>
  <c r="F135" i="1"/>
  <c r="H135" i="1"/>
  <c r="J135" i="1" s="1"/>
  <c r="F136" i="1"/>
  <c r="H136" i="1"/>
  <c r="F137" i="1"/>
  <c r="G137" i="1" s="1"/>
  <c r="H137" i="1"/>
  <c r="J137" i="1" s="1"/>
  <c r="F138" i="1"/>
  <c r="G138" i="1" s="1"/>
  <c r="H138" i="1"/>
  <c r="J138" i="1" s="1"/>
  <c r="F139" i="1"/>
  <c r="H139" i="1"/>
  <c r="I139" i="1" s="1"/>
  <c r="F140" i="1"/>
  <c r="H140" i="1"/>
  <c r="I140" i="1" s="1"/>
  <c r="F141" i="1"/>
  <c r="G141" i="1" s="1"/>
  <c r="H141" i="1"/>
  <c r="I141" i="1" s="1"/>
  <c r="F142" i="1"/>
  <c r="G142" i="1" s="1"/>
  <c r="H142" i="1"/>
  <c r="I142" i="1" s="1"/>
  <c r="F143" i="1"/>
  <c r="G143" i="1" s="1"/>
  <c r="H143" i="1"/>
  <c r="J143" i="1" s="1"/>
  <c r="F144" i="1"/>
  <c r="H144" i="1"/>
  <c r="F145" i="1"/>
  <c r="H145" i="1"/>
  <c r="J145" i="1" s="1"/>
  <c r="F146" i="1"/>
  <c r="H146" i="1"/>
  <c r="J146" i="1" s="1"/>
  <c r="F147" i="1"/>
  <c r="H147" i="1"/>
  <c r="I147" i="1" s="1"/>
  <c r="F148" i="1"/>
  <c r="H148" i="1"/>
  <c r="I148" i="1" s="1"/>
  <c r="F149" i="1"/>
  <c r="H149" i="1"/>
  <c r="F150" i="1"/>
  <c r="H150" i="1"/>
  <c r="I150" i="1" s="1"/>
  <c r="F151" i="1"/>
  <c r="H151" i="1"/>
  <c r="J151" i="1" s="1"/>
  <c r="F152" i="1"/>
  <c r="H152" i="1"/>
  <c r="F153" i="1"/>
  <c r="H153" i="1"/>
  <c r="J153" i="1" s="1"/>
  <c r="F154" i="1"/>
  <c r="H154" i="1"/>
  <c r="J154" i="1" s="1"/>
  <c r="F155" i="1"/>
  <c r="H155" i="1"/>
  <c r="F156" i="1"/>
  <c r="H156" i="1"/>
  <c r="I156" i="1" s="1"/>
  <c r="F157" i="1"/>
  <c r="H157" i="1"/>
  <c r="I157" i="1" s="1"/>
  <c r="F158" i="1"/>
  <c r="H158" i="1"/>
  <c r="I158" i="1" s="1"/>
  <c r="F159" i="1"/>
  <c r="H159" i="1"/>
  <c r="J159" i="1" s="1"/>
  <c r="F160" i="1"/>
  <c r="H160" i="1"/>
  <c r="F161" i="1"/>
  <c r="H161" i="1"/>
  <c r="J161" i="1" s="1"/>
  <c r="F162" i="1"/>
  <c r="H162" i="1"/>
  <c r="I162" i="1" s="1"/>
  <c r="F163" i="1"/>
  <c r="H163" i="1"/>
  <c r="I163" i="1" s="1"/>
  <c r="F164" i="1"/>
  <c r="H164" i="1"/>
  <c r="I164" i="1" s="1"/>
  <c r="F165" i="1"/>
  <c r="H165" i="1"/>
  <c r="J165" i="1" s="1"/>
  <c r="F166" i="1"/>
  <c r="H166" i="1"/>
  <c r="I166" i="1" s="1"/>
  <c r="F167" i="1"/>
  <c r="H167" i="1"/>
  <c r="J167" i="1" s="1"/>
  <c r="F168" i="1"/>
  <c r="H168" i="1"/>
  <c r="I168" i="1" s="1"/>
  <c r="F169" i="1"/>
  <c r="H169" i="1"/>
  <c r="F170" i="1"/>
  <c r="H170" i="1"/>
  <c r="J170" i="1" s="1"/>
  <c r="F171" i="1"/>
  <c r="H171" i="1"/>
  <c r="I171" i="1" s="1"/>
  <c r="F172" i="1"/>
  <c r="H172" i="1"/>
  <c r="I172" i="1" s="1"/>
  <c r="F173" i="1"/>
  <c r="H173" i="1"/>
  <c r="I173" i="1" s="1"/>
  <c r="F174" i="1"/>
  <c r="H174" i="1"/>
  <c r="I174" i="1" s="1"/>
  <c r="F175" i="1"/>
  <c r="H175" i="1"/>
  <c r="J175" i="1" s="1"/>
  <c r="F176" i="1"/>
  <c r="H176" i="1"/>
  <c r="I176" i="1" s="1"/>
  <c r="F177" i="1"/>
  <c r="H177" i="1"/>
  <c r="J177" i="1" s="1"/>
  <c r="F178" i="1"/>
  <c r="H178" i="1"/>
  <c r="F179" i="1"/>
  <c r="H179" i="1"/>
  <c r="I179" i="1" s="1"/>
  <c r="F180" i="1"/>
  <c r="H180" i="1"/>
  <c r="I180" i="1" s="1"/>
  <c r="F181" i="1"/>
  <c r="H181" i="1"/>
  <c r="J181" i="1" s="1"/>
  <c r="F182" i="1"/>
  <c r="H182" i="1"/>
  <c r="I182" i="1" s="1"/>
  <c r="F183" i="1"/>
  <c r="H183" i="1"/>
  <c r="J183" i="1" s="1"/>
  <c r="F184" i="1"/>
  <c r="H184" i="1"/>
  <c r="I184" i="1" s="1"/>
  <c r="F185" i="1"/>
  <c r="H185" i="1"/>
  <c r="J185" i="1" s="1"/>
  <c r="F186" i="1"/>
  <c r="H186" i="1"/>
  <c r="J186" i="1" s="1"/>
  <c r="F187" i="1"/>
  <c r="H187" i="1"/>
  <c r="I187" i="1" s="1"/>
  <c r="F188" i="1"/>
  <c r="H188" i="1"/>
  <c r="I188" i="1" s="1"/>
  <c r="F189" i="1"/>
  <c r="H189" i="1"/>
  <c r="I189" i="1" s="1"/>
  <c r="F190" i="1"/>
  <c r="H190" i="1"/>
  <c r="I190" i="1" s="1"/>
  <c r="F191" i="1"/>
  <c r="H191" i="1"/>
  <c r="J191" i="1" s="1"/>
  <c r="F192" i="1"/>
  <c r="H192" i="1"/>
  <c r="F193" i="1"/>
  <c r="H193" i="1"/>
  <c r="J193" i="1" s="1"/>
  <c r="F194" i="1"/>
  <c r="H194" i="1"/>
  <c r="I194" i="1" s="1"/>
  <c r="F195" i="1"/>
  <c r="H195" i="1"/>
  <c r="I195" i="1" s="1"/>
  <c r="F196" i="1"/>
  <c r="H196" i="1"/>
  <c r="I196" i="1" s="1"/>
  <c r="F197" i="1"/>
  <c r="H197" i="1"/>
  <c r="F198" i="1"/>
  <c r="G198" i="1" s="1"/>
  <c r="H198" i="1"/>
  <c r="I198" i="1" s="1"/>
  <c r="F199" i="1"/>
  <c r="H199" i="1"/>
  <c r="J199" i="1" s="1"/>
  <c r="F200" i="1"/>
  <c r="H200" i="1"/>
  <c r="F201" i="1"/>
  <c r="H201" i="1"/>
  <c r="J201" i="1" s="1"/>
  <c r="F202" i="1"/>
  <c r="H202" i="1"/>
  <c r="J202" i="1" s="1"/>
  <c r="F203" i="1"/>
  <c r="H203" i="1"/>
  <c r="I203" i="1" s="1"/>
  <c r="F204" i="1"/>
  <c r="H204" i="1"/>
  <c r="I204" i="1" s="1"/>
  <c r="F205" i="1"/>
  <c r="H205" i="1"/>
  <c r="I205" i="1" s="1"/>
  <c r="F206" i="1"/>
  <c r="H206" i="1"/>
  <c r="I206" i="1" s="1"/>
  <c r="F207" i="1"/>
  <c r="H207" i="1"/>
  <c r="J207" i="1" s="1"/>
  <c r="F208" i="1"/>
  <c r="H208" i="1"/>
  <c r="I208" i="1" s="1"/>
  <c r="F209" i="1"/>
  <c r="H209" i="1"/>
  <c r="J209" i="1" s="1"/>
  <c r="F210" i="1"/>
  <c r="H210" i="1"/>
  <c r="I210" i="1" s="1"/>
  <c r="F211" i="1"/>
  <c r="H211" i="1"/>
  <c r="I211" i="1" s="1"/>
  <c r="F212" i="1"/>
  <c r="H212" i="1"/>
  <c r="I212" i="1" s="1"/>
  <c r="F213" i="1"/>
  <c r="H213" i="1"/>
  <c r="J213" i="1" s="1"/>
  <c r="F214" i="1"/>
  <c r="H214" i="1"/>
  <c r="I214" i="1" s="1"/>
  <c r="F215" i="1"/>
  <c r="H215" i="1"/>
  <c r="J215" i="1" s="1"/>
  <c r="F216" i="1"/>
  <c r="H216" i="1"/>
  <c r="I216" i="1" s="1"/>
  <c r="F217" i="1"/>
  <c r="H217" i="1"/>
  <c r="J217" i="1" s="1"/>
  <c r="F218" i="1"/>
  <c r="H218" i="1"/>
  <c r="J218" i="1" s="1"/>
  <c r="F219" i="1"/>
  <c r="H219" i="1"/>
  <c r="I219" i="1" s="1"/>
  <c r="F220" i="1"/>
  <c r="H220" i="1"/>
  <c r="I220" i="1" s="1"/>
  <c r="F221" i="1"/>
  <c r="H221" i="1"/>
  <c r="I221" i="1" s="1"/>
  <c r="F222" i="1"/>
  <c r="H222" i="1"/>
  <c r="I222" i="1" s="1"/>
  <c r="F223" i="1"/>
  <c r="H223" i="1"/>
  <c r="J223" i="1" s="1"/>
  <c r="F224" i="1"/>
  <c r="H224" i="1"/>
  <c r="F225" i="1"/>
  <c r="G225" i="1" s="1"/>
  <c r="H225" i="1"/>
  <c r="J225" i="1" s="1"/>
  <c r="F226" i="1"/>
  <c r="H226" i="1"/>
  <c r="I226" i="1" s="1"/>
  <c r="F227" i="1"/>
  <c r="H227" i="1"/>
  <c r="I227" i="1" s="1"/>
  <c r="F228" i="1"/>
  <c r="H228" i="1"/>
  <c r="I228" i="1" s="1"/>
  <c r="F229" i="1"/>
  <c r="H229" i="1"/>
  <c r="J229" i="1" s="1"/>
  <c r="F230" i="1"/>
  <c r="H230" i="1"/>
  <c r="I230" i="1" s="1"/>
  <c r="J230" i="1"/>
  <c r="F231" i="1"/>
  <c r="G231" i="1" s="1"/>
  <c r="H231" i="1"/>
  <c r="J231" i="1" s="1"/>
  <c r="F232" i="1"/>
  <c r="G232" i="1" s="1"/>
  <c r="H232" i="1"/>
  <c r="I232" i="1" s="1"/>
  <c r="F233" i="1"/>
  <c r="H233" i="1"/>
  <c r="J233" i="1" s="1"/>
  <c r="F234" i="1"/>
  <c r="H234" i="1"/>
  <c r="J234" i="1" s="1"/>
  <c r="F235" i="1"/>
  <c r="H235" i="1"/>
  <c r="J235" i="1" s="1"/>
  <c r="F236" i="1"/>
  <c r="H236" i="1"/>
  <c r="I236" i="1" s="1"/>
  <c r="F237" i="1"/>
  <c r="H237" i="1"/>
  <c r="I237" i="1" s="1"/>
  <c r="F238" i="1"/>
  <c r="G238" i="1" s="1"/>
  <c r="H238" i="1"/>
  <c r="I238" i="1" s="1"/>
  <c r="F239" i="1"/>
  <c r="G239" i="1" s="1"/>
  <c r="H239" i="1"/>
  <c r="I239" i="1" s="1"/>
  <c r="F240" i="1"/>
  <c r="G240" i="1" s="1"/>
  <c r="H240" i="1"/>
  <c r="F241" i="1"/>
  <c r="H241" i="1"/>
  <c r="J241" i="1" s="1"/>
  <c r="F242" i="1"/>
  <c r="H242" i="1"/>
  <c r="I242" i="1" s="1"/>
  <c r="F243" i="1"/>
  <c r="H243" i="1"/>
  <c r="J243" i="1" s="1"/>
  <c r="F244" i="1"/>
  <c r="H244" i="1"/>
  <c r="F245" i="1"/>
  <c r="H245" i="1"/>
  <c r="J245" i="1" s="1"/>
  <c r="F246" i="1"/>
  <c r="H246" i="1"/>
  <c r="I246" i="1" s="1"/>
  <c r="F247" i="1"/>
  <c r="G247" i="1" s="1"/>
  <c r="H247" i="1"/>
  <c r="I247" i="1" s="1"/>
  <c r="F248" i="1"/>
  <c r="G248" i="1" s="1"/>
  <c r="H248" i="1"/>
  <c r="J248" i="1" s="1"/>
  <c r="F249" i="1"/>
  <c r="H249" i="1"/>
  <c r="F250" i="1"/>
  <c r="H250" i="1"/>
  <c r="J250" i="1" s="1"/>
  <c r="F251" i="1"/>
  <c r="H251" i="1"/>
  <c r="I251" i="1" s="1"/>
  <c r="F252" i="1"/>
  <c r="G252" i="1" s="1"/>
  <c r="H252" i="1"/>
  <c r="J252" i="1" s="1"/>
  <c r="F253" i="1"/>
  <c r="G253" i="1" s="1"/>
  <c r="H253" i="1"/>
  <c r="F254" i="1"/>
  <c r="H254" i="1"/>
  <c r="I254" i="1" s="1"/>
  <c r="F255" i="1"/>
  <c r="H255" i="1"/>
  <c r="I255" i="1" s="1"/>
  <c r="F256" i="1"/>
  <c r="H256" i="1"/>
  <c r="J256" i="1" s="1"/>
  <c r="F257" i="1"/>
  <c r="H257" i="1"/>
  <c r="F258" i="1"/>
  <c r="H258" i="1"/>
  <c r="F259" i="1"/>
  <c r="H259" i="1"/>
  <c r="F260" i="1"/>
  <c r="H260" i="1"/>
  <c r="J260" i="1" s="1"/>
  <c r="F261" i="1"/>
  <c r="G261" i="1" s="1"/>
  <c r="H261" i="1"/>
  <c r="I261" i="1" s="1"/>
  <c r="F262" i="1"/>
  <c r="H262" i="1"/>
  <c r="I262" i="1" s="1"/>
  <c r="F263" i="1"/>
  <c r="H263" i="1"/>
  <c r="J263" i="1" s="1"/>
  <c r="F264" i="1"/>
  <c r="H264" i="1"/>
  <c r="J264" i="1" s="1"/>
  <c r="F265" i="1"/>
  <c r="H265" i="1"/>
  <c r="F266" i="1"/>
  <c r="H266" i="1"/>
  <c r="I266" i="1" s="1"/>
  <c r="F267" i="1"/>
  <c r="H267" i="1"/>
  <c r="J267" i="1" s="1"/>
  <c r="F268" i="1"/>
  <c r="H268" i="1"/>
  <c r="J268" i="1" s="1"/>
  <c r="F269" i="1"/>
  <c r="H269" i="1"/>
  <c r="I269" i="1" s="1"/>
  <c r="F270" i="1"/>
  <c r="H270" i="1"/>
  <c r="I270" i="1" s="1"/>
  <c r="F271" i="1"/>
  <c r="H271" i="1"/>
  <c r="J271" i="1" s="1"/>
  <c r="F272" i="1"/>
  <c r="G272" i="1" s="1"/>
  <c r="H272" i="1"/>
  <c r="J272" i="1" s="1"/>
  <c r="F273" i="1"/>
  <c r="G273" i="1" s="1"/>
  <c r="H273" i="1"/>
  <c r="F274" i="1"/>
  <c r="H274" i="1"/>
  <c r="I274" i="1" s="1"/>
  <c r="F275" i="1"/>
  <c r="H275" i="1"/>
  <c r="J275" i="1" s="1"/>
  <c r="F276" i="1"/>
  <c r="H276" i="1"/>
  <c r="J276" i="1" s="1"/>
  <c r="F277" i="1"/>
  <c r="G277" i="1" s="1"/>
  <c r="H277" i="1"/>
  <c r="I277" i="1" s="1"/>
  <c r="F278" i="1"/>
  <c r="H278" i="1"/>
  <c r="I278" i="1" s="1"/>
  <c r="F279" i="1"/>
  <c r="H279" i="1"/>
  <c r="F280" i="1"/>
  <c r="H280" i="1"/>
  <c r="J280" i="1" s="1"/>
  <c r="F281" i="1"/>
  <c r="G281" i="1" s="1"/>
  <c r="H281" i="1"/>
  <c r="F282" i="1"/>
  <c r="G282" i="1" s="1"/>
  <c r="H282" i="1"/>
  <c r="I282" i="1" s="1"/>
  <c r="F283" i="1"/>
  <c r="H283" i="1"/>
  <c r="I283" i="1" s="1"/>
  <c r="F284" i="1"/>
  <c r="H284" i="1"/>
  <c r="J284" i="1" s="1"/>
  <c r="F285" i="1"/>
  <c r="H285" i="1"/>
  <c r="F286" i="1"/>
  <c r="H286" i="1"/>
  <c r="F287" i="1"/>
  <c r="H287" i="1"/>
  <c r="J287" i="1" s="1"/>
  <c r="F288" i="1"/>
  <c r="J288" i="1"/>
  <c r="F289" i="1"/>
  <c r="F290" i="1"/>
  <c r="H290" i="1"/>
  <c r="I290" i="1" s="1"/>
  <c r="F291" i="1"/>
  <c r="H291" i="1"/>
  <c r="J291" i="1" s="1"/>
  <c r="I291" i="1"/>
  <c r="F292" i="1"/>
  <c r="H292" i="1"/>
  <c r="J292" i="1" s="1"/>
  <c r="F293" i="1"/>
  <c r="H293" i="1"/>
  <c r="I293" i="1" s="1"/>
  <c r="F294" i="1"/>
  <c r="H294" i="1"/>
  <c r="I294" i="1" s="1"/>
  <c r="F295" i="1"/>
  <c r="H295" i="1"/>
  <c r="I295" i="1" s="1"/>
  <c r="F296" i="1"/>
  <c r="H296" i="1"/>
  <c r="J296" i="1" s="1"/>
  <c r="F297" i="1"/>
  <c r="H297" i="1"/>
  <c r="F298" i="1"/>
  <c r="H298" i="1"/>
  <c r="F299" i="1"/>
  <c r="H299" i="1"/>
  <c r="I299" i="1" s="1"/>
  <c r="F300" i="1"/>
  <c r="H300" i="1"/>
  <c r="F301" i="1"/>
  <c r="H301" i="1"/>
  <c r="I301" i="1" s="1"/>
  <c r="F302" i="1"/>
  <c r="H302" i="1"/>
  <c r="I302" i="1" s="1"/>
  <c r="F303" i="1"/>
  <c r="H303" i="1"/>
  <c r="I303" i="1" s="1"/>
  <c r="F304" i="1"/>
  <c r="H304" i="1"/>
  <c r="J304" i="1" s="1"/>
  <c r="F305" i="1"/>
  <c r="G305" i="1" s="1"/>
  <c r="H305" i="1"/>
  <c r="F306" i="1"/>
  <c r="G306" i="1" s="1"/>
  <c r="H306" i="1"/>
  <c r="I306" i="1" s="1"/>
  <c r="F307" i="1"/>
  <c r="G307" i="1" s="1"/>
  <c r="H307" i="1"/>
  <c r="J307" i="1" s="1"/>
  <c r="F308" i="1"/>
  <c r="H308" i="1"/>
  <c r="I308" i="1" s="1"/>
  <c r="F309" i="1"/>
  <c r="H309" i="1"/>
  <c r="I309" i="1" s="1"/>
  <c r="F310" i="1"/>
  <c r="H310" i="1"/>
  <c r="I310" i="1" s="1"/>
  <c r="F311" i="1"/>
  <c r="H311" i="1"/>
  <c r="I311" i="1" s="1"/>
  <c r="F312" i="1"/>
  <c r="H312" i="1"/>
  <c r="J312" i="1" s="1"/>
  <c r="F313" i="1"/>
  <c r="H313" i="1"/>
  <c r="J313" i="1" s="1"/>
  <c r="F314" i="1"/>
  <c r="H314" i="1"/>
  <c r="F315" i="1"/>
  <c r="H315" i="1"/>
  <c r="I315" i="1" s="1"/>
  <c r="F316" i="1"/>
  <c r="H316" i="1"/>
  <c r="F317" i="1"/>
  <c r="H317" i="1"/>
  <c r="F318" i="1"/>
  <c r="H318" i="1"/>
  <c r="I318" i="1" s="1"/>
  <c r="F319" i="1"/>
  <c r="H319" i="1"/>
  <c r="J319" i="1" s="1"/>
  <c r="F320" i="1"/>
  <c r="H320" i="1"/>
  <c r="J320" i="1" s="1"/>
  <c r="F321" i="1"/>
  <c r="H321" i="1"/>
  <c r="J321" i="1" s="1"/>
  <c r="F322" i="1"/>
  <c r="H322" i="1"/>
  <c r="I322" i="1" s="1"/>
  <c r="F323" i="1"/>
  <c r="H323" i="1"/>
  <c r="F324" i="1"/>
  <c r="H324" i="1"/>
  <c r="I324" i="1" s="1"/>
  <c r="F325" i="1"/>
  <c r="H325" i="1"/>
  <c r="I325" i="1" s="1"/>
  <c r="F326" i="1"/>
  <c r="H326" i="1"/>
  <c r="I326" i="1" s="1"/>
  <c r="F327" i="1"/>
  <c r="H327" i="1"/>
  <c r="J327" i="1" s="1"/>
  <c r="F328" i="1"/>
  <c r="G328" i="1" s="1"/>
  <c r="H328" i="1"/>
  <c r="J328" i="1" s="1"/>
  <c r="F329" i="1"/>
  <c r="F330" i="1"/>
  <c r="F331" i="1"/>
  <c r="F332" i="1"/>
  <c r="F333" i="1"/>
  <c r="H333" i="1"/>
  <c r="I333" i="1" s="1"/>
  <c r="F334" i="1"/>
  <c r="H334" i="1"/>
  <c r="F335" i="1"/>
  <c r="H335" i="1"/>
  <c r="J335" i="1" s="1"/>
  <c r="F336" i="1"/>
  <c r="H336" i="1"/>
  <c r="J336" i="1" s="1"/>
  <c r="F337" i="1"/>
  <c r="H337" i="1"/>
  <c r="J337" i="1" s="1"/>
  <c r="F338" i="1"/>
  <c r="H338" i="1"/>
  <c r="J338" i="1" s="1"/>
  <c r="F339" i="1"/>
  <c r="G339" i="1" s="1"/>
  <c r="H339" i="1"/>
  <c r="I339" i="1" s="1"/>
  <c r="F340" i="1"/>
  <c r="G340" i="1" s="1"/>
  <c r="H340" i="1"/>
  <c r="I340" i="1" s="1"/>
  <c r="F341" i="1"/>
  <c r="G341" i="1" s="1"/>
  <c r="H341" i="1"/>
  <c r="I341" i="1" s="1"/>
  <c r="F342" i="1"/>
  <c r="G342" i="1" s="1"/>
  <c r="H342" i="1"/>
  <c r="J342" i="1" s="1"/>
  <c r="F343" i="1"/>
  <c r="G343" i="1" s="1"/>
  <c r="H343" i="1"/>
  <c r="F344" i="1"/>
  <c r="H344" i="1"/>
  <c r="I344" i="1" s="1"/>
  <c r="F345" i="1"/>
  <c r="H345" i="1"/>
  <c r="J345" i="1" s="1"/>
  <c r="F346" i="1"/>
  <c r="H346" i="1"/>
  <c r="J346" i="1" s="1"/>
  <c r="F347" i="1"/>
  <c r="H347" i="1"/>
  <c r="I347" i="1" s="1"/>
  <c r="F348" i="1"/>
  <c r="H348" i="1"/>
  <c r="J348" i="1" s="1"/>
  <c r="F349" i="1"/>
  <c r="H349" i="1"/>
  <c r="I349" i="1" s="1"/>
  <c r="F350" i="1"/>
  <c r="H350" i="1"/>
  <c r="J350" i="1" s="1"/>
  <c r="F351" i="1"/>
  <c r="H351" i="1"/>
  <c r="F352" i="1"/>
  <c r="G352" i="1" s="1"/>
  <c r="H352" i="1"/>
  <c r="F353" i="1"/>
  <c r="H353" i="1"/>
  <c r="I353" i="1" s="1"/>
  <c r="F354" i="1"/>
  <c r="H354" i="1"/>
  <c r="J354" i="1" s="1"/>
  <c r="F355" i="1"/>
  <c r="H355" i="1"/>
  <c r="I355" i="1" s="1"/>
  <c r="F356" i="1"/>
  <c r="H356" i="1"/>
  <c r="I356" i="1" s="1"/>
  <c r="F357" i="1"/>
  <c r="H357" i="1"/>
  <c r="I357" i="1" s="1"/>
  <c r="F358" i="1"/>
  <c r="H358" i="1"/>
  <c r="J358" i="1" s="1"/>
  <c r="F359" i="1"/>
  <c r="H359" i="1"/>
  <c r="F360" i="1"/>
  <c r="H360" i="1"/>
  <c r="I360" i="1" s="1"/>
  <c r="F361" i="1"/>
  <c r="H361" i="1"/>
  <c r="I361" i="1" s="1"/>
  <c r="F362" i="1"/>
  <c r="H362" i="1"/>
  <c r="J362" i="1" s="1"/>
  <c r="F363" i="1"/>
  <c r="H363" i="1"/>
  <c r="I363" i="1" s="1"/>
  <c r="F364" i="1"/>
  <c r="H364" i="1"/>
  <c r="F365" i="1"/>
  <c r="H365" i="1"/>
  <c r="J365" i="1" s="1"/>
  <c r="F366" i="1"/>
  <c r="H366" i="1"/>
  <c r="F367" i="1"/>
  <c r="H367" i="1"/>
  <c r="F368" i="1"/>
  <c r="H368" i="1"/>
  <c r="I368" i="1" s="1"/>
  <c r="F369" i="1"/>
  <c r="H369" i="1"/>
  <c r="I369" i="1" s="1"/>
  <c r="F370" i="1"/>
  <c r="H370" i="1"/>
  <c r="J370" i="1" s="1"/>
  <c r="F371" i="1"/>
  <c r="H371" i="1"/>
  <c r="I371" i="1" s="1"/>
  <c r="F372" i="1"/>
  <c r="H372" i="1"/>
  <c r="I372" i="1" s="1"/>
  <c r="F373" i="1"/>
  <c r="H373" i="1"/>
  <c r="J373" i="1" s="1"/>
  <c r="F374" i="1"/>
  <c r="H374" i="1"/>
  <c r="J374" i="1" s="1"/>
  <c r="F375" i="1"/>
  <c r="H375" i="1"/>
  <c r="F376" i="1"/>
  <c r="H376" i="1"/>
  <c r="F377" i="1"/>
  <c r="H377" i="1"/>
  <c r="I377" i="1" s="1"/>
  <c r="F378" i="1"/>
  <c r="H378" i="1"/>
  <c r="J378" i="1" s="1"/>
  <c r="F379" i="1"/>
  <c r="H379" i="1"/>
  <c r="I379" i="1" s="1"/>
  <c r="F380" i="1"/>
  <c r="H380" i="1"/>
  <c r="J380" i="1" s="1"/>
  <c r="F381" i="1"/>
  <c r="H381" i="1"/>
  <c r="I381" i="1" s="1"/>
  <c r="J381" i="1"/>
  <c r="F382" i="1"/>
  <c r="H382" i="1"/>
  <c r="J382" i="1" s="1"/>
  <c r="F383" i="1"/>
  <c r="H383" i="1"/>
  <c r="F384" i="1"/>
  <c r="G384" i="1" s="1"/>
  <c r="H384" i="1"/>
  <c r="I384" i="1" s="1"/>
  <c r="F385" i="1"/>
  <c r="H385" i="1"/>
  <c r="F386" i="1"/>
  <c r="H386" i="1"/>
  <c r="J386" i="1" s="1"/>
  <c r="F387" i="1"/>
  <c r="H387" i="1"/>
  <c r="I387" i="1" s="1"/>
  <c r="F388" i="1"/>
  <c r="H388" i="1"/>
  <c r="J388" i="1" s="1"/>
  <c r="F389" i="1"/>
  <c r="H389" i="1"/>
  <c r="I389" i="1" s="1"/>
  <c r="F390" i="1"/>
  <c r="H390" i="1"/>
  <c r="J390" i="1" s="1"/>
  <c r="F391" i="1"/>
  <c r="H391" i="1"/>
  <c r="F392" i="1"/>
  <c r="H392" i="1"/>
  <c r="F393" i="1"/>
  <c r="H393" i="1"/>
  <c r="I393" i="1" s="1"/>
  <c r="F394" i="1"/>
  <c r="H394" i="1"/>
  <c r="J394" i="1" s="1"/>
  <c r="F395" i="1"/>
  <c r="H395" i="1"/>
  <c r="I395" i="1" s="1"/>
  <c r="F396" i="1"/>
  <c r="G396" i="1" s="1"/>
  <c r="H396" i="1"/>
  <c r="J396" i="1" s="1"/>
  <c r="F397" i="1"/>
  <c r="H397" i="1"/>
  <c r="I397" i="1" s="1"/>
  <c r="F398" i="1"/>
  <c r="H398" i="1"/>
  <c r="J398" i="1" s="1"/>
  <c r="F399" i="1"/>
  <c r="G399" i="1" s="1"/>
  <c r="H399" i="1"/>
  <c r="F400" i="1"/>
  <c r="H400" i="1"/>
  <c r="I400" i="1" s="1"/>
  <c r="F401" i="1"/>
  <c r="H401" i="1"/>
  <c r="I401" i="1" s="1"/>
  <c r="F402" i="1"/>
  <c r="H402" i="1"/>
  <c r="J402" i="1" s="1"/>
  <c r="F403" i="1"/>
  <c r="H403" i="1"/>
  <c r="I403" i="1" s="1"/>
  <c r="F404" i="1"/>
  <c r="H404" i="1"/>
  <c r="F405" i="1"/>
  <c r="H405" i="1"/>
  <c r="I405" i="1" s="1"/>
  <c r="F406" i="1"/>
  <c r="H406" i="1"/>
  <c r="F407" i="1"/>
  <c r="H407" i="1"/>
  <c r="F408" i="1"/>
  <c r="H408" i="1"/>
  <c r="I408" i="1" s="1"/>
  <c r="F409" i="1"/>
  <c r="H409" i="1"/>
  <c r="I409" i="1" s="1"/>
  <c r="F410" i="1"/>
  <c r="H410" i="1"/>
  <c r="J410" i="1" s="1"/>
  <c r="F411" i="1"/>
  <c r="H411" i="1"/>
  <c r="I411" i="1" s="1"/>
  <c r="F412" i="1"/>
  <c r="H412" i="1"/>
  <c r="J412" i="1" s="1"/>
  <c r="I412" i="1"/>
  <c r="F413" i="1"/>
  <c r="H413" i="1"/>
  <c r="I413" i="1" s="1"/>
  <c r="F414" i="1"/>
  <c r="H414" i="1"/>
  <c r="J414" i="1" s="1"/>
  <c r="F415" i="1"/>
  <c r="G415" i="1" s="1"/>
  <c r="H415" i="1"/>
  <c r="F416" i="1"/>
  <c r="H416" i="1"/>
  <c r="F417" i="1"/>
  <c r="H417" i="1"/>
  <c r="I417" i="1" s="1"/>
  <c r="F418" i="1"/>
  <c r="H418" i="1"/>
  <c r="J418" i="1" s="1"/>
  <c r="F419" i="1"/>
  <c r="G419" i="1" s="1"/>
  <c r="H419" i="1"/>
  <c r="F5" i="1"/>
  <c r="H5" i="1"/>
  <c r="J5" i="1" s="1"/>
  <c r="F6" i="1"/>
  <c r="H6" i="1"/>
  <c r="J6" i="1" s="1"/>
  <c r="F7" i="1"/>
  <c r="H7" i="1"/>
  <c r="J7" i="1" s="1"/>
  <c r="F8" i="1"/>
  <c r="H8" i="1"/>
  <c r="F9" i="1"/>
  <c r="H9" i="1"/>
  <c r="F10" i="1"/>
  <c r="G10" i="1" s="1"/>
  <c r="H10" i="1"/>
  <c r="I10" i="1" s="1"/>
  <c r="F11" i="1"/>
  <c r="H11" i="1"/>
  <c r="J11" i="1" s="1"/>
  <c r="F12" i="1"/>
  <c r="H12" i="1"/>
  <c r="I12" i="1" s="1"/>
  <c r="F13" i="1"/>
  <c r="G13" i="1" s="1"/>
  <c r="H13" i="1"/>
  <c r="I13" i="1" s="1"/>
  <c r="F14" i="1"/>
  <c r="G14" i="1" s="1"/>
  <c r="H14" i="1"/>
  <c r="J14" i="1" s="1"/>
  <c r="F15" i="1"/>
  <c r="H15" i="1"/>
  <c r="I15" i="1" s="1"/>
  <c r="F16" i="1"/>
  <c r="H16" i="1"/>
  <c r="F17" i="1"/>
  <c r="H17" i="1"/>
  <c r="F18" i="1"/>
  <c r="H18" i="1"/>
  <c r="I18" i="1" s="1"/>
  <c r="F3" i="1"/>
  <c r="H3" i="1"/>
  <c r="J3" i="1" s="1"/>
  <c r="F4" i="1"/>
  <c r="H4" i="1"/>
  <c r="J4" i="1" s="1"/>
  <c r="H2" i="1"/>
  <c r="J2" i="1" s="1"/>
  <c r="F2" i="1"/>
  <c r="G2" i="1" s="1"/>
  <c r="J179" i="1" l="1"/>
  <c r="G69" i="1"/>
  <c r="J344" i="1"/>
  <c r="G408" i="1"/>
  <c r="I312" i="1"/>
  <c r="J409" i="1"/>
  <c r="I41" i="1"/>
  <c r="J369" i="1"/>
  <c r="G318" i="1"/>
  <c r="I14" i="1"/>
  <c r="I307" i="1"/>
  <c r="J251" i="1"/>
  <c r="J56" i="1"/>
  <c r="G4" i="1"/>
  <c r="G16" i="1"/>
  <c r="G11" i="1"/>
  <c r="J18" i="1"/>
  <c r="G418" i="1"/>
  <c r="I337" i="1"/>
  <c r="J254" i="1"/>
  <c r="G244" i="1"/>
  <c r="J59" i="1"/>
  <c r="I45" i="1"/>
  <c r="J397" i="1"/>
  <c r="G284" i="1"/>
  <c r="I264" i="1"/>
  <c r="G257" i="1"/>
  <c r="J219" i="1"/>
  <c r="G76" i="1"/>
  <c r="I51" i="1"/>
  <c r="J413" i="1"/>
  <c r="I365" i="1"/>
  <c r="I327" i="1"/>
  <c r="G325" i="1"/>
  <c r="J274" i="1"/>
  <c r="J255" i="1"/>
  <c r="I43" i="1"/>
  <c r="J40" i="1"/>
  <c r="I410" i="1"/>
  <c r="J353" i="1"/>
  <c r="I296" i="1"/>
  <c r="G278" i="1"/>
  <c r="J53" i="1"/>
  <c r="G3" i="1"/>
  <c r="G12" i="1"/>
  <c r="G387" i="1"/>
  <c r="J356" i="1"/>
  <c r="G314" i="1"/>
  <c r="G298" i="1"/>
  <c r="G348" i="1"/>
  <c r="G337" i="1"/>
  <c r="J13" i="1"/>
  <c r="G391" i="1"/>
  <c r="I388" i="1"/>
  <c r="I321" i="1"/>
  <c r="I304" i="1"/>
  <c r="G293" i="1"/>
  <c r="I267" i="1"/>
  <c r="J48" i="1"/>
  <c r="J246" i="1"/>
  <c r="I243" i="1"/>
  <c r="J226" i="1"/>
  <c r="I215" i="1"/>
  <c r="J196" i="1"/>
  <c r="G106" i="1"/>
  <c r="J67" i="1"/>
  <c r="I418" i="1"/>
  <c r="I390" i="1"/>
  <c r="J372" i="1"/>
  <c r="J341" i="1"/>
  <c r="J299" i="1"/>
  <c r="G274" i="1"/>
  <c r="G84" i="1"/>
  <c r="G45" i="1"/>
  <c r="I37" i="1"/>
  <c r="G227" i="1"/>
  <c r="G216" i="1"/>
  <c r="I245" i="1"/>
  <c r="J242" i="1"/>
  <c r="J239" i="1"/>
  <c r="J198" i="1"/>
  <c r="J187" i="1"/>
  <c r="J180" i="1"/>
  <c r="I154" i="1"/>
  <c r="J115" i="1"/>
  <c r="J69" i="1"/>
  <c r="G380" i="1"/>
  <c r="J315" i="1"/>
  <c r="I3" i="1"/>
  <c r="I378" i="1"/>
  <c r="G368" i="1"/>
  <c r="I350" i="1"/>
  <c r="G347" i="1"/>
  <c r="J340" i="1"/>
  <c r="J308" i="1"/>
  <c r="J261" i="1"/>
  <c r="I161" i="1"/>
  <c r="G132" i="1"/>
  <c r="G57" i="1"/>
  <c r="G17" i="1"/>
  <c r="G6" i="1"/>
  <c r="I7" i="1"/>
  <c r="J405" i="1"/>
  <c r="I402" i="1"/>
  <c r="I396" i="1"/>
  <c r="I386" i="1"/>
  <c r="G383" i="1"/>
  <c r="I373" i="1"/>
  <c r="I370" i="1"/>
  <c r="J357" i="1"/>
  <c r="G323" i="1"/>
  <c r="G286" i="1"/>
  <c r="I271" i="1"/>
  <c r="J259" i="1"/>
  <c r="G254" i="1"/>
  <c r="I235" i="1"/>
  <c r="J203" i="1"/>
  <c r="J163" i="1"/>
  <c r="I138" i="1"/>
  <c r="I106" i="1"/>
  <c r="G97" i="1"/>
  <c r="I93" i="1"/>
  <c r="J90" i="1"/>
  <c r="G81" i="1"/>
  <c r="I77" i="1"/>
  <c r="G68" i="1"/>
  <c r="I65" i="1"/>
  <c r="I50" i="1"/>
  <c r="I35" i="1"/>
  <c r="I6" i="1"/>
  <c r="I382" i="1"/>
  <c r="J360" i="1"/>
  <c r="G344" i="1"/>
  <c r="I336" i="1"/>
  <c r="J322" i="1"/>
  <c r="J310" i="1"/>
  <c r="G289" i="1"/>
  <c r="J278" i="1"/>
  <c r="G276" i="1"/>
  <c r="G262" i="1"/>
  <c r="I250" i="1"/>
  <c r="I231" i="1"/>
  <c r="J210" i="1"/>
  <c r="J166" i="1"/>
  <c r="G83" i="1"/>
  <c r="G75" i="1"/>
  <c r="J58" i="1"/>
  <c r="G52" i="1"/>
  <c r="G25" i="1"/>
  <c r="I275" i="1"/>
  <c r="G246" i="1"/>
  <c r="I202" i="1"/>
  <c r="G196" i="1"/>
  <c r="J171" i="1"/>
  <c r="J168" i="1"/>
  <c r="J107" i="1"/>
  <c r="J98" i="1"/>
  <c r="G60" i="1"/>
  <c r="I57" i="1"/>
  <c r="G35" i="1"/>
  <c r="G77" i="1"/>
  <c r="G15" i="1"/>
  <c r="J15" i="1"/>
  <c r="G413" i="1"/>
  <c r="G405" i="1"/>
  <c r="G372" i="1"/>
  <c r="G361" i="1"/>
  <c r="G308" i="1"/>
  <c r="J306" i="1"/>
  <c r="J290" i="1"/>
  <c r="J277" i="1"/>
  <c r="J269" i="1"/>
  <c r="J266" i="1"/>
  <c r="I263" i="1"/>
  <c r="G258" i="1"/>
  <c r="G89" i="1"/>
  <c r="G85" i="1"/>
  <c r="I146" i="1"/>
  <c r="G121" i="1"/>
  <c r="G92" i="1"/>
  <c r="J75" i="1"/>
  <c r="G36" i="1"/>
  <c r="G397" i="1"/>
  <c r="G379" i="1"/>
  <c r="G349" i="1"/>
  <c r="G317" i="1"/>
  <c r="I11" i="1"/>
  <c r="J10" i="1"/>
  <c r="J417" i="1"/>
  <c r="I414" i="1"/>
  <c r="J393" i="1"/>
  <c r="I380" i="1"/>
  <c r="J377" i="1"/>
  <c r="I348" i="1"/>
  <c r="I345" i="1"/>
  <c r="I342" i="1"/>
  <c r="G333" i="1"/>
  <c r="J326" i="1"/>
  <c r="I320" i="1"/>
  <c r="J302" i="1"/>
  <c r="G294" i="1"/>
  <c r="J282" i="1"/>
  <c r="I183" i="1"/>
  <c r="I177" i="1"/>
  <c r="I170" i="1"/>
  <c r="I103" i="1"/>
  <c r="J17" i="1"/>
  <c r="I17" i="1"/>
  <c r="J9" i="1"/>
  <c r="I9" i="1"/>
  <c r="G5" i="1"/>
  <c r="I416" i="1"/>
  <c r="J416" i="1"/>
  <c r="I394" i="1"/>
  <c r="J368" i="1"/>
  <c r="I354" i="1"/>
  <c r="I338" i="1"/>
  <c r="I314" i="1"/>
  <c r="J314" i="1"/>
  <c r="J311" i="1"/>
  <c r="J300" i="1"/>
  <c r="I300" i="1"/>
  <c r="I240" i="1"/>
  <c r="J240" i="1"/>
  <c r="I155" i="1"/>
  <c r="J155" i="1"/>
  <c r="G233" i="1"/>
  <c r="G235" i="1"/>
  <c r="J89" i="1"/>
  <c r="I89" i="1"/>
  <c r="G285" i="1"/>
  <c r="G236" i="1"/>
  <c r="G237" i="1"/>
  <c r="G205" i="1"/>
  <c r="I91" i="1"/>
  <c r="J91" i="1"/>
  <c r="J49" i="1"/>
  <c r="I49" i="1"/>
  <c r="I34" i="1"/>
  <c r="J34" i="1"/>
  <c r="I178" i="1"/>
  <c r="J178" i="1"/>
  <c r="G8" i="1"/>
  <c r="G18" i="1"/>
  <c r="I5" i="1"/>
  <c r="I404" i="1"/>
  <c r="J404" i="1"/>
  <c r="J401" i="1"/>
  <c r="G382" i="1"/>
  <c r="J361" i="1"/>
  <c r="I4" i="1"/>
  <c r="G404" i="1"/>
  <c r="I398" i="1"/>
  <c r="J384" i="1"/>
  <c r="I376" i="1"/>
  <c r="J376" i="1"/>
  <c r="I364" i="1"/>
  <c r="J364" i="1"/>
  <c r="I358" i="1"/>
  <c r="G334" i="1"/>
  <c r="G330" i="1"/>
  <c r="J324" i="1"/>
  <c r="J293" i="1"/>
  <c r="G288" i="1"/>
  <c r="J262" i="1"/>
  <c r="G7" i="1"/>
  <c r="J197" i="1"/>
  <c r="I197" i="1"/>
  <c r="G194" i="1"/>
  <c r="I149" i="1"/>
  <c r="J149" i="1"/>
  <c r="J63" i="1"/>
  <c r="I63" i="1"/>
  <c r="J16" i="1"/>
  <c r="I16" i="1"/>
  <c r="J8" i="1"/>
  <c r="I8" i="1"/>
  <c r="J12" i="1"/>
  <c r="I385" i="1"/>
  <c r="J385" i="1"/>
  <c r="J316" i="1"/>
  <c r="I316" i="1"/>
  <c r="G375" i="1"/>
  <c r="G356" i="1"/>
  <c r="G412" i="1"/>
  <c r="I392" i="1"/>
  <c r="J392" i="1"/>
  <c r="J389" i="1"/>
  <c r="J366" i="1"/>
  <c r="I366" i="1"/>
  <c r="I352" i="1"/>
  <c r="J352" i="1"/>
  <c r="J349" i="1"/>
  <c r="G324" i="1"/>
  <c r="I298" i="1"/>
  <c r="J298" i="1"/>
  <c r="J295" i="1"/>
  <c r="J283" i="1"/>
  <c r="I200" i="1"/>
  <c r="J200" i="1"/>
  <c r="I66" i="1"/>
  <c r="J66" i="1"/>
  <c r="I29" i="1"/>
  <c r="J29" i="1"/>
  <c r="G362" i="1"/>
  <c r="G363" i="1"/>
  <c r="J406" i="1"/>
  <c r="I406" i="1"/>
  <c r="G364" i="1"/>
  <c r="G389" i="1"/>
  <c r="G388" i="1"/>
  <c r="J408" i="1"/>
  <c r="G392" i="1"/>
  <c r="G377" i="1"/>
  <c r="I323" i="1"/>
  <c r="J323" i="1"/>
  <c r="G321" i="1"/>
  <c r="G322" i="1"/>
  <c r="G309" i="1"/>
  <c r="I286" i="1"/>
  <c r="J286" i="1"/>
  <c r="J169" i="1"/>
  <c r="I169" i="1"/>
  <c r="G271" i="1"/>
  <c r="G249" i="1"/>
  <c r="G207" i="1"/>
  <c r="G9" i="1"/>
  <c r="G407" i="1"/>
  <c r="J400" i="1"/>
  <c r="I374" i="1"/>
  <c r="I346" i="1"/>
  <c r="G338" i="1"/>
  <c r="I335" i="1"/>
  <c r="J301" i="1"/>
  <c r="G297" i="1"/>
  <c r="J294" i="1"/>
  <c r="I292" i="1"/>
  <c r="I287" i="1"/>
  <c r="G283" i="1"/>
  <c r="I268" i="1"/>
  <c r="I252" i="1"/>
  <c r="I241" i="1"/>
  <c r="G234" i="1"/>
  <c r="G230" i="1"/>
  <c r="I225" i="1"/>
  <c r="G217" i="1"/>
  <c r="J214" i="1"/>
  <c r="G214" i="1"/>
  <c r="I209" i="1"/>
  <c r="I201" i="1"/>
  <c r="G199" i="1"/>
  <c r="J173" i="1"/>
  <c r="I165" i="1"/>
  <c r="G148" i="1"/>
  <c r="I145" i="1"/>
  <c r="G139" i="1"/>
  <c r="I137" i="1"/>
  <c r="I129" i="1"/>
  <c r="I121" i="1"/>
  <c r="G109" i="1"/>
  <c r="I105" i="1"/>
  <c r="G86" i="1"/>
  <c r="G24" i="1"/>
  <c r="G365" i="1"/>
  <c r="G357" i="1"/>
  <c r="G315" i="1"/>
  <c r="G299" i="1"/>
  <c r="G260" i="1"/>
  <c r="J247" i="1"/>
  <c r="J232" i="1"/>
  <c r="J227" i="1"/>
  <c r="J216" i="1"/>
  <c r="J211" i="1"/>
  <c r="G204" i="1"/>
  <c r="G195" i="1"/>
  <c r="J184" i="1"/>
  <c r="J147" i="1"/>
  <c r="J139" i="1"/>
  <c r="G131" i="1"/>
  <c r="J125" i="1"/>
  <c r="J123" i="1"/>
  <c r="J109" i="1"/>
  <c r="J85" i="1"/>
  <c r="J74" i="1"/>
  <c r="J61" i="1"/>
  <c r="G54" i="1"/>
  <c r="J42" i="1"/>
  <c r="G29" i="1"/>
  <c r="G26" i="1"/>
  <c r="I23" i="1"/>
  <c r="G416" i="1"/>
  <c r="G376" i="1"/>
  <c r="I362" i="1"/>
  <c r="J325" i="1"/>
  <c r="I319" i="1"/>
  <c r="J309" i="1"/>
  <c r="J303" i="1"/>
  <c r="J270" i="1"/>
  <c r="J258" i="1"/>
  <c r="I256" i="1"/>
  <c r="J236" i="1"/>
  <c r="J221" i="1"/>
  <c r="G209" i="1"/>
  <c r="J205" i="1"/>
  <c r="G201" i="1"/>
  <c r="J195" i="1"/>
  <c r="I193" i="1"/>
  <c r="I181" i="1"/>
  <c r="J162" i="1"/>
  <c r="G156" i="1"/>
  <c r="I153" i="1"/>
  <c r="J141" i="1"/>
  <c r="J133" i="1"/>
  <c r="J131" i="1"/>
  <c r="J117" i="1"/>
  <c r="G107" i="1"/>
  <c r="J101" i="1"/>
  <c r="J99" i="1"/>
  <c r="G94" i="1"/>
  <c r="I87" i="1"/>
  <c r="J83" i="1"/>
  <c r="I27" i="1"/>
  <c r="I25" i="1"/>
  <c r="G381" i="1"/>
  <c r="G373" i="1"/>
  <c r="G245" i="1"/>
  <c r="J238" i="1"/>
  <c r="I234" i="1"/>
  <c r="I218" i="1"/>
  <c r="I213" i="1"/>
  <c r="G203" i="1"/>
  <c r="J189" i="1"/>
  <c r="J164" i="1"/>
  <c r="G122" i="1"/>
  <c r="I97" i="1"/>
  <c r="I81" i="1"/>
  <c r="G44" i="1"/>
  <c r="J32" i="1"/>
  <c r="G259" i="1"/>
  <c r="I248" i="1"/>
  <c r="J237" i="1"/>
  <c r="I233" i="1"/>
  <c r="J228" i="1"/>
  <c r="G220" i="1"/>
  <c r="I217" i="1"/>
  <c r="J212" i="1"/>
  <c r="J194" i="1"/>
  <c r="I185" i="1"/>
  <c r="J157" i="1"/>
  <c r="I113" i="1"/>
  <c r="G91" i="1"/>
  <c r="J86" i="1"/>
  <c r="J84" i="1"/>
  <c r="G49" i="1"/>
  <c r="G34" i="1"/>
  <c r="I31" i="1"/>
  <c r="J24" i="1"/>
  <c r="J21" i="1"/>
  <c r="G202" i="1"/>
  <c r="G162" i="1"/>
  <c r="G115" i="1"/>
  <c r="G61" i="1"/>
  <c r="G56" i="1"/>
  <c r="G43" i="1"/>
  <c r="I415" i="1"/>
  <c r="J415" i="1"/>
  <c r="I281" i="1"/>
  <c r="J281" i="1"/>
  <c r="I375" i="1"/>
  <c r="J375" i="1"/>
  <c r="G329" i="1"/>
  <c r="G301" i="1"/>
  <c r="G302" i="1"/>
  <c r="I285" i="1"/>
  <c r="J285" i="1"/>
  <c r="G403" i="1"/>
  <c r="G400" i="1"/>
  <c r="I391" i="1"/>
  <c r="J391" i="1"/>
  <c r="I351" i="1"/>
  <c r="J351" i="1"/>
  <c r="G332" i="1"/>
  <c r="I317" i="1"/>
  <c r="J317" i="1"/>
  <c r="G386" i="1"/>
  <c r="G385" i="1"/>
  <c r="I419" i="1"/>
  <c r="J419" i="1"/>
  <c r="G359" i="1"/>
  <c r="G360" i="1"/>
  <c r="G311" i="1"/>
  <c r="G310" i="1"/>
  <c r="I407" i="1"/>
  <c r="J407" i="1"/>
  <c r="I367" i="1"/>
  <c r="J367" i="1"/>
  <c r="G346" i="1"/>
  <c r="G291" i="1"/>
  <c r="G290" i="1"/>
  <c r="G292" i="1"/>
  <c r="G402" i="1"/>
  <c r="G394" i="1"/>
  <c r="G393" i="1"/>
  <c r="G395" i="1"/>
  <c r="I383" i="1"/>
  <c r="J383" i="1"/>
  <c r="G354" i="1"/>
  <c r="G353" i="1"/>
  <c r="G355" i="1"/>
  <c r="I343" i="1"/>
  <c r="J343" i="1"/>
  <c r="G312" i="1"/>
  <c r="G313" i="1"/>
  <c r="I279" i="1"/>
  <c r="J279" i="1"/>
  <c r="I399" i="1"/>
  <c r="J399" i="1"/>
  <c r="I334" i="1"/>
  <c r="J334" i="1"/>
  <c r="G270" i="1"/>
  <c r="G267" i="1"/>
  <c r="G268" i="1"/>
  <c r="G265" i="1"/>
  <c r="G266" i="1"/>
  <c r="G410" i="1"/>
  <c r="G409" i="1"/>
  <c r="G411" i="1"/>
  <c r="G370" i="1"/>
  <c r="G369" i="1"/>
  <c r="G371" i="1"/>
  <c r="I359" i="1"/>
  <c r="J359" i="1"/>
  <c r="G280" i="1"/>
  <c r="G279" i="1"/>
  <c r="I136" i="1"/>
  <c r="J136" i="1"/>
  <c r="I128" i="1"/>
  <c r="J128" i="1"/>
  <c r="G320" i="1"/>
  <c r="G316" i="1"/>
  <c r="G275" i="1"/>
  <c r="I265" i="1"/>
  <c r="J265" i="1"/>
  <c r="I224" i="1"/>
  <c r="J224" i="1"/>
  <c r="G175" i="1"/>
  <c r="I160" i="1"/>
  <c r="J160" i="1"/>
  <c r="G128" i="1"/>
  <c r="G130" i="1"/>
  <c r="G129" i="1"/>
  <c r="J95" i="1"/>
  <c r="I95" i="1"/>
  <c r="G38" i="1"/>
  <c r="G37" i="1"/>
  <c r="G39" i="1"/>
  <c r="I28" i="1"/>
  <c r="J28" i="1"/>
  <c r="G327" i="1"/>
  <c r="G304" i="1"/>
  <c r="G303" i="1"/>
  <c r="J257" i="1"/>
  <c r="I244" i="1"/>
  <c r="J244" i="1"/>
  <c r="G414" i="1"/>
  <c r="G406" i="1"/>
  <c r="G398" i="1"/>
  <c r="G390" i="1"/>
  <c r="G374" i="1"/>
  <c r="G366" i="1"/>
  <c r="G358" i="1"/>
  <c r="G350" i="1"/>
  <c r="G417" i="1"/>
  <c r="G401" i="1"/>
  <c r="G345" i="1"/>
  <c r="G331" i="1"/>
  <c r="G300" i="1"/>
  <c r="I273" i="1"/>
  <c r="J273" i="1"/>
  <c r="G269" i="1"/>
  <c r="J182" i="1"/>
  <c r="I167" i="1"/>
  <c r="I130" i="1"/>
  <c r="I120" i="1"/>
  <c r="J120" i="1"/>
  <c r="I112" i="1"/>
  <c r="J112" i="1"/>
  <c r="G96" i="1"/>
  <c r="J72" i="1"/>
  <c r="G226" i="1"/>
  <c r="G164" i="1"/>
  <c r="G147" i="1"/>
  <c r="G149" i="1"/>
  <c r="G140" i="1"/>
  <c r="I122" i="1"/>
  <c r="I114" i="1"/>
  <c r="I76" i="1"/>
  <c r="J76" i="1"/>
  <c r="G72" i="1"/>
  <c r="G74" i="1"/>
  <c r="G73" i="1"/>
  <c r="I52" i="1"/>
  <c r="J52" i="1"/>
  <c r="G250" i="1"/>
  <c r="G219" i="1"/>
  <c r="G221" i="1"/>
  <c r="G177" i="1"/>
  <c r="G179" i="1"/>
  <c r="G181" i="1"/>
  <c r="G183" i="1"/>
  <c r="G185" i="1"/>
  <c r="G153" i="1"/>
  <c r="G155" i="1"/>
  <c r="G187" i="1"/>
  <c r="G157" i="1"/>
  <c r="G159" i="1"/>
  <c r="G161" i="1"/>
  <c r="G172" i="1"/>
  <c r="G178" i="1"/>
  <c r="G189" i="1"/>
  <c r="G191" i="1"/>
  <c r="G193" i="1"/>
  <c r="G163" i="1"/>
  <c r="G165" i="1"/>
  <c r="G167" i="1"/>
  <c r="G169" i="1"/>
  <c r="G180" i="1"/>
  <c r="G186" i="1"/>
  <c r="G150" i="1"/>
  <c r="G152" i="1"/>
  <c r="G151" i="1"/>
  <c r="I78" i="1"/>
  <c r="J78" i="1"/>
  <c r="G351" i="1"/>
  <c r="J289" i="1"/>
  <c r="J411" i="1"/>
  <c r="J403" i="1"/>
  <c r="J395" i="1"/>
  <c r="J387" i="1"/>
  <c r="J379" i="1"/>
  <c r="G378" i="1"/>
  <c r="J371" i="1"/>
  <c r="J363" i="1"/>
  <c r="J355" i="1"/>
  <c r="J347" i="1"/>
  <c r="J339" i="1"/>
  <c r="G336" i="1"/>
  <c r="G335" i="1"/>
  <c r="I328" i="1"/>
  <c r="G319" i="1"/>
  <c r="I313" i="1"/>
  <c r="I297" i="1"/>
  <c r="J297" i="1"/>
  <c r="G287" i="1"/>
  <c r="I276" i="1"/>
  <c r="I272" i="1"/>
  <c r="G256" i="1"/>
  <c r="G255" i="1"/>
  <c r="G251" i="1"/>
  <c r="G241" i="1"/>
  <c r="G243" i="1"/>
  <c r="G242" i="1"/>
  <c r="I192" i="1"/>
  <c r="J192" i="1"/>
  <c r="I186" i="1"/>
  <c r="G134" i="1"/>
  <c r="G136" i="1"/>
  <c r="G135" i="1"/>
  <c r="G126" i="1"/>
  <c r="G127" i="1"/>
  <c r="G116" i="1"/>
  <c r="G103" i="1"/>
  <c r="G105" i="1"/>
  <c r="G78" i="1"/>
  <c r="G79" i="1"/>
  <c r="G66" i="1"/>
  <c r="G63" i="1"/>
  <c r="G65" i="1"/>
  <c r="G67" i="1"/>
  <c r="G367" i="1"/>
  <c r="J333" i="1"/>
  <c r="G326" i="1"/>
  <c r="J318" i="1"/>
  <c r="I305" i="1"/>
  <c r="J305" i="1"/>
  <c r="G296" i="1"/>
  <c r="G295" i="1"/>
  <c r="I284" i="1"/>
  <c r="I280" i="1"/>
  <c r="G264" i="1"/>
  <c r="G263" i="1"/>
  <c r="I253" i="1"/>
  <c r="J253" i="1"/>
  <c r="I249" i="1"/>
  <c r="J249" i="1"/>
  <c r="G222" i="1"/>
  <c r="G224" i="1"/>
  <c r="G223" i="1"/>
  <c r="G208" i="1"/>
  <c r="G211" i="1"/>
  <c r="G210" i="1"/>
  <c r="I199" i="1"/>
  <c r="G171" i="1"/>
  <c r="I144" i="1"/>
  <c r="J144" i="1"/>
  <c r="G108" i="1"/>
  <c r="I229" i="1"/>
  <c r="G188" i="1"/>
  <c r="G173" i="1"/>
  <c r="I152" i="1"/>
  <c r="J152" i="1"/>
  <c r="G144" i="1"/>
  <c r="G146" i="1"/>
  <c r="G145" i="1"/>
  <c r="G118" i="1"/>
  <c r="G120" i="1"/>
  <c r="G117" i="1"/>
  <c r="G119" i="1"/>
  <c r="G110" i="1"/>
  <c r="G229" i="1"/>
  <c r="I223" i="1"/>
  <c r="G218" i="1"/>
  <c r="G212" i="1"/>
  <c r="J208" i="1"/>
  <c r="J206" i="1"/>
  <c r="J204" i="1"/>
  <c r="G197" i="1"/>
  <c r="I191" i="1"/>
  <c r="J176" i="1"/>
  <c r="J174" i="1"/>
  <c r="J172" i="1"/>
  <c r="I159" i="1"/>
  <c r="I151" i="1"/>
  <c r="I143" i="1"/>
  <c r="I135" i="1"/>
  <c r="I127" i="1"/>
  <c r="I119" i="1"/>
  <c r="G114" i="1"/>
  <c r="I111" i="1"/>
  <c r="J94" i="1"/>
  <c r="J92" i="1"/>
  <c r="G90" i="1"/>
  <c r="I80" i="1"/>
  <c r="J80" i="1"/>
  <c r="I71" i="1"/>
  <c r="J60" i="1"/>
  <c r="I47" i="1"/>
  <c r="G200" i="1"/>
  <c r="G104" i="1"/>
  <c r="I88" i="1"/>
  <c r="J88" i="1"/>
  <c r="G80" i="1"/>
  <c r="G82" i="1"/>
  <c r="G64" i="1"/>
  <c r="I44" i="1"/>
  <c r="J44" i="1"/>
  <c r="I20" i="1"/>
  <c r="J20" i="1"/>
  <c r="J102" i="1"/>
  <c r="J100" i="1"/>
  <c r="I79" i="1"/>
  <c r="I62" i="1"/>
  <c r="J62" i="1"/>
  <c r="G30" i="1"/>
  <c r="G31" i="1"/>
  <c r="I96" i="1"/>
  <c r="J96" i="1"/>
  <c r="I39" i="1"/>
  <c r="G228" i="1"/>
  <c r="J222" i="1"/>
  <c r="J220" i="1"/>
  <c r="G215" i="1"/>
  <c r="G213" i="1"/>
  <c r="I207" i="1"/>
  <c r="J190" i="1"/>
  <c r="J188" i="1"/>
  <c r="I175" i="1"/>
  <c r="G170" i="1"/>
  <c r="J158" i="1"/>
  <c r="J156" i="1"/>
  <c r="G158" i="1"/>
  <c r="G166" i="1"/>
  <c r="G174" i="1"/>
  <c r="G182" i="1"/>
  <c r="G190" i="1"/>
  <c r="G160" i="1"/>
  <c r="G168" i="1"/>
  <c r="G176" i="1"/>
  <c r="G184" i="1"/>
  <c r="G192" i="1"/>
  <c r="G154" i="1"/>
  <c r="J150" i="1"/>
  <c r="J148" i="1"/>
  <c r="J142" i="1"/>
  <c r="J140" i="1"/>
  <c r="J134" i="1"/>
  <c r="J132" i="1"/>
  <c r="J126" i="1"/>
  <c r="J124" i="1"/>
  <c r="J118" i="1"/>
  <c r="J116" i="1"/>
  <c r="J110" i="1"/>
  <c r="J108" i="1"/>
  <c r="G98" i="1"/>
  <c r="G95" i="1"/>
  <c r="J70" i="1"/>
  <c r="J68" i="1"/>
  <c r="I55" i="1"/>
  <c r="G51" i="1"/>
  <c r="I36" i="1"/>
  <c r="J36" i="1"/>
  <c r="G206" i="1"/>
  <c r="I104" i="1"/>
  <c r="J104" i="1"/>
  <c r="G22" i="1"/>
  <c r="G21" i="1"/>
  <c r="G20" i="1"/>
  <c r="J64" i="1"/>
  <c r="G47" i="1"/>
  <c r="G23" i="1"/>
  <c r="G58" i="1"/>
  <c r="G50" i="1"/>
  <c r="J19" i="1"/>
  <c r="J54" i="1"/>
  <c r="G53" i="1"/>
  <c r="J46" i="1"/>
  <c r="J38" i="1"/>
  <c r="J30" i="1"/>
  <c r="J22" i="1"/>
  <c r="G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<sst xmlns="http://schemas.openxmlformats.org/spreadsheetml/2006/main" count="3312" uniqueCount="1498">
  <si>
    <t>service</t>
  </si>
  <si>
    <t>direction</t>
  </si>
  <si>
    <t>operator_name</t>
  </si>
  <si>
    <t>country</t>
  </si>
  <si>
    <t>PSD</t>
  </si>
  <si>
    <t>Outbound</t>
  </si>
  <si>
    <t>Liberty (PRI)</t>
  </si>
  <si>
    <t>Puerto Rico</t>
  </si>
  <si>
    <t>Cetin (HUN)</t>
  </si>
  <si>
    <t>Hungary</t>
  </si>
  <si>
    <t>Cam (KHM)</t>
  </si>
  <si>
    <t>Cambodia</t>
  </si>
  <si>
    <t>Smart (PHL)</t>
  </si>
  <si>
    <t>Philippines</t>
  </si>
  <si>
    <t>Orange (MLI)</t>
  </si>
  <si>
    <t>Mali</t>
  </si>
  <si>
    <t>ATT (MEX) 1</t>
  </si>
  <si>
    <t>Mexico</t>
  </si>
  <si>
    <t>Liberty (ATG)</t>
  </si>
  <si>
    <t>Antigua and Barbuda</t>
  </si>
  <si>
    <t>AMX (PRI)</t>
  </si>
  <si>
    <t>Tigo (PRY)</t>
  </si>
  <si>
    <t>Paraguay</t>
  </si>
  <si>
    <t>Jersey Telecoms (GBR)</t>
  </si>
  <si>
    <t>Channel Islands</t>
  </si>
  <si>
    <t>Afghan Wireless (AFG)</t>
  </si>
  <si>
    <t>Afghanistan</t>
  </si>
  <si>
    <t>DT (ROM)</t>
  </si>
  <si>
    <t>Romania</t>
  </si>
  <si>
    <t>Telekom Serbia (SRB)</t>
  </si>
  <si>
    <t>Serbia</t>
  </si>
  <si>
    <t>BA Punjab (IND)</t>
  </si>
  <si>
    <t>India</t>
  </si>
  <si>
    <t>Spark (NZL)</t>
  </si>
  <si>
    <t>New Zealand</t>
  </si>
  <si>
    <t>MTN (CIV)</t>
  </si>
  <si>
    <t>Ivory Coast</t>
  </si>
  <si>
    <t>RJ Karnataka (IND)</t>
  </si>
  <si>
    <t>WMS (AAM)</t>
  </si>
  <si>
    <t>Maritime</t>
  </si>
  <si>
    <t>TT MOBIL (TUR) 1</t>
  </si>
  <si>
    <t>Turkey</t>
  </si>
  <si>
    <t>Free (FRA)</t>
  </si>
  <si>
    <t>France</t>
  </si>
  <si>
    <t>Lifecell (UKR)</t>
  </si>
  <si>
    <t>Ukraine</t>
  </si>
  <si>
    <t>H3G (AUT) 2</t>
  </si>
  <si>
    <t>Austria</t>
  </si>
  <si>
    <t>Vodafone (FJI)</t>
  </si>
  <si>
    <t>Fiji</t>
  </si>
  <si>
    <t>IAM (BFA)</t>
  </si>
  <si>
    <t>Burkina Faso</t>
  </si>
  <si>
    <t>Rogers (CAN) 1</t>
  </si>
  <si>
    <t>Canada</t>
  </si>
  <si>
    <t>du (ARE)</t>
  </si>
  <si>
    <t>UAE</t>
  </si>
  <si>
    <t>ATT (USA) 1</t>
  </si>
  <si>
    <t>USA</t>
  </si>
  <si>
    <t>Vodafone (GHA)</t>
  </si>
  <si>
    <t>Ghana</t>
  </si>
  <si>
    <t>ATM (DZA)</t>
  </si>
  <si>
    <t>Algeria</t>
  </si>
  <si>
    <t>Cell C (ZAF)</t>
  </si>
  <si>
    <t>South Africa</t>
  </si>
  <si>
    <t>Tigo (GTM)</t>
  </si>
  <si>
    <t>Guatemala</t>
  </si>
  <si>
    <t>Faroese Telecom (FRO)</t>
  </si>
  <si>
    <t>Faroe Islands</t>
  </si>
  <si>
    <t>Airtel (RWA) 2</t>
  </si>
  <si>
    <t>Rwanda</t>
  </si>
  <si>
    <t>PrimeTel (CYP)</t>
  </si>
  <si>
    <t>Cyprus</t>
  </si>
  <si>
    <t>BA Orissa (IND)</t>
  </si>
  <si>
    <t>Orange (SVK)</t>
  </si>
  <si>
    <t>Slovak Republic</t>
  </si>
  <si>
    <t>Bite (LTU)</t>
  </si>
  <si>
    <t>Lithuania</t>
  </si>
  <si>
    <t>Telefonica (ECU)</t>
  </si>
  <si>
    <t>Ecuador</t>
  </si>
  <si>
    <t>A1 (SVN)</t>
  </si>
  <si>
    <t>Slovenia</t>
  </si>
  <si>
    <t>Orange (GIN)</t>
  </si>
  <si>
    <t>Guinea</t>
  </si>
  <si>
    <t>Vini (PYF)</t>
  </si>
  <si>
    <t>French Polynesia</t>
  </si>
  <si>
    <t>KPN (NLD) 1</t>
  </si>
  <si>
    <t>Netherlands</t>
  </si>
  <si>
    <t>Moldcell (MDA)</t>
  </si>
  <si>
    <t>Moldova</t>
  </si>
  <si>
    <t>BA Chennai (IND)</t>
  </si>
  <si>
    <t>Veon (UZB)</t>
  </si>
  <si>
    <t>Uzbekistan</t>
  </si>
  <si>
    <t>Antel (URY)</t>
  </si>
  <si>
    <t>Uruguay</t>
  </si>
  <si>
    <t>Viaero (USA)</t>
  </si>
  <si>
    <t>Tusass (GRL)</t>
  </si>
  <si>
    <t>Greenland</t>
  </si>
  <si>
    <t>Vodafone (TUR)</t>
  </si>
  <si>
    <t>Vodafone (CZE)</t>
  </si>
  <si>
    <t>Czech Republic</t>
  </si>
  <si>
    <t>Safaricom (KEN)</t>
  </si>
  <si>
    <t>Kenya</t>
  </si>
  <si>
    <t>Tunisie Telecom (TUN)</t>
  </si>
  <si>
    <t>Tunisia</t>
  </si>
  <si>
    <t>Elisa (FIN) 1</t>
  </si>
  <si>
    <t>Finland</t>
  </si>
  <si>
    <t>Unitel (CPV)</t>
  </si>
  <si>
    <t>Cape Verde</t>
  </si>
  <si>
    <t>Ooredoo (TUN)</t>
  </si>
  <si>
    <t>Vodafone (PRT)</t>
  </si>
  <si>
    <t>Portugal</t>
  </si>
  <si>
    <t>Telenor (DNK) 1</t>
  </si>
  <si>
    <t>Denmark</t>
  </si>
  <si>
    <t>ICE (CRI)</t>
  </si>
  <si>
    <t>Costa Rica</t>
  </si>
  <si>
    <t>WOM (CHL)</t>
  </si>
  <si>
    <t>Chile</t>
  </si>
  <si>
    <t>Optus (AUS)</t>
  </si>
  <si>
    <t>Australia</t>
  </si>
  <si>
    <t>RJ Delhi (IND)</t>
  </si>
  <si>
    <t>MTN (ZAF)</t>
  </si>
  <si>
    <t>VI Delhi (IND) 1</t>
  </si>
  <si>
    <t>SoftBank (JPN)</t>
  </si>
  <si>
    <t>Japan</t>
  </si>
  <si>
    <t>AMX (PER)</t>
  </si>
  <si>
    <t>Peru</t>
  </si>
  <si>
    <t>MTS (RUS)</t>
  </si>
  <si>
    <t>Russia</t>
  </si>
  <si>
    <t>Digicel (WSM)</t>
  </si>
  <si>
    <t>Samoa</t>
  </si>
  <si>
    <t>Vodafone (HUN)</t>
  </si>
  <si>
    <t>Liberty (JAM)</t>
  </si>
  <si>
    <t>Jamaica</t>
  </si>
  <si>
    <t>Telekom (SVN)</t>
  </si>
  <si>
    <t>Tigo (SLV)</t>
  </si>
  <si>
    <t>El Salvador</t>
  </si>
  <si>
    <t>Bakcell (AZE)</t>
  </si>
  <si>
    <t>Azerbaijan</t>
  </si>
  <si>
    <t>Siminn (ISL)</t>
  </si>
  <si>
    <t>Iceland</t>
  </si>
  <si>
    <t>IAM (CIV)</t>
  </si>
  <si>
    <t>Liberty (ANT)</t>
  </si>
  <si>
    <t>Netherlands Antilles</t>
  </si>
  <si>
    <t>Cellcom (ISR)</t>
  </si>
  <si>
    <t>Israel</t>
  </si>
  <si>
    <t>VMS (VNM)</t>
  </si>
  <si>
    <t>Vietnam</t>
  </si>
  <si>
    <t>Wana (MAR)</t>
  </si>
  <si>
    <t>Morocco</t>
  </si>
  <si>
    <t>TDC (DNK)</t>
  </si>
  <si>
    <t>Liberty (GRD)</t>
  </si>
  <si>
    <t>Grenada</t>
  </si>
  <si>
    <t>Magticom (GEO)</t>
  </si>
  <si>
    <t>Georgia</t>
  </si>
  <si>
    <t>Liberty (VCT)</t>
  </si>
  <si>
    <t>Saint Vincent and the Grenadines</t>
  </si>
  <si>
    <t>Ooredoo (DZA)</t>
  </si>
  <si>
    <t>Roshan (AFG)</t>
  </si>
  <si>
    <t>Telecom (ARG) 1</t>
  </si>
  <si>
    <t>Argentina</t>
  </si>
  <si>
    <t>Yas (SEN)</t>
  </si>
  <si>
    <t>Senegal</t>
  </si>
  <si>
    <t>Cetin (SRB)</t>
  </si>
  <si>
    <t>STA (AND)</t>
  </si>
  <si>
    <t>Andorra</t>
  </si>
  <si>
    <t>Pelephone (ISR)</t>
  </si>
  <si>
    <t>Telenor (THA) 2</t>
  </si>
  <si>
    <t>Thailand</t>
  </si>
  <si>
    <t>BH (BIH)</t>
  </si>
  <si>
    <t>Bosnia and Herzegovina</t>
  </si>
  <si>
    <t>Orange (SEN)</t>
  </si>
  <si>
    <t>Orange (TUN)</t>
  </si>
  <si>
    <t>Tele2 (LVA)</t>
  </si>
  <si>
    <t>Latvia</t>
  </si>
  <si>
    <t>Gibtel (GIB)</t>
  </si>
  <si>
    <t>Gibraltar</t>
  </si>
  <si>
    <t>Post (LUX)</t>
  </si>
  <si>
    <t>Luxembourg</t>
  </si>
  <si>
    <t>Digicel (GUY)</t>
  </si>
  <si>
    <t>Guyana</t>
  </si>
  <si>
    <t>Telenor (PAK)</t>
  </si>
  <si>
    <t>Pakistan</t>
  </si>
  <si>
    <t>DT (SVK)</t>
  </si>
  <si>
    <t>Eir (IRL)</t>
  </si>
  <si>
    <t>Ireland</t>
  </si>
  <si>
    <t>RJ Maharashtra (IND)</t>
  </si>
  <si>
    <t>Digi (ROM)</t>
  </si>
  <si>
    <t>Bell (CAN) 1</t>
  </si>
  <si>
    <t>Vodafone (PYF)</t>
  </si>
  <si>
    <t>Orange (LBR)</t>
  </si>
  <si>
    <t>Liberia</t>
  </si>
  <si>
    <t>Kcell (KAZ)</t>
  </si>
  <si>
    <t>Kazakhstan</t>
  </si>
  <si>
    <t>Smartone (HKG)</t>
  </si>
  <si>
    <t>Hong Kong</t>
  </si>
  <si>
    <t>Vodafone (ALB)</t>
  </si>
  <si>
    <t>Albania</t>
  </si>
  <si>
    <t>Altice (DOM)</t>
  </si>
  <si>
    <t>Dominican Republic</t>
  </si>
  <si>
    <t>Vodafone (TZA)</t>
  </si>
  <si>
    <t>Tanzania</t>
  </si>
  <si>
    <t>Altan (MEX)</t>
  </si>
  <si>
    <t>Telefonica (GBR)</t>
  </si>
  <si>
    <t>UK</t>
  </si>
  <si>
    <t>KT (KOR) 2</t>
  </si>
  <si>
    <t>South Korea</t>
  </si>
  <si>
    <t>H3G (HKG) 1</t>
  </si>
  <si>
    <t>Ooredoo (PSE)</t>
  </si>
  <si>
    <t>Palestine</t>
  </si>
  <si>
    <t>RJ Gujarat (IND)</t>
  </si>
  <si>
    <t>Mtel (MNE)</t>
  </si>
  <si>
    <t>Montenegro</t>
  </si>
  <si>
    <t>BA Uttar Pradesh West (IND)</t>
  </si>
  <si>
    <t>RJ Uttar Pradesh West (IND)</t>
  </si>
  <si>
    <t>Telcell (ANT)</t>
  </si>
  <si>
    <t>Viettel (VNM)</t>
  </si>
  <si>
    <t>MobiNil (EGY)</t>
  </si>
  <si>
    <t>Egypt</t>
  </si>
  <si>
    <t>Mattel (MRT)</t>
  </si>
  <si>
    <t>Mauritania</t>
  </si>
  <si>
    <t>MTN (IRN)</t>
  </si>
  <si>
    <t>Iran</t>
  </si>
  <si>
    <t>Alfa Telecom (KGZ)</t>
  </si>
  <si>
    <t>Kyrgyzstan</t>
  </si>
  <si>
    <t>Liberty (LCA)</t>
  </si>
  <si>
    <t>Saint Lucia</t>
  </si>
  <si>
    <t>True (THA) 3</t>
  </si>
  <si>
    <t>IAM (GAB) 1</t>
  </si>
  <si>
    <t>Gabon</t>
  </si>
  <si>
    <t>Singtel (THA) 2</t>
  </si>
  <si>
    <t>AMX (COL)</t>
  </si>
  <si>
    <t>Colombia</t>
  </si>
  <si>
    <t>Sunrise (CHE) 1</t>
  </si>
  <si>
    <t>Switzerland</t>
  </si>
  <si>
    <t>Liberty (MSR)</t>
  </si>
  <si>
    <t>Montserrat</t>
  </si>
  <si>
    <t>Africell (GMB)</t>
  </si>
  <si>
    <t>Gambia</t>
  </si>
  <si>
    <t>DT (MKD)</t>
  </si>
  <si>
    <t>North Macedonia</t>
  </si>
  <si>
    <t>United (SVN)</t>
  </si>
  <si>
    <t>P4 (POL)</t>
  </si>
  <si>
    <t>Poland</t>
  </si>
  <si>
    <t>Sure Guernsey (GBR)</t>
  </si>
  <si>
    <t>Best (BLR)</t>
  </si>
  <si>
    <t>Belarus</t>
  </si>
  <si>
    <t>Vodafone (NLD)</t>
  </si>
  <si>
    <t>MTN (CMR)</t>
  </si>
  <si>
    <t>Cameroon</t>
  </si>
  <si>
    <t>H3G (IRL) 1</t>
  </si>
  <si>
    <t>BA Kerala (IND)</t>
  </si>
  <si>
    <t>Vodafone (NZL)</t>
  </si>
  <si>
    <t>DT (USA) 1</t>
  </si>
  <si>
    <t>Videotron (CAN) 1</t>
  </si>
  <si>
    <t>Epic (AAM)</t>
  </si>
  <si>
    <t>DT (POL)</t>
  </si>
  <si>
    <t>Cellplus (MUS)</t>
  </si>
  <si>
    <t>Mauritius</t>
  </si>
  <si>
    <t>SK (KOR)</t>
  </si>
  <si>
    <t>GoMobile (MLT)</t>
  </si>
  <si>
    <t>Malta</t>
  </si>
  <si>
    <t>Veon (BGD)</t>
  </si>
  <si>
    <t>Bangladesh</t>
  </si>
  <si>
    <t>BA Mumbai (IND)</t>
  </si>
  <si>
    <t>Odido (NLD) 1</t>
  </si>
  <si>
    <t>H3G (DNK)</t>
  </si>
  <si>
    <t>BA Rajasthan (IND)</t>
  </si>
  <si>
    <t>Altice (PRT)</t>
  </si>
  <si>
    <t>Tele2 (KAZ)</t>
  </si>
  <si>
    <t>Liberty (VGB)</t>
  </si>
  <si>
    <t>British Virgin Islands</t>
  </si>
  <si>
    <t>AMX (ARG)</t>
  </si>
  <si>
    <t>One Albania (ALB) 1</t>
  </si>
  <si>
    <t>Ooredoo (IRQ)</t>
  </si>
  <si>
    <t>Iraq</t>
  </si>
  <si>
    <t>NTT Docomo (JPN)</t>
  </si>
  <si>
    <t>Ooredoo (OMN)</t>
  </si>
  <si>
    <t>Oman</t>
  </si>
  <si>
    <t>Telia (SWE)</t>
  </si>
  <si>
    <t>Sweden</t>
  </si>
  <si>
    <t>VimpelCom (RUS)</t>
  </si>
  <si>
    <t>Sasktel (CAN) 1</t>
  </si>
  <si>
    <t>Orange (LUX)</t>
  </si>
  <si>
    <t>Orange (BEL)</t>
  </si>
  <si>
    <t>Belgium</t>
  </si>
  <si>
    <t>Viettel (KHM)</t>
  </si>
  <si>
    <t>Telia (DNK)</t>
  </si>
  <si>
    <t>Etisalat (SAU) 1</t>
  </si>
  <si>
    <t>Saudi Arabia</t>
  </si>
  <si>
    <t>Mobitel (LKA)</t>
  </si>
  <si>
    <t>Sri Lanka</t>
  </si>
  <si>
    <t>Liberty (PAN) 1</t>
  </si>
  <si>
    <t>Panama</t>
  </si>
  <si>
    <t>MegaFon (RUS)</t>
  </si>
  <si>
    <t>MTN (RWA)</t>
  </si>
  <si>
    <t>Orange (REU)</t>
  </si>
  <si>
    <t>Reunion</t>
  </si>
  <si>
    <t>Vodafone (MOZ)</t>
  </si>
  <si>
    <t>Mozambique</t>
  </si>
  <si>
    <t>Epic (MLT)</t>
  </si>
  <si>
    <t>Partner (ISR)</t>
  </si>
  <si>
    <t>IAM (MAR)</t>
  </si>
  <si>
    <t>ZOI (SAU) 1</t>
  </si>
  <si>
    <t>A1 (SRB)</t>
  </si>
  <si>
    <t>TIM (AAM)</t>
  </si>
  <si>
    <t>Liberty (TCA)</t>
  </si>
  <si>
    <t>Turks and Caicos Islands</t>
  </si>
  <si>
    <t>Tigo (NIC)</t>
  </si>
  <si>
    <t>Nicaragua</t>
  </si>
  <si>
    <t>ZOI (JOR)</t>
  </si>
  <si>
    <t>Jordan</t>
  </si>
  <si>
    <t>BA Assam (IND)</t>
  </si>
  <si>
    <t>BA Delhi (IND)</t>
  </si>
  <si>
    <t>DT (HUN)</t>
  </si>
  <si>
    <t>A1 (BLR)</t>
  </si>
  <si>
    <t>H3G (LKA) 1</t>
  </si>
  <si>
    <t>Telecom (ARM)</t>
  </si>
  <si>
    <t>Armenia</t>
  </si>
  <si>
    <t>Tele2 (SWE) 1</t>
  </si>
  <si>
    <t>Vodafone (UKR)</t>
  </si>
  <si>
    <t>Tigo (COL) 1</t>
  </si>
  <si>
    <t>Cellcom (MYS) 1</t>
  </si>
  <si>
    <t>Malaysia</t>
  </si>
  <si>
    <t>Veon (KAZ)</t>
  </si>
  <si>
    <t>MTN (UGA)</t>
  </si>
  <si>
    <t>Uganda</t>
  </si>
  <si>
    <t>Vodafone (GBR)</t>
  </si>
  <si>
    <t>StarHub (SGP)</t>
  </si>
  <si>
    <t>Singapore</t>
  </si>
  <si>
    <t>AMX (GTM) 1</t>
  </si>
  <si>
    <t>RJ Orissa (IND)</t>
  </si>
  <si>
    <t>C&amp;W (SYC)</t>
  </si>
  <si>
    <t>Seychelles</t>
  </si>
  <si>
    <t>Axiata (NPL)</t>
  </si>
  <si>
    <t>Nepal</t>
  </si>
  <si>
    <t>Altice (ISR) 2</t>
  </si>
  <si>
    <t>Ooredoo (KWT)</t>
  </si>
  <si>
    <t>Kuwait</t>
  </si>
  <si>
    <t>KT (KOR) 1</t>
  </si>
  <si>
    <t>Telia (LVA)</t>
  </si>
  <si>
    <t>Vodafone (EGY)</t>
  </si>
  <si>
    <t>DT (AUT) 2</t>
  </si>
  <si>
    <t>Orange (MDA)</t>
  </si>
  <si>
    <t>AeroMobile (AAA)</t>
  </si>
  <si>
    <t>Aerospace</t>
  </si>
  <si>
    <t>Vodafone (DEU)</t>
  </si>
  <si>
    <t>Germany</t>
  </si>
  <si>
    <t>Two Degrees (NZL)</t>
  </si>
  <si>
    <t>Telefonica (BRA) 4</t>
  </si>
  <si>
    <t>Brazil</t>
  </si>
  <si>
    <t>United (GRC) 1</t>
  </si>
  <si>
    <t>Greece</t>
  </si>
  <si>
    <t>United (BGR)</t>
  </si>
  <si>
    <t>Bulgaria</t>
  </si>
  <si>
    <t>BA Himachal Pradesh (IND)</t>
  </si>
  <si>
    <t>Proximus (BEL)</t>
  </si>
  <si>
    <t>SYN (ISL)</t>
  </si>
  <si>
    <t>NTC (NPL)</t>
  </si>
  <si>
    <t>RJ Haryana (IND)</t>
  </si>
  <si>
    <t>Axiata (LKA) 1</t>
  </si>
  <si>
    <t>Unitel (STP)</t>
  </si>
  <si>
    <t>Sao Tome and Principe</t>
  </si>
  <si>
    <t>Vodafone (ESP) 1</t>
  </si>
  <si>
    <t>Spain</t>
  </si>
  <si>
    <t>Tele2 (LTU)</t>
  </si>
  <si>
    <t>Vodafone (GRC)</t>
  </si>
  <si>
    <t>Telefonica (BRA) 2</t>
  </si>
  <si>
    <t>Etisalat (ARE)</t>
  </si>
  <si>
    <t>Eronet (BIH)</t>
  </si>
  <si>
    <t>BA Andhra Pradesh (IND)</t>
  </si>
  <si>
    <t>MTS (BLR)</t>
  </si>
  <si>
    <t>El Madar (LBY)</t>
  </si>
  <si>
    <t>Libya</t>
  </si>
  <si>
    <t>BA Karnataka (IND)</t>
  </si>
  <si>
    <t>VI Mumbai (IND) 1</t>
  </si>
  <si>
    <t>Liberty (AIA)</t>
  </si>
  <si>
    <t>Anguilla</t>
  </si>
  <si>
    <t>RJ Mumbai (IND)</t>
  </si>
  <si>
    <t>Telenor (FIN) 1</t>
  </si>
  <si>
    <t>Telefonica (MEX)</t>
  </si>
  <si>
    <t>BA Bihar (IND)</t>
  </si>
  <si>
    <t>RJ Punjab (IND)</t>
  </si>
  <si>
    <t>Telia (EST)</t>
  </si>
  <si>
    <t>Estonia</t>
  </si>
  <si>
    <t>BA Madhya Pradesh (IND)</t>
  </si>
  <si>
    <t>Mtel (BIH)</t>
  </si>
  <si>
    <t>Moldtelecom (MDA)</t>
  </si>
  <si>
    <t>Vodafone (ITA)</t>
  </si>
  <si>
    <t>Italy</t>
  </si>
  <si>
    <t>Swisscom (CHE)</t>
  </si>
  <si>
    <t>Salt (CHE)</t>
  </si>
  <si>
    <t>Telia (FIN)</t>
  </si>
  <si>
    <t>Singtel (HKG) 1</t>
  </si>
  <si>
    <t>Unitel (AGO)</t>
  </si>
  <si>
    <t>Angola</t>
  </si>
  <si>
    <t>Vodafone (QAT)</t>
  </si>
  <si>
    <t>Qatar</t>
  </si>
  <si>
    <t>A1 (BGR)</t>
  </si>
  <si>
    <t>Telenor (AAM)</t>
  </si>
  <si>
    <t>Airtel (TCD)</t>
  </si>
  <si>
    <t>Chad</t>
  </si>
  <si>
    <t>MTML (MUS)</t>
  </si>
  <si>
    <t>Telia (NOR) 1</t>
  </si>
  <si>
    <t>Norway</t>
  </si>
  <si>
    <t>Liberty (DMA)</t>
  </si>
  <si>
    <t>Dominica</t>
  </si>
  <si>
    <t>Natcom (HTI)</t>
  </si>
  <si>
    <t>Haiti</t>
  </si>
  <si>
    <t>DT (CZE)</t>
  </si>
  <si>
    <t>Orange (ESP) 1</t>
  </si>
  <si>
    <t>AMX (BRA)</t>
  </si>
  <si>
    <t>BA Haryana (IND)</t>
  </si>
  <si>
    <t>Chungwa (TWN)</t>
  </si>
  <si>
    <t>Taiwan</t>
  </si>
  <si>
    <t>BA North East (IND)</t>
  </si>
  <si>
    <t>Telefonica (DEU) 2</t>
  </si>
  <si>
    <t>LG (KOR)</t>
  </si>
  <si>
    <t>BA Maharashtra Goa (IND)</t>
  </si>
  <si>
    <t>BA Tamil Nadu (IND)</t>
  </si>
  <si>
    <t>RJ Kerala (IND)</t>
  </si>
  <si>
    <t>Telenet (BEL) 2</t>
  </si>
  <si>
    <t>RJ Kolkatta (IND)</t>
  </si>
  <si>
    <t>Melita (MLT)</t>
  </si>
  <si>
    <t>H3G (GBR)</t>
  </si>
  <si>
    <t>Telstra (AUS)</t>
  </si>
  <si>
    <t>ZOI (OMN)</t>
  </si>
  <si>
    <t>Telenor (SWE) 1</t>
  </si>
  <si>
    <t>Digicel 15 (JAM)</t>
  </si>
  <si>
    <t>Cetin (SVK)</t>
  </si>
  <si>
    <t>Digicel (GLP)</t>
  </si>
  <si>
    <t>French West Indies</t>
  </si>
  <si>
    <t>VI Tamil Nadu Chennai (IND) 1</t>
  </si>
  <si>
    <t>Entel (CHL)</t>
  </si>
  <si>
    <t>China Mobile (CHN) 1</t>
  </si>
  <si>
    <t>China</t>
  </si>
  <si>
    <t>Orange (JOR)</t>
  </si>
  <si>
    <t>Wind Tre (ITA) 2</t>
  </si>
  <si>
    <t>Singtel (PHL)</t>
  </si>
  <si>
    <t>Liberty (BRB)</t>
  </si>
  <si>
    <t>Barbados</t>
  </si>
  <si>
    <t>Turkcell (TUR)</t>
  </si>
  <si>
    <t>Emtel (MUS)</t>
  </si>
  <si>
    <t>STC (KWT) 1</t>
  </si>
  <si>
    <t>Nucleo (PRY)</t>
  </si>
  <si>
    <t>DT (DEU)</t>
  </si>
  <si>
    <t>Far Eastone (TWN)</t>
  </si>
  <si>
    <t>Telecom (NAM)</t>
  </si>
  <si>
    <t>Namibia</t>
  </si>
  <si>
    <t>RJ Bihar (IND)</t>
  </si>
  <si>
    <t>Bite (LVA)</t>
  </si>
  <si>
    <t>AMX (SLV)</t>
  </si>
  <si>
    <t>Orange (POL)</t>
  </si>
  <si>
    <t>MTN (NGA)</t>
  </si>
  <si>
    <t>Nigeria</t>
  </si>
  <si>
    <t>Ooredoo Hutchison (IDN) 1</t>
  </si>
  <si>
    <t>Indonesia</t>
  </si>
  <si>
    <t>VI Gujarat (IND) 1</t>
  </si>
  <si>
    <t>Africell (AGO)</t>
  </si>
  <si>
    <t>Vinaphone (VNM)</t>
  </si>
  <si>
    <t>Alfa MIC1 (LBN)</t>
  </si>
  <si>
    <t>Lebanon</t>
  </si>
  <si>
    <t>A1 (LIE) 1</t>
  </si>
  <si>
    <t>Liechtenstein</t>
  </si>
  <si>
    <t>TIM (BRA) 1</t>
  </si>
  <si>
    <t>Telenor (MYS)</t>
  </si>
  <si>
    <t>Maxis (MYS)</t>
  </si>
  <si>
    <t>Cubacel (CUB)</t>
  </si>
  <si>
    <t>Cuba</t>
  </si>
  <si>
    <t>VI Kolkata (IND) 1</t>
  </si>
  <si>
    <t>Batelco (BHR) 1</t>
  </si>
  <si>
    <t>Bahrain</t>
  </si>
  <si>
    <t>Altice (FRA) 1</t>
  </si>
  <si>
    <t>TIM (BRA) 2</t>
  </si>
  <si>
    <t>MCI (IRN)</t>
  </si>
  <si>
    <t>BA Kokata (IND)</t>
  </si>
  <si>
    <t>Geocell (GEO)</t>
  </si>
  <si>
    <t>DT (HRV)</t>
  </si>
  <si>
    <t>Croatia</t>
  </si>
  <si>
    <t>Airtel (TZA)</t>
  </si>
  <si>
    <t>Monaco Telecom (MCO)</t>
  </si>
  <si>
    <t>Monaco</t>
  </si>
  <si>
    <t>Ooredoo (QAT)</t>
  </si>
  <si>
    <t>PPL Net (GHA) 2</t>
  </si>
  <si>
    <t>Airtel (NGA)</t>
  </si>
  <si>
    <t>Cetin (CZE)</t>
  </si>
  <si>
    <t>Veon (DZA)</t>
  </si>
  <si>
    <t>Telefonica (COL)</t>
  </si>
  <si>
    <t>TIM (BRA) 3</t>
  </si>
  <si>
    <t>Singtel (IDN)</t>
  </si>
  <si>
    <t>PNCC (PLW)</t>
  </si>
  <si>
    <t>Palau</t>
  </si>
  <si>
    <t>Proximus (LUX)</t>
  </si>
  <si>
    <t>Digicel (PNG)</t>
  </si>
  <si>
    <t>Papua New Guinea</t>
  </si>
  <si>
    <t>TIM (ITA)</t>
  </si>
  <si>
    <t>Veon (UKR) 1</t>
  </si>
  <si>
    <t>Setar (ABW)</t>
  </si>
  <si>
    <t>Aruba</t>
  </si>
  <si>
    <t>Paktel (PAK)</t>
  </si>
  <si>
    <t>Telecom (CPV)</t>
  </si>
  <si>
    <t>ATN (BMU)</t>
  </si>
  <si>
    <t>Bermuda</t>
  </si>
  <si>
    <t>Digitel (VEN)</t>
  </si>
  <si>
    <t>Venezuela</t>
  </si>
  <si>
    <t>RJ Rajasthan (IND)</t>
  </si>
  <si>
    <t>Unitel (MNG)</t>
  </si>
  <si>
    <t>Mongolia</t>
  </si>
  <si>
    <t>Touch MIC2 (LBN)</t>
  </si>
  <si>
    <t>Batelco (JOR)</t>
  </si>
  <si>
    <t>ZOI (BHR)</t>
  </si>
  <si>
    <t>Telia (LTU)</t>
  </si>
  <si>
    <t>Orange (MAR)</t>
  </si>
  <si>
    <t>Viettel (LAO)</t>
  </si>
  <si>
    <t>Laos</t>
  </si>
  <si>
    <t>Telefonica (URY)</t>
  </si>
  <si>
    <t>STC (SAU) 1</t>
  </si>
  <si>
    <t>Nova (ISL)</t>
  </si>
  <si>
    <t>Vodafone (ROM)</t>
  </si>
  <si>
    <t>Epic (CYP)</t>
  </si>
  <si>
    <t>TSE (TJK) 1</t>
  </si>
  <si>
    <t>Tajikistan</t>
  </si>
  <si>
    <t>Vodafone (ZAF)</t>
  </si>
  <si>
    <t>A1 (AUT) 1</t>
  </si>
  <si>
    <t>Polkomtel (POL)</t>
  </si>
  <si>
    <t>Tele2 (RUS) 5</t>
  </si>
  <si>
    <t>Africell (COD)</t>
  </si>
  <si>
    <t>Congo Kinshasa</t>
  </si>
  <si>
    <t>Union (USA)</t>
  </si>
  <si>
    <t>Orange (CIV)</t>
  </si>
  <si>
    <t>BTC (BWA)</t>
  </si>
  <si>
    <t>Botswana</t>
  </si>
  <si>
    <t>Telefonica (ESP) 1</t>
  </si>
  <si>
    <t>DT (MNE)</t>
  </si>
  <si>
    <t>Telefonica (BRA) 3</t>
  </si>
  <si>
    <t>Telenor (NOR)</t>
  </si>
  <si>
    <t>Telefonica (CHL) 1</t>
  </si>
  <si>
    <t>Yas (MDG)</t>
  </si>
  <si>
    <t>Madagascar</t>
  </si>
  <si>
    <t>AMX (NIC)</t>
  </si>
  <si>
    <t>Ethiopian TelCo (ETH)</t>
  </si>
  <si>
    <t>Ethiopia</t>
  </si>
  <si>
    <t>Manx Telecom (GBR)</t>
  </si>
  <si>
    <t>China Unicom (CHN) 1</t>
  </si>
  <si>
    <t>Vodafone (AUS)</t>
  </si>
  <si>
    <t>Monaco Telecom (XKX)</t>
  </si>
  <si>
    <t>Kosovo</t>
  </si>
  <si>
    <t>Iliad (ITA)</t>
  </si>
  <si>
    <t>Net One (ZWE)</t>
  </si>
  <si>
    <t>Zimbabwe</t>
  </si>
  <si>
    <t>CTM (MAC)</t>
  </si>
  <si>
    <t>Macao</t>
  </si>
  <si>
    <t>Tele2 (EST)</t>
  </si>
  <si>
    <t>Azercell (AZE)</t>
  </si>
  <si>
    <t>Vodafone (COD)</t>
  </si>
  <si>
    <t>Orange (FRA)</t>
  </si>
  <si>
    <t>IPKO (XKX)</t>
  </si>
  <si>
    <t>MobileOne (SGP)</t>
  </si>
  <si>
    <t>Etisalat (EGY)</t>
  </si>
  <si>
    <t>ZOI (KWT)</t>
  </si>
  <si>
    <t>Telus (CAN) 1</t>
  </si>
  <si>
    <t>Aliv (BHS)</t>
  </si>
  <si>
    <t>Bahamas</t>
  </si>
  <si>
    <t>Vodafone (IRL)</t>
  </si>
  <si>
    <t>Singtel (SGP) 1</t>
  </si>
  <si>
    <t>Ooredoo (MDV)</t>
  </si>
  <si>
    <t>Maldives</t>
  </si>
  <si>
    <t>Elisa (EST)</t>
  </si>
  <si>
    <t>BT (GBR) 1</t>
  </si>
  <si>
    <t>Entel (PER)</t>
  </si>
  <si>
    <t>Telefonica (BRA) 1</t>
  </si>
  <si>
    <t>Altice (ISR) 1</t>
  </si>
  <si>
    <t>Liberty (BHS)</t>
  </si>
  <si>
    <t>Liberty (KNA)</t>
  </si>
  <si>
    <t>Saint Kitts and Nevis</t>
  </si>
  <si>
    <t>Liberty (CRI)</t>
  </si>
  <si>
    <t>RJ Himachal Pradesh (IND)</t>
  </si>
  <si>
    <t>Tigo (BOL)</t>
  </si>
  <si>
    <t>Bolivia</t>
  </si>
  <si>
    <t>NOS (PRT)</t>
  </si>
  <si>
    <t>Ucell (UZB)</t>
  </si>
  <si>
    <t>Bouygues (FRA)</t>
  </si>
  <si>
    <t>Viettel (TLS)</t>
  </si>
  <si>
    <t>East Timor</t>
  </si>
  <si>
    <t>H3G (SWE)</t>
  </si>
  <si>
    <t>Telefonica (PER)</t>
  </si>
  <si>
    <t>BA West Bengal (IND)</t>
  </si>
  <si>
    <t>MTS (ARM)</t>
  </si>
  <si>
    <t>Orange (ROM)</t>
  </si>
  <si>
    <t>DT (GRC)</t>
  </si>
  <si>
    <t>SBIN (BEN)</t>
  </si>
  <si>
    <t>Benin</t>
  </si>
  <si>
    <t>Cetin (BGR)</t>
  </si>
  <si>
    <t>One (MNE)</t>
  </si>
  <si>
    <t>Wind Tre (ITA) 1</t>
  </si>
  <si>
    <t>AMX (MEX)</t>
  </si>
  <si>
    <t>Telikom Limited (PNG) 2</t>
  </si>
  <si>
    <t>BA Gujarat (IND)</t>
  </si>
  <si>
    <t>CYTA (CYP)</t>
  </si>
  <si>
    <t>A1 (MKD) 1</t>
  </si>
  <si>
    <t>Liberty (CYM)</t>
  </si>
  <si>
    <t>Cayman Islands</t>
  </si>
  <si>
    <t>BA Uttar Pradesh East (IND)</t>
  </si>
  <si>
    <t>dIOT (MB)</t>
  </si>
  <si>
    <t>dIOT (GB)</t>
  </si>
  <si>
    <t>Min</t>
  </si>
  <si>
    <t>ISO_Code_A3</t>
  </si>
  <si>
    <t>ISO_Code_A2</t>
  </si>
  <si>
    <t>ISO_Code_Numeric</t>
  </si>
  <si>
    <t>Country</t>
  </si>
  <si>
    <t>Alpha-2 code</t>
  </si>
  <si>
    <t>Alpha-3 code</t>
  </si>
  <si>
    <t>Numeric</t>
  </si>
  <si>
    <t>AF</t>
  </si>
  <si>
    <t>AFG</t>
  </si>
  <si>
    <t>004</t>
  </si>
  <si>
    <t>AL</t>
  </si>
  <si>
    <t>ALB</t>
  </si>
  <si>
    <t>008</t>
  </si>
  <si>
    <t>DZ</t>
  </si>
  <si>
    <t>DZA</t>
  </si>
  <si>
    <t>012</t>
  </si>
  <si>
    <t>American Samoa</t>
  </si>
  <si>
    <t>AS</t>
  </si>
  <si>
    <t>ASM</t>
  </si>
  <si>
    <t>016</t>
  </si>
  <si>
    <t>AD</t>
  </si>
  <si>
    <t>AND</t>
  </si>
  <si>
    <t>020</t>
  </si>
  <si>
    <t>AO</t>
  </si>
  <si>
    <t>AGO</t>
  </si>
  <si>
    <t>024</t>
  </si>
  <si>
    <t>AI</t>
  </si>
  <si>
    <t>AIA</t>
  </si>
  <si>
    <t>660</t>
  </si>
  <si>
    <t>Antarctica</t>
  </si>
  <si>
    <t>AQ</t>
  </si>
  <si>
    <t>ATA</t>
  </si>
  <si>
    <t>010</t>
  </si>
  <si>
    <t>AG</t>
  </si>
  <si>
    <t>ATG</t>
  </si>
  <si>
    <t>028</t>
  </si>
  <si>
    <t>AR</t>
  </si>
  <si>
    <t>ARG</t>
  </si>
  <si>
    <t>032</t>
  </si>
  <si>
    <t>AM</t>
  </si>
  <si>
    <t>ARM</t>
  </si>
  <si>
    <t>051</t>
  </si>
  <si>
    <t>AW</t>
  </si>
  <si>
    <t>ABW</t>
  </si>
  <si>
    <t>533</t>
  </si>
  <si>
    <t>AU</t>
  </si>
  <si>
    <t>AUS</t>
  </si>
  <si>
    <t>036</t>
  </si>
  <si>
    <t>AT</t>
  </si>
  <si>
    <t>AUT</t>
  </si>
  <si>
    <t>040</t>
  </si>
  <si>
    <t>AZ</t>
  </si>
  <si>
    <t>AZE</t>
  </si>
  <si>
    <t>031</t>
  </si>
  <si>
    <t>Bahamas (the)</t>
  </si>
  <si>
    <t>BS</t>
  </si>
  <si>
    <t>BHS</t>
  </si>
  <si>
    <t>044</t>
  </si>
  <si>
    <t>BH</t>
  </si>
  <si>
    <t>BHR</t>
  </si>
  <si>
    <t>048</t>
  </si>
  <si>
    <t>BD</t>
  </si>
  <si>
    <t>BGD</t>
  </si>
  <si>
    <t>050</t>
  </si>
  <si>
    <t>BB</t>
  </si>
  <si>
    <t>BRB</t>
  </si>
  <si>
    <t>052</t>
  </si>
  <si>
    <t>BY</t>
  </si>
  <si>
    <t>BLR</t>
  </si>
  <si>
    <t>112</t>
  </si>
  <si>
    <t>BE</t>
  </si>
  <si>
    <t>BEL</t>
  </si>
  <si>
    <t>056</t>
  </si>
  <si>
    <t>Belize</t>
  </si>
  <si>
    <t>BZ</t>
  </si>
  <si>
    <t>BLZ</t>
  </si>
  <si>
    <t>084</t>
  </si>
  <si>
    <t>BJ</t>
  </si>
  <si>
    <t>BEN</t>
  </si>
  <si>
    <t>204</t>
  </si>
  <si>
    <t>BM</t>
  </si>
  <si>
    <t>BMU</t>
  </si>
  <si>
    <t>060</t>
  </si>
  <si>
    <t>Bhutan</t>
  </si>
  <si>
    <t>BT</t>
  </si>
  <si>
    <t>BTN</t>
  </si>
  <si>
    <t>064</t>
  </si>
  <si>
    <t>Bolivia (Plurinational State of)</t>
  </si>
  <si>
    <t>BO</t>
  </si>
  <si>
    <t>BOL</t>
  </si>
  <si>
    <t>068</t>
  </si>
  <si>
    <t>Bonaire, Sint Eustatius and Saba</t>
  </si>
  <si>
    <t>BQ</t>
  </si>
  <si>
    <t>BES</t>
  </si>
  <si>
    <t>535</t>
  </si>
  <si>
    <t>BA</t>
  </si>
  <si>
    <t>BIH</t>
  </si>
  <si>
    <t>070</t>
  </si>
  <si>
    <t>BW</t>
  </si>
  <si>
    <t>BWA</t>
  </si>
  <si>
    <t>072</t>
  </si>
  <si>
    <t>Bouvet Island</t>
  </si>
  <si>
    <t>BV</t>
  </si>
  <si>
    <t>BVT</t>
  </si>
  <si>
    <t>074</t>
  </si>
  <si>
    <t>BR</t>
  </si>
  <si>
    <t>BRA</t>
  </si>
  <si>
    <t>076</t>
  </si>
  <si>
    <t>British Indian Ocean Territory (the)</t>
  </si>
  <si>
    <t>IO</t>
  </si>
  <si>
    <t>IOT</t>
  </si>
  <si>
    <t>086</t>
  </si>
  <si>
    <t>Brunei Darussalam</t>
  </si>
  <si>
    <t>BN</t>
  </si>
  <si>
    <t>BRN</t>
  </si>
  <si>
    <t>096</t>
  </si>
  <si>
    <t>BG</t>
  </si>
  <si>
    <t>BGR</t>
  </si>
  <si>
    <t>100</t>
  </si>
  <si>
    <t>BF</t>
  </si>
  <si>
    <t>BFA</t>
  </si>
  <si>
    <t>854</t>
  </si>
  <si>
    <t>Burundi</t>
  </si>
  <si>
    <t>BI</t>
  </si>
  <si>
    <t>BDI</t>
  </si>
  <si>
    <t>108</t>
  </si>
  <si>
    <t>Cabo Verde</t>
  </si>
  <si>
    <t>CV</t>
  </si>
  <si>
    <t>CPV</t>
  </si>
  <si>
    <t>132</t>
  </si>
  <si>
    <t>KH</t>
  </si>
  <si>
    <t>KHM</t>
  </si>
  <si>
    <t>116</t>
  </si>
  <si>
    <t>CM</t>
  </si>
  <si>
    <t>CMR</t>
  </si>
  <si>
    <t>120</t>
  </si>
  <si>
    <t>CA</t>
  </si>
  <si>
    <t>CAN</t>
  </si>
  <si>
    <t>124</t>
  </si>
  <si>
    <t>Cayman Islands (the)</t>
  </si>
  <si>
    <t>KY</t>
  </si>
  <si>
    <t>CYM</t>
  </si>
  <si>
    <t>136</t>
  </si>
  <si>
    <t>Central African Republic (the)</t>
  </si>
  <si>
    <t>CF</t>
  </si>
  <si>
    <t>CAF</t>
  </si>
  <si>
    <t>140</t>
  </si>
  <si>
    <t>TD</t>
  </si>
  <si>
    <t>TCD</t>
  </si>
  <si>
    <t>148</t>
  </si>
  <si>
    <t>CL</t>
  </si>
  <si>
    <t>CHL</t>
  </si>
  <si>
    <t>152</t>
  </si>
  <si>
    <t>CN</t>
  </si>
  <si>
    <t>CHN</t>
  </si>
  <si>
    <t>156</t>
  </si>
  <si>
    <t>Christmas Island</t>
  </si>
  <si>
    <t>CX</t>
  </si>
  <si>
    <t>CXR</t>
  </si>
  <si>
    <t>162</t>
  </si>
  <si>
    <t>Cocos (Keeling) Islands (the)</t>
  </si>
  <si>
    <t>CC</t>
  </si>
  <si>
    <t>CCK</t>
  </si>
  <si>
    <t>166</t>
  </si>
  <si>
    <t>CO</t>
  </si>
  <si>
    <t>COL</t>
  </si>
  <si>
    <t>170</t>
  </si>
  <si>
    <t>Comoros (the)</t>
  </si>
  <si>
    <t>KM</t>
  </si>
  <si>
    <t>COM</t>
  </si>
  <si>
    <t>174</t>
  </si>
  <si>
    <t>Congo (the Democratic Republic of the)</t>
  </si>
  <si>
    <t>CD</t>
  </si>
  <si>
    <t>COD</t>
  </si>
  <si>
    <t>180</t>
  </si>
  <si>
    <t>Congo (the)</t>
  </si>
  <si>
    <t>CG</t>
  </si>
  <si>
    <t>COG</t>
  </si>
  <si>
    <t>178</t>
  </si>
  <si>
    <t>Cook Islands (the)</t>
  </si>
  <si>
    <t>CK</t>
  </si>
  <si>
    <t>COK</t>
  </si>
  <si>
    <t>184</t>
  </si>
  <si>
    <t>CR</t>
  </si>
  <si>
    <t>CRI</t>
  </si>
  <si>
    <t>188</t>
  </si>
  <si>
    <t>HR</t>
  </si>
  <si>
    <t>HRV</t>
  </si>
  <si>
    <t>191</t>
  </si>
  <si>
    <t>CU</t>
  </si>
  <si>
    <t>CUB</t>
  </si>
  <si>
    <t>192</t>
  </si>
  <si>
    <t>Curaçao</t>
  </si>
  <si>
    <t>CW</t>
  </si>
  <si>
    <t>CUW</t>
  </si>
  <si>
    <t>531</t>
  </si>
  <si>
    <t>CY</t>
  </si>
  <si>
    <t>CYP</t>
  </si>
  <si>
    <t>196</t>
  </si>
  <si>
    <t>Czechia</t>
  </si>
  <si>
    <t>CZ</t>
  </si>
  <si>
    <t>CZE</t>
  </si>
  <si>
    <t>203</t>
  </si>
  <si>
    <t>Côte d'Ivoire</t>
  </si>
  <si>
    <t>CI</t>
  </si>
  <si>
    <t>CIV</t>
  </si>
  <si>
    <t>384</t>
  </si>
  <si>
    <t>DK</t>
  </si>
  <si>
    <t>DNK</t>
  </si>
  <si>
    <t>208</t>
  </si>
  <si>
    <t>Djibouti</t>
  </si>
  <si>
    <t>DJ</t>
  </si>
  <si>
    <t>DJI</t>
  </si>
  <si>
    <t>262</t>
  </si>
  <si>
    <t>DM</t>
  </si>
  <si>
    <t>DMA</t>
  </si>
  <si>
    <t>212</t>
  </si>
  <si>
    <t>Dominican Republic (the)</t>
  </si>
  <si>
    <t>DO</t>
  </si>
  <si>
    <t>DOM</t>
  </si>
  <si>
    <t>214</t>
  </si>
  <si>
    <t>EC</t>
  </si>
  <si>
    <t>ECU</t>
  </si>
  <si>
    <t>218</t>
  </si>
  <si>
    <t>EG</t>
  </si>
  <si>
    <t>EGY</t>
  </si>
  <si>
    <t>818</t>
  </si>
  <si>
    <t>SV</t>
  </si>
  <si>
    <t>SLV</t>
  </si>
  <si>
    <t>222</t>
  </si>
  <si>
    <t>Equatorial Guinea</t>
  </si>
  <si>
    <t>GQ</t>
  </si>
  <si>
    <t>GNQ</t>
  </si>
  <si>
    <t>226</t>
  </si>
  <si>
    <t>Eritrea</t>
  </si>
  <si>
    <t>ER</t>
  </si>
  <si>
    <t>ERI</t>
  </si>
  <si>
    <t>232</t>
  </si>
  <si>
    <t>EE</t>
  </si>
  <si>
    <t>EST</t>
  </si>
  <si>
    <t>233</t>
  </si>
  <si>
    <t>Eswatini</t>
  </si>
  <si>
    <t>SZ</t>
  </si>
  <si>
    <t>SWZ</t>
  </si>
  <si>
    <t>748</t>
  </si>
  <si>
    <t>ET</t>
  </si>
  <si>
    <t>ETH</t>
  </si>
  <si>
    <t>231</t>
  </si>
  <si>
    <t>Falkland Islands (the) [Malvinas]</t>
  </si>
  <si>
    <t>FK</t>
  </si>
  <si>
    <t>FLK</t>
  </si>
  <si>
    <t>238</t>
  </si>
  <si>
    <t>Faroe Islands (the)</t>
  </si>
  <si>
    <t>FO</t>
  </si>
  <si>
    <t>FRO</t>
  </si>
  <si>
    <t>234</t>
  </si>
  <si>
    <t>FJ</t>
  </si>
  <si>
    <t>FJI</t>
  </si>
  <si>
    <t>242</t>
  </si>
  <si>
    <t>FI</t>
  </si>
  <si>
    <t>FIN</t>
  </si>
  <si>
    <t>246</t>
  </si>
  <si>
    <t>FR</t>
  </si>
  <si>
    <t>FRA</t>
  </si>
  <si>
    <t>250</t>
  </si>
  <si>
    <t>French Guiana</t>
  </si>
  <si>
    <t>GF</t>
  </si>
  <si>
    <t>GUF</t>
  </si>
  <si>
    <t>254</t>
  </si>
  <si>
    <t>PF</t>
  </si>
  <si>
    <t>PYF</t>
  </si>
  <si>
    <t>258</t>
  </si>
  <si>
    <t>French Southern Territories (the)</t>
  </si>
  <si>
    <t>TF</t>
  </si>
  <si>
    <t>ATF</t>
  </si>
  <si>
    <t>260</t>
  </si>
  <si>
    <t>GA</t>
  </si>
  <si>
    <t>GAB</t>
  </si>
  <si>
    <t>266</t>
  </si>
  <si>
    <t>Gambia (the)</t>
  </si>
  <si>
    <t>GM</t>
  </si>
  <si>
    <t>GMB</t>
  </si>
  <si>
    <t>270</t>
  </si>
  <si>
    <t>GE</t>
  </si>
  <si>
    <t>GEO</t>
  </si>
  <si>
    <t>268</t>
  </si>
  <si>
    <t>DE</t>
  </si>
  <si>
    <t>DEU</t>
  </si>
  <si>
    <t>276</t>
  </si>
  <si>
    <t>GH</t>
  </si>
  <si>
    <t>GHA</t>
  </si>
  <si>
    <t>288</t>
  </si>
  <si>
    <t>GI</t>
  </si>
  <si>
    <t>GIB</t>
  </si>
  <si>
    <t>292</t>
  </si>
  <si>
    <t>GR</t>
  </si>
  <si>
    <t>GRC</t>
  </si>
  <si>
    <t>300</t>
  </si>
  <si>
    <t>GL</t>
  </si>
  <si>
    <t>GRL</t>
  </si>
  <si>
    <t>304</t>
  </si>
  <si>
    <t>GD</t>
  </si>
  <si>
    <t>GRD</t>
  </si>
  <si>
    <t>308</t>
  </si>
  <si>
    <t>Guadeloupe</t>
  </si>
  <si>
    <t>GP</t>
  </si>
  <si>
    <t>GLP</t>
  </si>
  <si>
    <t>312</t>
  </si>
  <si>
    <t>Guam</t>
  </si>
  <si>
    <t>GU</t>
  </si>
  <si>
    <t>GUM</t>
  </si>
  <si>
    <t>316</t>
  </si>
  <si>
    <t>GT</t>
  </si>
  <si>
    <t>GTM</t>
  </si>
  <si>
    <t>320</t>
  </si>
  <si>
    <t>Guernsey</t>
  </si>
  <si>
    <t>GG</t>
  </si>
  <si>
    <t>GGY</t>
  </si>
  <si>
    <t>831</t>
  </si>
  <si>
    <t>GN</t>
  </si>
  <si>
    <t>GIN</t>
  </si>
  <si>
    <t>324</t>
  </si>
  <si>
    <t>Guinea-Bissau</t>
  </si>
  <si>
    <t>GW</t>
  </si>
  <si>
    <t>GNB</t>
  </si>
  <si>
    <t>624</t>
  </si>
  <si>
    <t>GY</t>
  </si>
  <si>
    <t>GUY</t>
  </si>
  <si>
    <t>328</t>
  </si>
  <si>
    <t>HT</t>
  </si>
  <si>
    <t>HTI</t>
  </si>
  <si>
    <t>332</t>
  </si>
  <si>
    <t>Heard Island and McDonald Islands</t>
  </si>
  <si>
    <t>HM</t>
  </si>
  <si>
    <t>HMD</t>
  </si>
  <si>
    <t>334</t>
  </si>
  <si>
    <t>Holy See (the)</t>
  </si>
  <si>
    <t>VA</t>
  </si>
  <si>
    <t>VAT</t>
  </si>
  <si>
    <t>336</t>
  </si>
  <si>
    <t>Honduras</t>
  </si>
  <si>
    <t>HN</t>
  </si>
  <si>
    <t>HND</t>
  </si>
  <si>
    <t>340</t>
  </si>
  <si>
    <t>HK</t>
  </si>
  <si>
    <t>HKG</t>
  </si>
  <si>
    <t>344</t>
  </si>
  <si>
    <t>HU</t>
  </si>
  <si>
    <t>HUN</t>
  </si>
  <si>
    <t>348</t>
  </si>
  <si>
    <t>IS</t>
  </si>
  <si>
    <t>ISL</t>
  </si>
  <si>
    <t>352</t>
  </si>
  <si>
    <t>IN</t>
  </si>
  <si>
    <t>IND</t>
  </si>
  <si>
    <t>356</t>
  </si>
  <si>
    <t>ID</t>
  </si>
  <si>
    <t>IDN</t>
  </si>
  <si>
    <t>360</t>
  </si>
  <si>
    <t>Iran (Islamic Republic of)</t>
  </si>
  <si>
    <t>IR</t>
  </si>
  <si>
    <t>IRN</t>
  </si>
  <si>
    <t>364</t>
  </si>
  <si>
    <t>IQ</t>
  </si>
  <si>
    <t>IRQ</t>
  </si>
  <si>
    <t>368</t>
  </si>
  <si>
    <t>IE</t>
  </si>
  <si>
    <t>IRL</t>
  </si>
  <si>
    <t>372</t>
  </si>
  <si>
    <t>Isle of Man</t>
  </si>
  <si>
    <t>IM</t>
  </si>
  <si>
    <t>IMN</t>
  </si>
  <si>
    <t>833</t>
  </si>
  <si>
    <t>IL</t>
  </si>
  <si>
    <t>ISR</t>
  </si>
  <si>
    <t>376</t>
  </si>
  <si>
    <t>IT</t>
  </si>
  <si>
    <t>ITA</t>
  </si>
  <si>
    <t>380</t>
  </si>
  <si>
    <t>JM</t>
  </si>
  <si>
    <t>JAM</t>
  </si>
  <si>
    <t>388</t>
  </si>
  <si>
    <t>JP</t>
  </si>
  <si>
    <t>JPN</t>
  </si>
  <si>
    <t>392</t>
  </si>
  <si>
    <t>Jersey</t>
  </si>
  <si>
    <t>JE</t>
  </si>
  <si>
    <t>JEY</t>
  </si>
  <si>
    <t>832</t>
  </si>
  <si>
    <t>JO</t>
  </si>
  <si>
    <t>JOR</t>
  </si>
  <si>
    <t>400</t>
  </si>
  <si>
    <t>KZ</t>
  </si>
  <si>
    <t>KAZ</t>
  </si>
  <si>
    <t>398</t>
  </si>
  <si>
    <t>KE</t>
  </si>
  <si>
    <t>KEN</t>
  </si>
  <si>
    <t>404</t>
  </si>
  <si>
    <t>Kiribati</t>
  </si>
  <si>
    <t>KI</t>
  </si>
  <si>
    <t>KIR</t>
  </si>
  <si>
    <t>296</t>
  </si>
  <si>
    <t>Korea (the Democratic People's Republic of)</t>
  </si>
  <si>
    <t>KP</t>
  </si>
  <si>
    <t>PRK</t>
  </si>
  <si>
    <t>408</t>
  </si>
  <si>
    <t>Korea (the Republic of)</t>
  </si>
  <si>
    <t>KR</t>
  </si>
  <si>
    <t>KOR</t>
  </si>
  <si>
    <t>410</t>
  </si>
  <si>
    <t>KW</t>
  </si>
  <si>
    <t>KWT</t>
  </si>
  <si>
    <t>414</t>
  </si>
  <si>
    <t>KG</t>
  </si>
  <si>
    <t>KGZ</t>
  </si>
  <si>
    <t>417</t>
  </si>
  <si>
    <t>Lao People's Democratic Republic (the)</t>
  </si>
  <si>
    <t>LA</t>
  </si>
  <si>
    <t>LAO</t>
  </si>
  <si>
    <t>418</t>
  </si>
  <si>
    <t>LV</t>
  </si>
  <si>
    <t>LVA</t>
  </si>
  <si>
    <t>428</t>
  </si>
  <si>
    <t>LB</t>
  </si>
  <si>
    <t>LBN</t>
  </si>
  <si>
    <t>422</t>
  </si>
  <si>
    <t>Lesotho</t>
  </si>
  <si>
    <t>LS</t>
  </si>
  <si>
    <t>LSO</t>
  </si>
  <si>
    <t>426</t>
  </si>
  <si>
    <t>LR</t>
  </si>
  <si>
    <t>LBR</t>
  </si>
  <si>
    <t>430</t>
  </si>
  <si>
    <t>LY</t>
  </si>
  <si>
    <t>LBY</t>
  </si>
  <si>
    <t>434</t>
  </si>
  <si>
    <t>LI</t>
  </si>
  <si>
    <t>LIE</t>
  </si>
  <si>
    <t>438</t>
  </si>
  <si>
    <t>LT</t>
  </si>
  <si>
    <t>LTU</t>
  </si>
  <si>
    <t>440</t>
  </si>
  <si>
    <t>LU</t>
  </si>
  <si>
    <t>LUX</t>
  </si>
  <si>
    <t>442</t>
  </si>
  <si>
    <t>MO</t>
  </si>
  <si>
    <t>MAC</t>
  </si>
  <si>
    <t>446</t>
  </si>
  <si>
    <t>MG</t>
  </si>
  <si>
    <t>MDG</t>
  </si>
  <si>
    <t>450</t>
  </si>
  <si>
    <t>Malawi</t>
  </si>
  <si>
    <t>MW</t>
  </si>
  <si>
    <t>MWI</t>
  </si>
  <si>
    <t>454</t>
  </si>
  <si>
    <t>MY</t>
  </si>
  <si>
    <t>MYS</t>
  </si>
  <si>
    <t>458</t>
  </si>
  <si>
    <t>MV</t>
  </si>
  <si>
    <t>MDV</t>
  </si>
  <si>
    <t>462</t>
  </si>
  <si>
    <t>ML</t>
  </si>
  <si>
    <t>MLI</t>
  </si>
  <si>
    <t>466</t>
  </si>
  <si>
    <t>MT</t>
  </si>
  <si>
    <t>MLT</t>
  </si>
  <si>
    <t>470</t>
  </si>
  <si>
    <t>Marshall Islands (the)</t>
  </si>
  <si>
    <t>MH</t>
  </si>
  <si>
    <t>MHL</t>
  </si>
  <si>
    <t>584</t>
  </si>
  <si>
    <t>Martinique</t>
  </si>
  <si>
    <t>MQ</t>
  </si>
  <si>
    <t>MTQ</t>
  </si>
  <si>
    <t>474</t>
  </si>
  <si>
    <t>MR</t>
  </si>
  <si>
    <t>MRT</t>
  </si>
  <si>
    <t>478</t>
  </si>
  <si>
    <t>MU</t>
  </si>
  <si>
    <t>MUS</t>
  </si>
  <si>
    <t>480</t>
  </si>
  <si>
    <t>Mayotte</t>
  </si>
  <si>
    <t>YT</t>
  </si>
  <si>
    <t>MYT</t>
  </si>
  <si>
    <t>175</t>
  </si>
  <si>
    <t>MX</t>
  </si>
  <si>
    <t>MEX</t>
  </si>
  <si>
    <t>484</t>
  </si>
  <si>
    <t>Micronesia (Federated States of)</t>
  </si>
  <si>
    <t>FM</t>
  </si>
  <si>
    <t>FSM</t>
  </si>
  <si>
    <t>583</t>
  </si>
  <si>
    <t>Moldova (the Republic of)</t>
  </si>
  <si>
    <t>MD</t>
  </si>
  <si>
    <t>MDA</t>
  </si>
  <si>
    <t>498</t>
  </si>
  <si>
    <t>MC</t>
  </si>
  <si>
    <t>MCO</t>
  </si>
  <si>
    <t>492</t>
  </si>
  <si>
    <t>MN</t>
  </si>
  <si>
    <t>MNG</t>
  </si>
  <si>
    <t>496</t>
  </si>
  <si>
    <t>ME</t>
  </si>
  <si>
    <t>MNE</t>
  </si>
  <si>
    <t>499</t>
  </si>
  <si>
    <t>MS</t>
  </si>
  <si>
    <t>MSR</t>
  </si>
  <si>
    <t>500</t>
  </si>
  <si>
    <t>MA</t>
  </si>
  <si>
    <t>MAR</t>
  </si>
  <si>
    <t>504</t>
  </si>
  <si>
    <t>MZ</t>
  </si>
  <si>
    <t>MOZ</t>
  </si>
  <si>
    <t>508</t>
  </si>
  <si>
    <t>Myanmar</t>
  </si>
  <si>
    <t>MM</t>
  </si>
  <si>
    <t>MMR</t>
  </si>
  <si>
    <t>104</t>
  </si>
  <si>
    <t>NA</t>
  </si>
  <si>
    <t>NAM</t>
  </si>
  <si>
    <t>516</t>
  </si>
  <si>
    <t>Nauru</t>
  </si>
  <si>
    <t>NR</t>
  </si>
  <si>
    <t>NRU</t>
  </si>
  <si>
    <t>520</t>
  </si>
  <si>
    <t>NP</t>
  </si>
  <si>
    <t>NPL</t>
  </si>
  <si>
    <t>524</t>
  </si>
  <si>
    <t>Netherlands (the)</t>
  </si>
  <si>
    <t>NL</t>
  </si>
  <si>
    <t>NLD</t>
  </si>
  <si>
    <t>528</t>
  </si>
  <si>
    <t>New Caledonia</t>
  </si>
  <si>
    <t>NC</t>
  </si>
  <si>
    <t>NCL</t>
  </si>
  <si>
    <t>540</t>
  </si>
  <si>
    <t>NZ</t>
  </si>
  <si>
    <t>NZL</t>
  </si>
  <si>
    <t>554</t>
  </si>
  <si>
    <t>NI</t>
  </si>
  <si>
    <t>NIC</t>
  </si>
  <si>
    <t>558</t>
  </si>
  <si>
    <t>Niger (the)</t>
  </si>
  <si>
    <t>NE</t>
  </si>
  <si>
    <t>NER</t>
  </si>
  <si>
    <t>562</t>
  </si>
  <si>
    <t>NG</t>
  </si>
  <si>
    <t>NGA</t>
  </si>
  <si>
    <t>566</t>
  </si>
  <si>
    <t>Niue</t>
  </si>
  <si>
    <t>NU</t>
  </si>
  <si>
    <t>NIU</t>
  </si>
  <si>
    <t>570</t>
  </si>
  <si>
    <t>Norfolk Island</t>
  </si>
  <si>
    <t>NF</t>
  </si>
  <si>
    <t>NFK</t>
  </si>
  <si>
    <t>574</t>
  </si>
  <si>
    <t>Northern Mariana Islands (the)</t>
  </si>
  <si>
    <t>MP</t>
  </si>
  <si>
    <t>MNP</t>
  </si>
  <si>
    <t>580</t>
  </si>
  <si>
    <t>NO</t>
  </si>
  <si>
    <t>NOR</t>
  </si>
  <si>
    <t>578</t>
  </si>
  <si>
    <t>OM</t>
  </si>
  <si>
    <t>OMN</t>
  </si>
  <si>
    <t>512</t>
  </si>
  <si>
    <t>PK</t>
  </si>
  <si>
    <t>PAK</t>
  </si>
  <si>
    <t>586</t>
  </si>
  <si>
    <t>PW</t>
  </si>
  <si>
    <t>PLW</t>
  </si>
  <si>
    <t>585</t>
  </si>
  <si>
    <t>Palestine, State of</t>
  </si>
  <si>
    <t>PS</t>
  </si>
  <si>
    <t>PSE</t>
  </si>
  <si>
    <t>275</t>
  </si>
  <si>
    <t>PA</t>
  </si>
  <si>
    <t>PAN</t>
  </si>
  <si>
    <t>591</t>
  </si>
  <si>
    <t>PG</t>
  </si>
  <si>
    <t>PNG</t>
  </si>
  <si>
    <t>598</t>
  </si>
  <si>
    <t>PY</t>
  </si>
  <si>
    <t>PRY</t>
  </si>
  <si>
    <t>600</t>
  </si>
  <si>
    <t>PE</t>
  </si>
  <si>
    <t>PER</t>
  </si>
  <si>
    <t>604</t>
  </si>
  <si>
    <t>Philippines (the)</t>
  </si>
  <si>
    <t>PH</t>
  </si>
  <si>
    <t>PHL</t>
  </si>
  <si>
    <t>608</t>
  </si>
  <si>
    <t>Pitcairn</t>
  </si>
  <si>
    <t>PN</t>
  </si>
  <si>
    <t>PCN</t>
  </si>
  <si>
    <t>612</t>
  </si>
  <si>
    <t>PL</t>
  </si>
  <si>
    <t>POL</t>
  </si>
  <si>
    <t>616</t>
  </si>
  <si>
    <t>PT</t>
  </si>
  <si>
    <t>PRT</t>
  </si>
  <si>
    <t>620</t>
  </si>
  <si>
    <t>PR</t>
  </si>
  <si>
    <t>PRI</t>
  </si>
  <si>
    <t>630</t>
  </si>
  <si>
    <t>QA</t>
  </si>
  <si>
    <t>QAT</t>
  </si>
  <si>
    <t>634</t>
  </si>
  <si>
    <t>Republic of North Macedonia</t>
  </si>
  <si>
    <t>MK</t>
  </si>
  <si>
    <t>MKD</t>
  </si>
  <si>
    <t>807</t>
  </si>
  <si>
    <t>RO</t>
  </si>
  <si>
    <t>ROU</t>
  </si>
  <si>
    <t>642</t>
  </si>
  <si>
    <t>Russian Federation (the)</t>
  </si>
  <si>
    <t>RU</t>
  </si>
  <si>
    <t>RUS</t>
  </si>
  <si>
    <t>643</t>
  </si>
  <si>
    <t>RW</t>
  </si>
  <si>
    <t>RWA</t>
  </si>
  <si>
    <t>646</t>
  </si>
  <si>
    <t>Réunion</t>
  </si>
  <si>
    <t>RE</t>
  </si>
  <si>
    <t>REU</t>
  </si>
  <si>
    <t>638</t>
  </si>
  <si>
    <t>Saint Barthélemy</t>
  </si>
  <si>
    <t>BL</t>
  </si>
  <si>
    <t>BLM</t>
  </si>
  <si>
    <t>652</t>
  </si>
  <si>
    <t>Saint Helena, Ascension and Tristan da Cunha</t>
  </si>
  <si>
    <t>SH</t>
  </si>
  <si>
    <t>SHN</t>
  </si>
  <si>
    <t>654</t>
  </si>
  <si>
    <t>KN</t>
  </si>
  <si>
    <t>KNA</t>
  </si>
  <si>
    <t>659</t>
  </si>
  <si>
    <t>LC</t>
  </si>
  <si>
    <t>LCA</t>
  </si>
  <si>
    <t>662</t>
  </si>
  <si>
    <t>Saint Martin (French part)</t>
  </si>
  <si>
    <t>MF</t>
  </si>
  <si>
    <t>MAF</t>
  </si>
  <si>
    <t>663</t>
  </si>
  <si>
    <t>Saint Pierre and Miquelon</t>
  </si>
  <si>
    <t>PM</t>
  </si>
  <si>
    <t>SPM</t>
  </si>
  <si>
    <t>666</t>
  </si>
  <si>
    <t>VC</t>
  </si>
  <si>
    <t>VCT</t>
  </si>
  <si>
    <t>670</t>
  </si>
  <si>
    <t>WS</t>
  </si>
  <si>
    <t>WSM</t>
  </si>
  <si>
    <t>882</t>
  </si>
  <si>
    <t>San Marino</t>
  </si>
  <si>
    <t>SM</t>
  </si>
  <si>
    <t>SMR</t>
  </si>
  <si>
    <t>674</t>
  </si>
  <si>
    <t>ST</t>
  </si>
  <si>
    <t>STP</t>
  </si>
  <si>
    <t>678</t>
  </si>
  <si>
    <t>SA</t>
  </si>
  <si>
    <t>SAU</t>
  </si>
  <si>
    <t>682</t>
  </si>
  <si>
    <t>SN</t>
  </si>
  <si>
    <t>SEN</t>
  </si>
  <si>
    <t>686</t>
  </si>
  <si>
    <t>RS</t>
  </si>
  <si>
    <t>SRB</t>
  </si>
  <si>
    <t>688</t>
  </si>
  <si>
    <t>SC</t>
  </si>
  <si>
    <t>SYC</t>
  </si>
  <si>
    <t>690</t>
  </si>
  <si>
    <t>Sierra Leone</t>
  </si>
  <si>
    <t>SL</t>
  </si>
  <si>
    <t>SLE</t>
  </si>
  <si>
    <t>694</t>
  </si>
  <si>
    <t>SG</t>
  </si>
  <si>
    <t>SGP</t>
  </si>
  <si>
    <t>702</t>
  </si>
  <si>
    <t>Sint Maarten (Dutch part)</t>
  </si>
  <si>
    <t>SX</t>
  </si>
  <si>
    <t>SXM</t>
  </si>
  <si>
    <t>534</t>
  </si>
  <si>
    <t>Slovakia</t>
  </si>
  <si>
    <t>SK</t>
  </si>
  <si>
    <t>SVK</t>
  </si>
  <si>
    <t>703</t>
  </si>
  <si>
    <t>SI</t>
  </si>
  <si>
    <t>SVN</t>
  </si>
  <si>
    <t>705</t>
  </si>
  <si>
    <t>Solomon Islands</t>
  </si>
  <si>
    <t>SB</t>
  </si>
  <si>
    <t>SLB</t>
  </si>
  <si>
    <t>090</t>
  </si>
  <si>
    <t>Somalia</t>
  </si>
  <si>
    <t>SO</t>
  </si>
  <si>
    <t>SOM</t>
  </si>
  <si>
    <t>706</t>
  </si>
  <si>
    <t>ZA</t>
  </si>
  <si>
    <t>ZAF</t>
  </si>
  <si>
    <t>710</t>
  </si>
  <si>
    <t>South Georgia and the South Sandwich Islands</t>
  </si>
  <si>
    <t>GS</t>
  </si>
  <si>
    <t>SGS</t>
  </si>
  <si>
    <t>239</t>
  </si>
  <si>
    <t>South Sudan</t>
  </si>
  <si>
    <t>SS</t>
  </si>
  <si>
    <t>SSD</t>
  </si>
  <si>
    <t>728</t>
  </si>
  <si>
    <t>ES</t>
  </si>
  <si>
    <t>ESP</t>
  </si>
  <si>
    <t>724</t>
  </si>
  <si>
    <t>LK</t>
  </si>
  <si>
    <t>LKA</t>
  </si>
  <si>
    <t>144</t>
  </si>
  <si>
    <t>Sudan (the)</t>
  </si>
  <si>
    <t>SD</t>
  </si>
  <si>
    <t>SDN</t>
  </si>
  <si>
    <t>729</t>
  </si>
  <si>
    <t>Suriname</t>
  </si>
  <si>
    <t>SR</t>
  </si>
  <si>
    <t>SUR</t>
  </si>
  <si>
    <t>740</t>
  </si>
  <si>
    <t>Svalbard and Jan Mayen</t>
  </si>
  <si>
    <t>SJ</t>
  </si>
  <si>
    <t>SJM</t>
  </si>
  <si>
    <t>744</t>
  </si>
  <si>
    <t>SE</t>
  </si>
  <si>
    <t>SWE</t>
  </si>
  <si>
    <t>752</t>
  </si>
  <si>
    <t>CH</t>
  </si>
  <si>
    <t>CHE</t>
  </si>
  <si>
    <t>756</t>
  </si>
  <si>
    <t>Syrian Arab Republic</t>
  </si>
  <si>
    <t>SY</t>
  </si>
  <si>
    <t>SYR</t>
  </si>
  <si>
    <t>760</t>
  </si>
  <si>
    <t>Taiwan (Province of China)</t>
  </si>
  <si>
    <t>TW</t>
  </si>
  <si>
    <t>TWN</t>
  </si>
  <si>
    <t>158</t>
  </si>
  <si>
    <t>TJ</t>
  </si>
  <si>
    <t>TJK</t>
  </si>
  <si>
    <t>762</t>
  </si>
  <si>
    <t>Tanzania, United Republic of</t>
  </si>
  <si>
    <t>TZ</t>
  </si>
  <si>
    <t>TZA</t>
  </si>
  <si>
    <t>834</t>
  </si>
  <si>
    <t>TH</t>
  </si>
  <si>
    <t>THA</t>
  </si>
  <si>
    <t>764</t>
  </si>
  <si>
    <t>Timor-Leste</t>
  </si>
  <si>
    <t>TL</t>
  </si>
  <si>
    <t>TLS</t>
  </si>
  <si>
    <t>626</t>
  </si>
  <si>
    <t>Togo</t>
  </si>
  <si>
    <t>TG</t>
  </si>
  <si>
    <t>TGO</t>
  </si>
  <si>
    <t>768</t>
  </si>
  <si>
    <t>Tokelau</t>
  </si>
  <si>
    <t>TK</t>
  </si>
  <si>
    <t>TKL</t>
  </si>
  <si>
    <t>772</t>
  </si>
  <si>
    <t>Tonga</t>
  </si>
  <si>
    <t>TO</t>
  </si>
  <si>
    <t>TON</t>
  </si>
  <si>
    <t>776</t>
  </si>
  <si>
    <t>Trinidad and Tobago</t>
  </si>
  <si>
    <t>TT</t>
  </si>
  <si>
    <t>TTO</t>
  </si>
  <si>
    <t>780</t>
  </si>
  <si>
    <t>TN</t>
  </si>
  <si>
    <t>TUN</t>
  </si>
  <si>
    <t>788</t>
  </si>
  <si>
    <t>TR</t>
  </si>
  <si>
    <t>TUR</t>
  </si>
  <si>
    <t>792</t>
  </si>
  <si>
    <t>Turkmenistan</t>
  </si>
  <si>
    <t>TM</t>
  </si>
  <si>
    <t>TKM</t>
  </si>
  <si>
    <t>795</t>
  </si>
  <si>
    <t>Turks and Caicos Islands (the)</t>
  </si>
  <si>
    <t>TC</t>
  </si>
  <si>
    <t>TCA</t>
  </si>
  <si>
    <t>796</t>
  </si>
  <si>
    <t>Tuvalu</t>
  </si>
  <si>
    <t>TV</t>
  </si>
  <si>
    <t>TUV</t>
  </si>
  <si>
    <t>798</t>
  </si>
  <si>
    <t>UG</t>
  </si>
  <si>
    <t>UGA</t>
  </si>
  <si>
    <t>800</t>
  </si>
  <si>
    <t>UA</t>
  </si>
  <si>
    <t>UKR</t>
  </si>
  <si>
    <t>804</t>
  </si>
  <si>
    <t>United Arab Emirates (the)</t>
  </si>
  <si>
    <t>AE</t>
  </si>
  <si>
    <t>ARE</t>
  </si>
  <si>
    <t>784</t>
  </si>
  <si>
    <t>United Kingdom of Great Britain and Northern Ireland (the)</t>
  </si>
  <si>
    <t>GB</t>
  </si>
  <si>
    <t>GBR</t>
  </si>
  <si>
    <t>826</t>
  </si>
  <si>
    <t>United States Minor Outlying Islands (the)</t>
  </si>
  <si>
    <t>UM</t>
  </si>
  <si>
    <t>UMI</t>
  </si>
  <si>
    <t>581</t>
  </si>
  <si>
    <t>United States of America (the)</t>
  </si>
  <si>
    <t>US</t>
  </si>
  <si>
    <t>840</t>
  </si>
  <si>
    <t>UY</t>
  </si>
  <si>
    <t>URY</t>
  </si>
  <si>
    <t>858</t>
  </si>
  <si>
    <t>UZ</t>
  </si>
  <si>
    <t>UZB</t>
  </si>
  <si>
    <t>860</t>
  </si>
  <si>
    <t>Vanuatu</t>
  </si>
  <si>
    <t>VU</t>
  </si>
  <si>
    <t>VUT</t>
  </si>
  <si>
    <t>548</t>
  </si>
  <si>
    <t>Venezuela (Bolivarian Republic of)</t>
  </si>
  <si>
    <t>VE</t>
  </si>
  <si>
    <t>VEN</t>
  </si>
  <si>
    <t>862</t>
  </si>
  <si>
    <t>Viet Nam</t>
  </si>
  <si>
    <t>VN</t>
  </si>
  <si>
    <t>VNM</t>
  </si>
  <si>
    <t>704</t>
  </si>
  <si>
    <t>Virgin Islands (British)</t>
  </si>
  <si>
    <t>VG</t>
  </si>
  <si>
    <t>VGB</t>
  </si>
  <si>
    <t>092</t>
  </si>
  <si>
    <t>Virgin Islands (U.S.)</t>
  </si>
  <si>
    <t>VI</t>
  </si>
  <si>
    <t>VIR</t>
  </si>
  <si>
    <t>850</t>
  </si>
  <si>
    <t>Wallis and Futuna</t>
  </si>
  <si>
    <t>WF</t>
  </si>
  <si>
    <t>WLF</t>
  </si>
  <si>
    <t>876</t>
  </si>
  <si>
    <t>Western Sahara</t>
  </si>
  <si>
    <t>EH</t>
  </si>
  <si>
    <t>ESH</t>
  </si>
  <si>
    <t>732</t>
  </si>
  <si>
    <t>Yemen</t>
  </si>
  <si>
    <t>YE</t>
  </si>
  <si>
    <t>YEM</t>
  </si>
  <si>
    <t>887</t>
  </si>
  <si>
    <t>Zambia</t>
  </si>
  <si>
    <t>ZM</t>
  </si>
  <si>
    <t>ZMB</t>
  </si>
  <si>
    <t>894</t>
  </si>
  <si>
    <t>ZW</t>
  </si>
  <si>
    <t>ZWE</t>
  </si>
  <si>
    <t>716</t>
  </si>
  <si>
    <t>Åland Islands</t>
  </si>
  <si>
    <t>AX</t>
  </si>
  <si>
    <t>ALA</t>
  </si>
  <si>
    <t>248</t>
  </si>
  <si>
    <t>XK</t>
  </si>
  <si>
    <t>XKX</t>
  </si>
  <si>
    <t>Grand Total</t>
  </si>
  <si>
    <t>Min of Min</t>
  </si>
  <si>
    <t>AA</t>
  </si>
  <si>
    <t>Region</t>
  </si>
  <si>
    <t>Iberia</t>
  </si>
  <si>
    <t>Benelux</t>
  </si>
  <si>
    <t>Scandinavia</t>
  </si>
  <si>
    <t>no</t>
  </si>
  <si>
    <t>North-Baltic</t>
  </si>
  <si>
    <t>Baltic</t>
  </si>
  <si>
    <t>Hellenic</t>
  </si>
  <si>
    <t>Dacothrace</t>
  </si>
  <si>
    <t>Alpe-Adria</t>
  </si>
  <si>
    <t>ItalMalta</t>
  </si>
  <si>
    <t>BoPolia</t>
  </si>
  <si>
    <t>Pannonia</t>
  </si>
  <si>
    <t>RegionISO3</t>
  </si>
  <si>
    <t>CountriesISO3</t>
  </si>
  <si>
    <t>Cost1</t>
  </si>
  <si>
    <t>Cost2</t>
  </si>
  <si>
    <t>Cost3</t>
  </si>
  <si>
    <t>STDV</t>
  </si>
  <si>
    <t>Country1</t>
  </si>
  <si>
    <t>Country2</t>
  </si>
  <si>
    <t>Country3</t>
  </si>
  <si>
    <t>Range</t>
  </si>
  <si>
    <t>CV Coefficient of Variation</t>
  </si>
  <si>
    <t>Fran-Suisse</t>
  </si>
  <si>
    <t>Ger-Vad</t>
  </si>
  <si>
    <t>Hyperborea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</si>
</sst>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0_-;\-* #,##0.00000_-;_-* &quot;-&quot;??_-;_-@_-"/>
    <numFmt numFmtId="165" formatCode="0.00000"/>
    <numFmt numFmtId="166" formatCode="0.0%"/>
  </numFmts>
  <fonts count="4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NumberFormat="1" applyFont="1"/>
    <xf numFmtId="43" fontId="0" fillId="2" borderId="0" xfId="1" applyFont="1" applyFill="1"/>
    <xf numFmtId="43" fontId="0" fillId="0" borderId="0" xfId="1" applyFont="1"/>
    <xf numFmtId="49" fontId="2" fillId="0" borderId="0" xfId="2" applyNumberFormat="1"/>
    <xf numFmtId="0" fontId="2" fillId="0" borderId="0" xfId="2"/>
    <xf numFmtId="0" fontId="0" fillId="0" borderId="0" xfId="0" pivotButton="1"/>
    <xf numFmtId="43" fontId="0" fillId="0" borderId="0" xfId="0" applyNumberFormat="1"/>
    <xf numFmtId="0" fontId="0" fillId="0" borderId="0" xfId="0" quotePrefix="1"/>
    <xf numFmtId="0" fontId="0" fillId="3" borderId="0" xfId="0" applyFill="1"/>
    <xf numFmtId="0" fontId="0" fillId="0" borderId="1" xfId="0" applyBorder="1"/>
    <xf numFmtId="0" fontId="0" fillId="4" borderId="1" xfId="0" applyFill="1" applyBorder="1"/>
    <xf numFmtId="165" fontId="0" fillId="0" borderId="1" xfId="0" applyNumberFormat="1" applyBorder="1"/>
    <xf numFmtId="166" fontId="0" fillId="0" borderId="1" xfId="3" applyNumberFormat="1" applyFont="1" applyBorder="1"/>
    <xf numFmtId="2" fontId="0" fillId="0" borderId="1" xfId="3" applyNumberFormat="1" applyFont="1" applyBorder="1"/>
    <xf numFmtId="0" fontId="0" fillId="3" borderId="1" xfId="0" applyFill="1" applyBorder="1"/>
  </cellXfs>
  <cellStyles count="4">
    <cellStyle name="Comma" xfId="1" builtinId="3"/>
    <cellStyle name="Normal" xfId="0" builtinId="0"/>
    <cellStyle name="Normal 2" xfId="2" xr:uid="{8F49D95F-67A9-4DBD-BEF9-3F474E1C9E10}"/>
    <cellStyle name="Percent" xfId="3" builtinId="5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minik Cvetko" refreshedDate="46120.396984722225" createdVersion="8" refreshedVersion="8" minRefreshableVersion="3" recordCount="418" xr:uid="{5EA5DEA9-2B27-4F57-8402-A6F597DA5069}">
  <cacheSource type="worksheet">
    <worksheetSource ref="A1:J419" sheet="Query result"/>
  </cacheSource>
  <cacheFields count="10">
    <cacheField name="service" numFmtId="0">
      <sharedItems/>
    </cacheField>
    <cacheField name="direction" numFmtId="0">
      <sharedItems/>
    </cacheField>
    <cacheField name="operator_name" numFmtId="0">
      <sharedItems/>
    </cacheField>
    <cacheField name="country" numFmtId="0">
      <sharedItems count="178">
        <s v="Aerospace"/>
        <s v="Afghanistan"/>
        <s v="Albania"/>
        <s v="Algeri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nin"/>
        <s v="Bermuda"/>
        <s v="Bolivia"/>
        <s v="Bosnia and Herzegovina"/>
        <s v="Botswana"/>
        <s v="Brazil"/>
        <s v="British Virgin Islands"/>
        <s v="Bulgaria"/>
        <s v="Burkina Faso"/>
        <s v="Cambodia"/>
        <s v="Cameroon"/>
        <s v="Canada"/>
        <s v="Cape Verde"/>
        <s v="Cayman Islands"/>
        <s v="Chad"/>
        <s v="Channel Islands"/>
        <s v="Chile"/>
        <s v="China"/>
        <s v="Colombia"/>
        <s v="Congo Kinshasa"/>
        <s v="Costa Rica"/>
        <s v="Croatia"/>
        <s v="Cuba"/>
        <s v="Cyprus"/>
        <s v="Czech Republic"/>
        <s v="Denmark"/>
        <s v="Dominica"/>
        <s v="Dominican Republic"/>
        <s v="East Timor"/>
        <s v="Ecuador"/>
        <s v="Egypt"/>
        <s v="El Salvador"/>
        <s v="Estonia"/>
        <s v="Ethiopia"/>
        <s v="Faroe Islands"/>
        <s v="Fiji"/>
        <s v="Finland"/>
        <s v="France"/>
        <s v="French Polynesia"/>
        <s v="French West Indies"/>
        <s v="Gabon"/>
        <s v="Gambia"/>
        <s v="Georgia"/>
        <s v="Germany"/>
        <s v="Ghana"/>
        <s v="Gibraltar"/>
        <s v="Greece"/>
        <s v="Greenland"/>
        <s v="Grenada"/>
        <s v="Guatemala"/>
        <s v="Guinea"/>
        <s v="Guyana"/>
        <s v="Haiti"/>
        <s v="Hong Kong"/>
        <s v="Hungary"/>
        <s v="Iceland"/>
        <s v="India"/>
        <s v="Indonesia"/>
        <s v="Iran"/>
        <s v="Iraq"/>
        <s v="Ireland"/>
        <s v="Israel"/>
        <s v="Italy"/>
        <s v="Ivory Coast"/>
        <s v="Jamaica"/>
        <s v="Japan"/>
        <s v="Jordan"/>
        <s v="Kazakhstan"/>
        <s v="Kenya"/>
        <s v="Kosovo"/>
        <s v="Kuwait"/>
        <s v="Kyrgyzstan"/>
        <s v="Laos"/>
        <s v="Latvia"/>
        <s v="Lebanon"/>
        <s v="Liberia"/>
        <s v="Libya"/>
        <s v="Liechtenstein"/>
        <s v="Lithuania"/>
        <s v="Luxembourg"/>
        <s v="Macao"/>
        <s v="Madagascar"/>
        <s v="Malaysia"/>
        <s v="Maldives"/>
        <s v="Mali"/>
        <s v="Malta"/>
        <s v="Maritime"/>
        <s v="Mauritania"/>
        <s v="Mauritius"/>
        <s v="Mexico"/>
        <s v="Moldova"/>
        <s v="Monaco"/>
        <s v="Mongolia"/>
        <s v="Montenegro"/>
        <s v="Montserrat"/>
        <s v="Morocco"/>
        <s v="Mozambique"/>
        <s v="Namibia"/>
        <s v="Nepal"/>
        <s v="Netherlands"/>
        <s v="Netherlands Antilles"/>
        <s v="New Zealand"/>
        <s v="Nicaragua"/>
        <s v="Nigeria"/>
        <s v="North Macedonia"/>
        <s v="Norway"/>
        <s v="Oman"/>
        <s v="Pakistan"/>
        <s v="Palau"/>
        <s v="Palestine"/>
        <s v="Panama"/>
        <s v="Papua New Guinea"/>
        <s v="Paraguay"/>
        <s v="Peru"/>
        <s v="Philippines"/>
        <s v="Poland"/>
        <s v="Portugal"/>
        <s v="Puerto Rico"/>
        <s v="Qatar"/>
        <s v="Reunion"/>
        <s v="Romania"/>
        <s v="Russia"/>
        <s v="Rwanda"/>
        <s v="Saint Kitts and Nevis"/>
        <s v="Saint Lucia"/>
        <s v="Saint Vincent and the Grenadines"/>
        <s v="Samoa"/>
        <s v="Sao Tome and Principe"/>
        <s v="Saudi Arabia"/>
        <s v="Senegal"/>
        <s v="Serbia"/>
        <s v="Seychelles"/>
        <s v="Singapore"/>
        <s v="Slovak Republic"/>
        <s v="Slovenia"/>
        <s v="South Africa"/>
        <s v="South Korea"/>
        <s v="Spain"/>
        <s v="Sri Lanka"/>
        <s v="Sweden"/>
        <s v="Switzerland"/>
        <s v="Taiwan"/>
        <s v="Tajikistan"/>
        <s v="Tanzania"/>
        <s v="Thailand"/>
        <s v="Tunisia"/>
        <s v="Turkey"/>
        <s v="Turks and Caicos Islands"/>
        <s v="UAE"/>
        <s v="Uganda"/>
        <s v="UK"/>
        <s v="Ukraine"/>
        <s v="Uruguay"/>
        <s v="USA"/>
        <s v="Uzbekistan"/>
        <s v="Venezuela"/>
        <s v="Vietnam"/>
        <s v="Zimbabwe"/>
      </sharedItems>
    </cacheField>
    <cacheField name="dIOT (MB)" numFmtId="164">
      <sharedItems containsString="0" containsBlank="1" containsNumber="1" minValue="9.7999999999999997E-5" maxValue="2.3408509999999998"/>
    </cacheField>
    <cacheField name="dIOT (GB)" numFmtId="43">
      <sharedItems containsSemiMixedTypes="0" containsString="0" containsNumber="1" minValue="0" maxValue="2397.0314239999998"/>
    </cacheField>
    <cacheField name="Min" numFmtId="43">
      <sharedItems containsSemiMixedTypes="0" containsString="0" containsNumber="1" minValue="0" maxValue="603.65004799999997"/>
    </cacheField>
    <cacheField name="ISO_Code_A3" numFmtId="0">
      <sharedItems count="182">
        <s v="AAA"/>
        <s v="AFG"/>
        <s v="ALB"/>
        <s v="DZA"/>
        <s v="AND"/>
        <s v="AGO"/>
        <s v="AIA"/>
        <s v="ATG"/>
        <s v="ARG"/>
        <s v="ARM"/>
        <s v="ABW"/>
        <s v="AUS"/>
        <s v="AUT"/>
        <s v="AZE"/>
        <s v="BHS"/>
        <s v="BHR"/>
        <s v="BGD"/>
        <s v="BRB"/>
        <s v="BLR"/>
        <s v="BEL"/>
        <s v="BEN"/>
        <s v="BMU"/>
        <s v="BOL"/>
        <s v="BIH"/>
        <s v="BWA"/>
        <s v="BRA"/>
        <s v="VGB"/>
        <s v="BGR"/>
        <s v="BFA"/>
        <s v="KHM"/>
        <s v="CMR"/>
        <s v="CAN"/>
        <s v="CPV"/>
        <s v="CYM"/>
        <s v="TCD"/>
        <s v="GGY"/>
        <s v="JEY"/>
        <s v="IMN"/>
        <s v="CHL"/>
        <s v="CHN"/>
        <s v="COL"/>
        <s v="COD"/>
        <s v="CRI"/>
        <s v="HRV"/>
        <s v="CUB"/>
        <s v="CYP"/>
        <s v="CZE"/>
        <s v="DNK"/>
        <s v="DMA"/>
        <s v="DOM"/>
        <s v="TLS"/>
        <s v="ECU"/>
        <s v="EGY"/>
        <s v="SLV"/>
        <s v="EST"/>
        <s v="ETH"/>
        <s v="FRO"/>
        <s v="FJI"/>
        <s v="FIN"/>
        <s v="FRA"/>
        <s v="PYF"/>
        <s v="GLP"/>
        <s v="GAB"/>
        <s v="GMB"/>
        <s v="GEO"/>
        <s v="DEU"/>
        <s v="GHA"/>
        <s v="GIB"/>
        <s v="GRC"/>
        <s v="GRL"/>
        <s v="GRD"/>
        <s v="GTM"/>
        <s v="GIN"/>
        <s v="GUY"/>
        <s v="HTI"/>
        <s v="HKG"/>
        <s v="HUN"/>
        <s v="ISL"/>
        <s v="IND"/>
        <s v="IDN"/>
        <s v="IRN"/>
        <s v="IRQ"/>
        <s v="IRL"/>
        <s v="ISR"/>
        <s v="ITA"/>
        <s v="CIV"/>
        <s v="JAM"/>
        <s v="JPN"/>
        <s v="JOR"/>
        <s v="KAZ"/>
        <s v="KEN"/>
        <s v="XKX"/>
        <s v="KWT"/>
        <s v="KGZ"/>
        <s v="LAO"/>
        <s v="LVA"/>
        <s v="LBN"/>
        <s v="LBR"/>
        <s v="LBY"/>
        <s v="LIE"/>
        <s v="LTU"/>
        <s v="LUX"/>
        <s v="MAC"/>
        <s v="MDG"/>
        <s v="MYS"/>
        <s v="MDV"/>
        <s v="MLI"/>
        <s v="MLT"/>
        <s v="AAM"/>
        <s v="MRT"/>
        <s v="MUS"/>
        <s v="MEX"/>
        <s v="MDA"/>
        <s v="MCO"/>
        <s v="MNG"/>
        <s v="MNE"/>
        <s v="MSR"/>
        <s v="MAR"/>
        <s v="MOZ"/>
        <s v="NAM"/>
        <s v="NPL"/>
        <s v="NLD"/>
        <s v="BES"/>
        <s v="NZL"/>
        <s v="NIC"/>
        <s v="NGA"/>
        <s v="MKD"/>
        <s v="NOR"/>
        <s v="OMN"/>
        <s v="PAK"/>
        <s v="PLW"/>
        <s v="PSE"/>
        <s v="PAN"/>
        <s v="PNG"/>
        <s v="PRY"/>
        <s v="PER"/>
        <s v="PHL"/>
        <s v="POL"/>
        <s v="PRT"/>
        <s v="PRI"/>
        <s v="QAT"/>
        <s v="REU"/>
        <s v="ROU"/>
        <s v="RUS"/>
        <s v="RWA"/>
        <s v="KNA"/>
        <s v="LCA"/>
        <s v="VCT"/>
        <s v="WSM"/>
        <s v="STP"/>
        <s v="SAU"/>
        <s v="SEN"/>
        <s v="SRB"/>
        <s v="SYC"/>
        <s v="SGP"/>
        <s v="SVK"/>
        <s v="SVN"/>
        <s v="ZAF"/>
        <s v="KOR"/>
        <s v="ESP"/>
        <s v="LKA"/>
        <s v="SWE"/>
        <s v="CHE"/>
        <s v="TWN"/>
        <s v="TJK"/>
        <s v="TZA"/>
        <s v="THA"/>
        <s v="TUN"/>
        <s v="TUR"/>
        <s v="TCA"/>
        <s v="ARE"/>
        <s v="UGA"/>
        <s v="GBR"/>
        <s v="UKR"/>
        <s v="URY"/>
        <s v="USA"/>
        <s v="UZB"/>
        <s v="VEN"/>
        <s v="VNM"/>
        <s v="ZWE"/>
        <s v="ROM" u="1"/>
        <s v="ANT" u="1"/>
      </sharedItems>
    </cacheField>
    <cacheField name="ISO_Code_A2" numFmtId="0">
      <sharedItems count="180">
        <s v="AA"/>
        <s v="AF"/>
        <s v="AL"/>
        <s v="DZ"/>
        <s v="AD"/>
        <s v="AO"/>
        <s v="AI"/>
        <s v="AG"/>
        <s v="AR"/>
        <s v="AM"/>
        <s v="AW"/>
        <s v="AU"/>
        <s v="AT"/>
        <s v="AZ"/>
        <s v="BS"/>
        <s v="BH"/>
        <s v="BD"/>
        <s v="BB"/>
        <s v="BY"/>
        <s v="BE"/>
        <s v="BJ"/>
        <s v="BM"/>
        <s v="BO"/>
        <s v="BA"/>
        <s v="BW"/>
        <s v="BR"/>
        <s v="VG"/>
        <s v="BG"/>
        <s v="BF"/>
        <s v="KH"/>
        <s v="CM"/>
        <s v="CA"/>
        <s v="CV"/>
        <s v="KY"/>
        <s v="TD"/>
        <s v="GG"/>
        <s v="JE"/>
        <s v="IM"/>
        <s v="CL"/>
        <s v="CN"/>
        <s v="CO"/>
        <s v="CD"/>
        <s v="CR"/>
        <s v="HR"/>
        <s v="CU"/>
        <s v="CY"/>
        <s v="CZ"/>
        <s v="DK"/>
        <s v="DM"/>
        <s v="DO"/>
        <s v="TL"/>
        <s v="EC"/>
        <s v="EG"/>
        <s v="SV"/>
        <s v="EE"/>
        <s v="ET"/>
        <s v="FO"/>
        <s v="FJ"/>
        <s v="FI"/>
        <s v="FR"/>
        <s v="PF"/>
        <s v="GP"/>
        <s v="GA"/>
        <s v="GM"/>
        <s v="GE"/>
        <s v="DE"/>
        <s v="GH"/>
        <s v="GI"/>
        <s v="GR"/>
        <s v="GL"/>
        <s v="GD"/>
        <s v="GT"/>
        <s v="GN"/>
        <s v="GY"/>
        <s v="HT"/>
        <s v="HK"/>
        <s v="HU"/>
        <s v="IS"/>
        <s v="IN"/>
        <s v="ID"/>
        <s v="IR"/>
        <s v="IQ"/>
        <s v="IE"/>
        <s v="IL"/>
        <s v="IT"/>
        <s v="CI"/>
        <s v="JM"/>
        <s v="JP"/>
        <s v="JO"/>
        <s v="KZ"/>
        <s v="KE"/>
        <s v="XK"/>
        <s v="KW"/>
        <s v="KG"/>
        <s v="LA"/>
        <s v="LV"/>
        <s v="LB"/>
        <s v="LR"/>
        <s v="LY"/>
        <s v="LI"/>
        <s v="LT"/>
        <s v="LU"/>
        <s v="MO"/>
        <s v="MG"/>
        <s v="MY"/>
        <s v="MV"/>
        <s v="ML"/>
        <s v="MT"/>
        <s v="MR"/>
        <s v="MU"/>
        <s v="MX"/>
        <s v="MD"/>
        <s v="MC"/>
        <s v="MN"/>
        <s v="ME"/>
        <s v="MS"/>
        <s v="MA"/>
        <s v="MZ"/>
        <s v="NA"/>
        <s v="NP"/>
        <s v="NL"/>
        <s v="BQ"/>
        <s v="NZ"/>
        <s v="NI"/>
        <s v="NG"/>
        <s v="MK"/>
        <s v="NO"/>
        <s v="OM"/>
        <s v="PK"/>
        <s v="PW"/>
        <s v="PS"/>
        <s v="PA"/>
        <s v="PG"/>
        <s v="PY"/>
        <s v="PE"/>
        <s v="PH"/>
        <s v="PL"/>
        <s v="PT"/>
        <s v="PR"/>
        <s v="QA"/>
        <s v="RE"/>
        <s v="RO"/>
        <s v="RU"/>
        <s v="RW"/>
        <s v="KN"/>
        <s v="LC"/>
        <s v="VC"/>
        <s v="WS"/>
        <s v="ST"/>
        <s v="SA"/>
        <s v="SN"/>
        <s v="RS"/>
        <s v="SC"/>
        <s v="SG"/>
        <s v="SK"/>
        <s v="SI"/>
        <s v="ZA"/>
        <s v="KR"/>
        <s v="ES"/>
        <s v="LK"/>
        <s v="SE"/>
        <s v="CH"/>
        <s v="TW"/>
        <s v="TJ"/>
        <s v="TZ"/>
        <s v="TH"/>
        <s v="TN"/>
        <s v="TR"/>
        <s v="TC"/>
        <s v="AE"/>
        <s v="UG"/>
        <s v="GB"/>
        <s v="UA"/>
        <s v="UY"/>
        <s v="US"/>
        <s v="UZ"/>
        <s v="VE"/>
        <s v="VN"/>
        <s v="ZW"/>
        <s v="N/A" u="1"/>
      </sharedItems>
    </cacheField>
    <cacheField name="ISO_Code_Numeric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">
  <r>
    <s v="PSD"/>
    <s v="Outbound"/>
    <s v="AeroMobile (AAA)"/>
    <x v="0"/>
    <n v="0.58950199999999997"/>
    <n v="603.65004799999997"/>
    <n v="603.65004799999997"/>
    <x v="0"/>
    <x v="0"/>
    <s v="N/A"/>
  </r>
  <r>
    <s v="PSD"/>
    <s v="Outbound"/>
    <s v="Afghan Wireless (AFG)"/>
    <x v="1"/>
    <n v="4.0000000000000001E-3"/>
    <n v="4.0960000000000001"/>
    <n v="2.56"/>
    <x v="1"/>
    <x v="1"/>
    <s v="004"/>
  </r>
  <r>
    <s v="PSD"/>
    <s v="Outbound"/>
    <s v="Roshan (AFG)"/>
    <x v="1"/>
    <n v="2.5000000000000001E-3"/>
    <n v="2.56"/>
    <n v="2.56"/>
    <x v="1"/>
    <x v="1"/>
    <s v="004"/>
  </r>
  <r>
    <s v="PSD"/>
    <s v="Outbound"/>
    <s v="Vodafone (ALB)"/>
    <x v="2"/>
    <n v="1.116E-3"/>
    <n v="1.142784"/>
    <n v="1.040384"/>
    <x v="2"/>
    <x v="2"/>
    <s v="008"/>
  </r>
  <r>
    <s v="PSD"/>
    <s v="Outbound"/>
    <s v="One Albania (ALB) 1"/>
    <x v="2"/>
    <n v="1.016E-3"/>
    <n v="1.040384"/>
    <n v="1.040384"/>
    <x v="2"/>
    <x v="2"/>
    <s v="008"/>
  </r>
  <r>
    <s v="PSD"/>
    <s v="Outbound"/>
    <s v="ATM (DZA)"/>
    <x v="3"/>
    <n v="1E-3"/>
    <n v="1.024"/>
    <n v="1.024"/>
    <x v="3"/>
    <x v="3"/>
    <s v="012"/>
  </r>
  <r>
    <s v="PSD"/>
    <s v="Outbound"/>
    <s v="Ooredoo (DZA)"/>
    <x v="3"/>
    <n v="2.2620000000000001E-3"/>
    <n v="2.3162880000000001"/>
    <n v="1.024"/>
    <x v="3"/>
    <x v="3"/>
    <s v="012"/>
  </r>
  <r>
    <s v="PSD"/>
    <s v="Outbound"/>
    <s v="Veon (DZA)"/>
    <x v="3"/>
    <n v="8.9999999999999993E-3"/>
    <n v="9.2159999999999993"/>
    <n v="1.024"/>
    <x v="3"/>
    <x v="3"/>
    <s v="012"/>
  </r>
  <r>
    <s v="PSD"/>
    <s v="Outbound"/>
    <s v="STA (AND)"/>
    <x v="4"/>
    <n v="7.6620000000000004E-3"/>
    <n v="7.8458880000000004"/>
    <n v="7.8458880000000004"/>
    <x v="4"/>
    <x v="4"/>
    <s v="020"/>
  </r>
  <r>
    <s v="PSD"/>
    <s v="Outbound"/>
    <s v="Unitel (AGO)"/>
    <x v="5"/>
    <n v="6.0004000000000002E-2"/>
    <n v="61.444096000000002"/>
    <n v="1.9681280000000001"/>
    <x v="5"/>
    <x v="5"/>
    <s v="024"/>
  </r>
  <r>
    <s v="PSD"/>
    <s v="Outbound"/>
    <s v="Africell (AGO)"/>
    <x v="5"/>
    <n v="1.9220000000000001E-3"/>
    <n v="1.9681280000000001"/>
    <n v="1.9681280000000001"/>
    <x v="5"/>
    <x v="5"/>
    <s v="024"/>
  </r>
  <r>
    <s v="PSD"/>
    <s v="Outbound"/>
    <s v="Liberty (AIA)"/>
    <x v="6"/>
    <n v="3.0000000000000001E-3"/>
    <n v="3.0720000000000001"/>
    <n v="3.0720000000000001"/>
    <x v="6"/>
    <x v="6"/>
    <s v="660"/>
  </r>
  <r>
    <s v="PSD"/>
    <s v="Outbound"/>
    <s v="Liberty (ATG)"/>
    <x v="7"/>
    <n v="3.0000000000000001E-3"/>
    <n v="3.0720000000000001"/>
    <n v="3.0720000000000001"/>
    <x v="7"/>
    <x v="7"/>
    <s v="028"/>
  </r>
  <r>
    <s v="PSD"/>
    <s v="Outbound"/>
    <s v="Telecom (ARG) 1"/>
    <x v="8"/>
    <n v="1E-3"/>
    <n v="1.024"/>
    <n v="1.024"/>
    <x v="8"/>
    <x v="8"/>
    <s v="032"/>
  </r>
  <r>
    <s v="PSD"/>
    <s v="Outbound"/>
    <s v="AMX (ARG)"/>
    <x v="8"/>
    <n v="1.0009999999999999E-3"/>
    <n v="1.0250239999999999"/>
    <n v="1.024"/>
    <x v="8"/>
    <x v="8"/>
    <s v="032"/>
  </r>
  <r>
    <s v="PSD"/>
    <s v="Outbound"/>
    <s v="Telecom (ARM)"/>
    <x v="9"/>
    <n v="1E-3"/>
    <n v="1.024"/>
    <n v="1.024"/>
    <x v="9"/>
    <x v="9"/>
    <s v="051"/>
  </r>
  <r>
    <s v="PSD"/>
    <s v="Outbound"/>
    <s v="MTS (ARM)"/>
    <x v="9"/>
    <n v="1E-3"/>
    <n v="1.024"/>
    <n v="1.024"/>
    <x v="9"/>
    <x v="9"/>
    <s v="051"/>
  </r>
  <r>
    <s v="PSD"/>
    <s v="Outbound"/>
    <s v="Setar (ABW)"/>
    <x v="10"/>
    <n v="8.0000000000000002E-3"/>
    <n v="8.1920000000000002"/>
    <n v="8.1920000000000002"/>
    <x v="10"/>
    <x v="10"/>
    <s v="533"/>
  </r>
  <r>
    <s v="PSD"/>
    <s v="Outbound"/>
    <s v="Optus (AUS)"/>
    <x v="11"/>
    <n v="8.0000000000000004E-4"/>
    <n v="0.81920000000000004"/>
    <n v="0.51200000000000001"/>
    <x v="11"/>
    <x v="11"/>
    <s v="036"/>
  </r>
  <r>
    <s v="PSD"/>
    <s v="Outbound"/>
    <s v="Telstra (AUS)"/>
    <x v="11"/>
    <n v="5.0000000000000001E-4"/>
    <n v="0.51200000000000001"/>
    <n v="0.51200000000000001"/>
    <x v="11"/>
    <x v="11"/>
    <s v="036"/>
  </r>
  <r>
    <s v="PSD"/>
    <s v="Outbound"/>
    <s v="Vodafone (AUS)"/>
    <x v="11"/>
    <n v="8.9800000000000004E-4"/>
    <n v="0.91955200000000004"/>
    <n v="0.51200000000000001"/>
    <x v="11"/>
    <x v="11"/>
    <s v="036"/>
  </r>
  <r>
    <s v="PSD"/>
    <s v="Outbound"/>
    <s v="H3G (AUT) 2"/>
    <x v="12"/>
    <n v="8.1400000000000005E-4"/>
    <n v="0.83353600000000005"/>
    <n v="0.63692800000000005"/>
    <x v="12"/>
    <x v="12"/>
    <s v="040"/>
  </r>
  <r>
    <s v="PSD"/>
    <s v="Outbound"/>
    <s v="DT (AUT) 2"/>
    <x v="12"/>
    <n v="8.5999999999999998E-4"/>
    <n v="0.88063999999999998"/>
    <n v="0.63692800000000005"/>
    <x v="12"/>
    <x v="12"/>
    <s v="040"/>
  </r>
  <r>
    <s v="PSD"/>
    <s v="Outbound"/>
    <s v="A1 (AUT) 1"/>
    <x v="12"/>
    <n v="6.2200000000000005E-4"/>
    <n v="0.63692800000000005"/>
    <n v="0.63692800000000005"/>
    <x v="12"/>
    <x v="12"/>
    <s v="040"/>
  </r>
  <r>
    <s v="PSD"/>
    <s v="Outbound"/>
    <s v="Bakcell (AZE)"/>
    <x v="13"/>
    <n v="2.3999999999999998E-3"/>
    <n v="2.4575999999999998"/>
    <n v="2.3552"/>
    <x v="13"/>
    <x v="13"/>
    <s v="031"/>
  </r>
  <r>
    <s v="PSD"/>
    <s v="Outbound"/>
    <s v="Azercell (AZE)"/>
    <x v="13"/>
    <n v="2.3E-3"/>
    <n v="2.3552"/>
    <n v="2.3552"/>
    <x v="13"/>
    <x v="13"/>
    <s v="031"/>
  </r>
  <r>
    <s v="PSD"/>
    <s v="Outbound"/>
    <s v="Aliv (BHS)"/>
    <x v="14"/>
    <n v="1E-3"/>
    <n v="1.024"/>
    <n v="1.024"/>
    <x v="14"/>
    <x v="14"/>
    <s v="044"/>
  </r>
  <r>
    <s v="PSD"/>
    <s v="Outbound"/>
    <s v="Liberty (BHS)"/>
    <x v="14"/>
    <n v="2.9970000000000001E-3"/>
    <n v="3.0689280000000001"/>
    <n v="1.024"/>
    <x v="14"/>
    <x v="14"/>
    <s v="044"/>
  </r>
  <r>
    <s v="PSD"/>
    <s v="Outbound"/>
    <s v="Batelco (BHR) 1"/>
    <x v="15"/>
    <n v="2.1259999999999999E-3"/>
    <n v="2.1770239999999998"/>
    <n v="1.0250239999999999"/>
    <x v="15"/>
    <x v="15"/>
    <s v="048"/>
  </r>
  <r>
    <s v="PSD"/>
    <s v="Outbound"/>
    <s v="ZOI (BHR)"/>
    <x v="15"/>
    <n v="1.0009999999999999E-3"/>
    <n v="1.0250239999999999"/>
    <n v="1.0250239999999999"/>
    <x v="15"/>
    <x v="15"/>
    <s v="048"/>
  </r>
  <r>
    <s v="PSD"/>
    <s v="Outbound"/>
    <s v="Veon (BGD)"/>
    <x v="16"/>
    <n v="1E-3"/>
    <n v="1.024"/>
    <n v="1.024"/>
    <x v="16"/>
    <x v="16"/>
    <s v="050"/>
  </r>
  <r>
    <s v="PSD"/>
    <s v="Outbound"/>
    <s v="Liberty (BRB)"/>
    <x v="17"/>
    <n v="3.0000000000000001E-3"/>
    <n v="3.0720000000000001"/>
    <n v="3.0720000000000001"/>
    <x v="17"/>
    <x v="17"/>
    <s v="052"/>
  </r>
  <r>
    <s v="PSD"/>
    <s v="Outbound"/>
    <s v="Best (BLR)"/>
    <x v="18"/>
    <n v="1.029E-3"/>
    <n v="1.053696"/>
    <n v="0.63692800000000005"/>
    <x v="18"/>
    <x v="18"/>
    <s v="112"/>
  </r>
  <r>
    <s v="PSD"/>
    <s v="Outbound"/>
    <s v="A1 (BLR)"/>
    <x v="18"/>
    <n v="6.2200000000000005E-4"/>
    <n v="0.63692800000000005"/>
    <n v="0.63692800000000005"/>
    <x v="18"/>
    <x v="18"/>
    <s v="112"/>
  </r>
  <r>
    <s v="PSD"/>
    <s v="Outbound"/>
    <s v="MTS (BLR)"/>
    <x v="18"/>
    <n v="4.0099999999999997E-3"/>
    <n v="4.1062399999999997"/>
    <n v="0.63692800000000005"/>
    <x v="18"/>
    <x v="18"/>
    <s v="112"/>
  </r>
  <r>
    <s v="PSD"/>
    <s v="Outbound"/>
    <s v="Orange (BEL)"/>
    <x v="19"/>
    <n v="7.18E-4"/>
    <n v="0.735232"/>
    <n v="0.42188799999999999"/>
    <x v="19"/>
    <x v="19"/>
    <s v="056"/>
  </r>
  <r>
    <s v="PSD"/>
    <s v="Outbound"/>
    <s v="Proximus (BEL)"/>
    <x v="19"/>
    <n v="4.1199999999999999E-4"/>
    <n v="0.42188799999999999"/>
    <n v="0.42188799999999999"/>
    <x v="19"/>
    <x v="19"/>
    <s v="056"/>
  </r>
  <r>
    <s v="PSD"/>
    <s v="Outbound"/>
    <s v="Telenet (BEL) 2"/>
    <x v="19"/>
    <n v="5.8100000000000003E-4"/>
    <n v="0.59494400000000003"/>
    <n v="0.42188799999999999"/>
    <x v="19"/>
    <x v="19"/>
    <s v="056"/>
  </r>
  <r>
    <s v="PSD"/>
    <s v="Outbound"/>
    <s v="SBIN (BEN)"/>
    <x v="20"/>
    <n v="4.0000000000000001E-3"/>
    <n v="4.0960000000000001"/>
    <n v="4.0960000000000001"/>
    <x v="20"/>
    <x v="20"/>
    <s v="204"/>
  </r>
  <r>
    <s v="PSD"/>
    <s v="Outbound"/>
    <s v="ATN (BMU)"/>
    <x v="21"/>
    <n v="3.0000000000000001E-3"/>
    <n v="3.0720000000000001"/>
    <n v="3.0720000000000001"/>
    <x v="21"/>
    <x v="21"/>
    <s v="060"/>
  </r>
  <r>
    <s v="PSD"/>
    <s v="Outbound"/>
    <s v="Tigo (BOL)"/>
    <x v="22"/>
    <n v="2.0929999999999998E-3"/>
    <n v="2.1432319999999998"/>
    <n v="2.1432319999999998"/>
    <x v="22"/>
    <x v="22"/>
    <s v="068"/>
  </r>
  <r>
    <s v="PSD"/>
    <s v="Outbound"/>
    <s v="BH (BIH)"/>
    <x v="23"/>
    <n v="7.5000000000000002E-4"/>
    <n v="0.76800000000000002"/>
    <n v="0.49152000000000001"/>
    <x v="23"/>
    <x v="23"/>
    <s v="070"/>
  </r>
  <r>
    <s v="PSD"/>
    <s v="Outbound"/>
    <s v="Eronet (BIH)"/>
    <x v="23"/>
    <n v="4.8000000000000001E-4"/>
    <n v="0.49152000000000001"/>
    <n v="0.49152000000000001"/>
    <x v="23"/>
    <x v="23"/>
    <s v="070"/>
  </r>
  <r>
    <s v="PSD"/>
    <s v="Outbound"/>
    <s v="Mtel (BIH)"/>
    <x v="23"/>
    <n v="7.4299999999999995E-4"/>
    <n v="0.76083199999999995"/>
    <n v="0.49152000000000001"/>
    <x v="23"/>
    <x v="23"/>
    <s v="070"/>
  </r>
  <r>
    <s v="PSD"/>
    <s v="Outbound"/>
    <s v="BTC (BWA)"/>
    <x v="24"/>
    <n v="4.0000000000000001E-3"/>
    <n v="4.0960000000000001"/>
    <n v="4.0960000000000001"/>
    <x v="24"/>
    <x v="24"/>
    <s v="072"/>
  </r>
  <r>
    <s v="PSD"/>
    <s v="Outbound"/>
    <s v="Telefonica (BRA) 4"/>
    <x v="25"/>
    <n v="1.6169999999999999E-3"/>
    <n v="1.6558079999999999"/>
    <n v="1.024"/>
    <x v="25"/>
    <x v="25"/>
    <s v="076"/>
  </r>
  <r>
    <s v="PSD"/>
    <s v="Outbound"/>
    <s v="Telefonica (BRA) 2"/>
    <x v="25"/>
    <n v="1.616E-3"/>
    <n v="1.654784"/>
    <n v="1.024"/>
    <x v="25"/>
    <x v="25"/>
    <s v="076"/>
  </r>
  <r>
    <s v="PSD"/>
    <s v="Outbound"/>
    <s v="AMX (BRA)"/>
    <x v="25"/>
    <n v="1E-3"/>
    <n v="1.024"/>
    <n v="1.024"/>
    <x v="25"/>
    <x v="25"/>
    <s v="076"/>
  </r>
  <r>
    <s v="PSD"/>
    <s v="Outbound"/>
    <s v="TIM (BRA) 1"/>
    <x v="25"/>
    <n v="1E-3"/>
    <n v="1.024"/>
    <n v="1.024"/>
    <x v="25"/>
    <x v="25"/>
    <s v="076"/>
  </r>
  <r>
    <s v="PSD"/>
    <s v="Outbound"/>
    <s v="TIM (BRA) 2"/>
    <x v="25"/>
    <n v="1E-3"/>
    <n v="1.024"/>
    <n v="1.024"/>
    <x v="25"/>
    <x v="25"/>
    <s v="076"/>
  </r>
  <r>
    <s v="PSD"/>
    <s v="Outbound"/>
    <s v="TIM (BRA) 3"/>
    <x v="25"/>
    <n v="1E-3"/>
    <n v="1.024"/>
    <n v="1.024"/>
    <x v="25"/>
    <x v="25"/>
    <s v="076"/>
  </r>
  <r>
    <s v="PSD"/>
    <s v="Outbound"/>
    <s v="Telefonica (BRA) 3"/>
    <x v="25"/>
    <n v="1.614E-3"/>
    <n v="1.652736"/>
    <n v="1.024"/>
    <x v="25"/>
    <x v="25"/>
    <s v="076"/>
  </r>
  <r>
    <s v="PSD"/>
    <s v="Outbound"/>
    <s v="Telefonica (BRA) 1"/>
    <x v="25"/>
    <n v="1.668E-3"/>
    <n v="1.708032"/>
    <n v="1.024"/>
    <x v="25"/>
    <x v="25"/>
    <s v="076"/>
  </r>
  <r>
    <s v="PSD"/>
    <s v="Outbound"/>
    <s v="Liberty (VGB)"/>
    <x v="26"/>
    <n v="3.0000000000000001E-3"/>
    <n v="3.0720000000000001"/>
    <n v="3.0720000000000001"/>
    <x v="26"/>
    <x v="26"/>
    <s v="092"/>
  </r>
  <r>
    <s v="PSD"/>
    <s v="Outbound"/>
    <s v="United (BGR)"/>
    <x v="27"/>
    <n v="8.1099999999999998E-4"/>
    <n v="0.83046399999999998"/>
    <n v="0.53043200000000001"/>
    <x v="27"/>
    <x v="27"/>
    <s v="100"/>
  </r>
  <r>
    <s v="PSD"/>
    <s v="Outbound"/>
    <s v="A1 (BGR)"/>
    <x v="27"/>
    <n v="6.2200000000000005E-4"/>
    <n v="0.63692800000000005"/>
    <n v="0.53043200000000001"/>
    <x v="27"/>
    <x v="27"/>
    <s v="100"/>
  </r>
  <r>
    <s v="PSD"/>
    <s v="Outbound"/>
    <s v="Cetin (BGR)"/>
    <x v="27"/>
    <n v="5.1800000000000001E-4"/>
    <n v="0.53043200000000001"/>
    <n v="0.53043200000000001"/>
    <x v="27"/>
    <x v="27"/>
    <s v="100"/>
  </r>
  <r>
    <s v="PSD"/>
    <s v="Outbound"/>
    <s v="IAM (BFA)"/>
    <x v="28"/>
    <n v="8.0000000000000002E-3"/>
    <n v="8.1920000000000002"/>
    <n v="8.1920000000000002"/>
    <x v="28"/>
    <x v="28"/>
    <s v="854"/>
  </r>
  <r>
    <s v="PSD"/>
    <s v="Outbound"/>
    <s v="Cam (KHM)"/>
    <x v="29"/>
    <n v="4.999E-3"/>
    <n v="5.118976"/>
    <n v="5.118976"/>
    <x v="29"/>
    <x v="29"/>
    <s v="116"/>
  </r>
  <r>
    <s v="PSD"/>
    <s v="Outbound"/>
    <s v="Viettel (KHM)"/>
    <x v="29"/>
    <n v="5.0140000000000002E-3"/>
    <n v="5.1343360000000002"/>
    <n v="5.118976"/>
    <x v="29"/>
    <x v="29"/>
    <s v="116"/>
  </r>
  <r>
    <s v="PSD"/>
    <s v="Outbound"/>
    <s v="MTN (CMR)"/>
    <x v="30"/>
    <n v="2E-3"/>
    <n v="2.048"/>
    <n v="2.048"/>
    <x v="30"/>
    <x v="30"/>
    <s v="120"/>
  </r>
  <r>
    <s v="PSD"/>
    <s v="Outbound"/>
    <s v="Rogers (CAN) 1"/>
    <x v="31"/>
    <n v="2.5100000000000001E-3"/>
    <n v="2.5702400000000001"/>
    <n v="1.1939839999999999"/>
    <x v="31"/>
    <x v="31"/>
    <s v="124"/>
  </r>
  <r>
    <s v="PSD"/>
    <s v="Outbound"/>
    <s v="Bell (CAN) 1"/>
    <x v="31"/>
    <n v="1.1659999999999999E-3"/>
    <n v="1.1939839999999999"/>
    <n v="1.1939839999999999"/>
    <x v="31"/>
    <x v="31"/>
    <s v="124"/>
  </r>
  <r>
    <s v="PSD"/>
    <s v="Outbound"/>
    <s v="Videotron (CAN) 1"/>
    <x v="31"/>
    <n v="2.3999999999999998E-3"/>
    <n v="2.4575999999999998"/>
    <n v="1.1939839999999999"/>
    <x v="31"/>
    <x v="31"/>
    <s v="124"/>
  </r>
  <r>
    <s v="PSD"/>
    <s v="Outbound"/>
    <s v="Sasktel (CAN) 1"/>
    <x v="31"/>
    <n v="1.1659999999999999E-3"/>
    <n v="1.1939839999999999"/>
    <n v="1.1939839999999999"/>
    <x v="31"/>
    <x v="31"/>
    <s v="124"/>
  </r>
  <r>
    <s v="PSD"/>
    <s v="Outbound"/>
    <s v="Telus (CAN) 1"/>
    <x v="31"/>
    <n v="1.1659999999999999E-3"/>
    <n v="1.1939839999999999"/>
    <n v="1.1939839999999999"/>
    <x v="31"/>
    <x v="31"/>
    <s v="124"/>
  </r>
  <r>
    <s v="PSD"/>
    <s v="Outbound"/>
    <s v="Unitel (CPV)"/>
    <x v="32"/>
    <n v="3.2529999999999998E-3"/>
    <n v="3.3310719999999998"/>
    <n v="3.3310719999999998"/>
    <x v="32"/>
    <x v="32"/>
    <s v="132"/>
  </r>
  <r>
    <s v="PSD"/>
    <s v="Outbound"/>
    <s v="Telecom (CPV)"/>
    <x v="32"/>
    <n v="6.6030000000000004E-3"/>
    <n v="6.7614720000000004"/>
    <n v="3.3310719999999998"/>
    <x v="32"/>
    <x v="32"/>
    <s v="132"/>
  </r>
  <r>
    <s v="PSD"/>
    <s v="Outbound"/>
    <s v="Liberty (CYM)"/>
    <x v="33"/>
    <n v="3.0000000000000001E-3"/>
    <n v="3.0720000000000001"/>
    <n v="3.0720000000000001"/>
    <x v="33"/>
    <x v="33"/>
    <s v="136"/>
  </r>
  <r>
    <s v="PSD"/>
    <s v="Outbound"/>
    <s v="Airtel (TCD)"/>
    <x v="34"/>
    <n v="2.3E-3"/>
    <n v="2.3552"/>
    <n v="2.3552"/>
    <x v="34"/>
    <x v="34"/>
    <s v="148"/>
  </r>
  <r>
    <s v="PSD"/>
    <s v="Outbound"/>
    <s v="Jersey Telecoms (GBR)"/>
    <x v="35"/>
    <n v="5.9999999999999995E-4"/>
    <n v="0.61439999999999995"/>
    <n v="0.61439999999999995"/>
    <x v="35"/>
    <x v="35"/>
    <s v="831"/>
  </r>
  <r>
    <s v="PSD"/>
    <s v="Outbound"/>
    <s v="Sure Guernsey (GBR)"/>
    <x v="35"/>
    <n v="1.408E-3"/>
    <n v="1.441792"/>
    <n v="0.61439999999999995"/>
    <x v="36"/>
    <x v="36"/>
    <s v="832"/>
  </r>
  <r>
    <s v="PSD"/>
    <s v="Outbound"/>
    <s v="Manx Telecom (GBR)"/>
    <x v="35"/>
    <m/>
    <n v="0"/>
    <n v="0.61439999999999995"/>
    <x v="37"/>
    <x v="37"/>
    <s v="833"/>
  </r>
  <r>
    <s v="PSD"/>
    <s v="Outbound"/>
    <s v="WOM (CHL)"/>
    <x v="36"/>
    <n v="5.0000000000000001E-3"/>
    <n v="5.12"/>
    <n v="1.652736"/>
    <x v="38"/>
    <x v="38"/>
    <s v="152"/>
  </r>
  <r>
    <s v="PSD"/>
    <s v="Outbound"/>
    <s v="Entel (CHL)"/>
    <x v="36"/>
    <n v="2E-3"/>
    <n v="2.048"/>
    <n v="1.652736"/>
    <x v="38"/>
    <x v="38"/>
    <s v="152"/>
  </r>
  <r>
    <s v="PSD"/>
    <s v="Outbound"/>
    <s v="Telefonica (CHL) 1"/>
    <x v="36"/>
    <n v="1.614E-3"/>
    <n v="1.652736"/>
    <n v="1.652736"/>
    <x v="38"/>
    <x v="38"/>
    <s v="152"/>
  </r>
  <r>
    <s v="PSD"/>
    <s v="Outbound"/>
    <s v="China Mobile (CHN) 1"/>
    <x v="37"/>
    <n v="1.8940000000000001E-3"/>
    <n v="1.9394560000000001"/>
    <n v="1.69472"/>
    <x v="39"/>
    <x v="39"/>
    <s v="156"/>
  </r>
  <r>
    <s v="PSD"/>
    <s v="Outbound"/>
    <s v="China Unicom (CHN) 1"/>
    <x v="37"/>
    <n v="1.655E-3"/>
    <n v="1.69472"/>
    <n v="1.69472"/>
    <x v="39"/>
    <x v="39"/>
    <s v="156"/>
  </r>
  <r>
    <s v="PSD"/>
    <s v="Outbound"/>
    <s v="AMX (COL)"/>
    <x v="38"/>
    <n v="1E-3"/>
    <n v="1.024"/>
    <n v="1.024"/>
    <x v="40"/>
    <x v="40"/>
    <s v="170"/>
  </r>
  <r>
    <s v="PSD"/>
    <s v="Outbound"/>
    <s v="Tigo (COL) 1"/>
    <x v="38"/>
    <n v="2.0929999999999998E-3"/>
    <n v="2.1432319999999998"/>
    <n v="1.024"/>
    <x v="40"/>
    <x v="40"/>
    <s v="170"/>
  </r>
  <r>
    <s v="PSD"/>
    <s v="Outbound"/>
    <s v="Telefonica (COL)"/>
    <x v="38"/>
    <n v="1.6130000000000001E-3"/>
    <n v="1.6517120000000001"/>
    <n v="1.024"/>
    <x v="40"/>
    <x v="40"/>
    <s v="170"/>
  </r>
  <r>
    <s v="PSD"/>
    <s v="Outbound"/>
    <s v="Africell (COD)"/>
    <x v="39"/>
    <n v="1.921E-3"/>
    <n v="1.967104"/>
    <n v="1.967104"/>
    <x v="41"/>
    <x v="41"/>
    <s v="180"/>
  </r>
  <r>
    <s v="PSD"/>
    <s v="Outbound"/>
    <s v="Vodafone (COD)"/>
    <x v="39"/>
    <n v="6.6910999999999998E-2"/>
    <n v="68.516863999999998"/>
    <n v="1.967104"/>
    <x v="41"/>
    <x v="41"/>
    <s v="180"/>
  </r>
  <r>
    <s v="PSD"/>
    <s v="Outbound"/>
    <s v="ICE (CRI)"/>
    <x v="40"/>
    <n v="1E-3"/>
    <n v="1.024"/>
    <n v="1.024"/>
    <x v="42"/>
    <x v="42"/>
    <s v="188"/>
  </r>
  <r>
    <s v="PSD"/>
    <s v="Outbound"/>
    <s v="Liberty (CRI)"/>
    <x v="40"/>
    <n v="1.6130000000000001E-3"/>
    <n v="1.6517120000000001"/>
    <n v="1.024"/>
    <x v="42"/>
    <x v="42"/>
    <s v="188"/>
  </r>
  <r>
    <s v="PSD"/>
    <s v="Outbound"/>
    <s v="DT (HRV)"/>
    <x v="41"/>
    <m/>
    <n v="0"/>
    <n v="0"/>
    <x v="43"/>
    <x v="43"/>
    <s v="191"/>
  </r>
  <r>
    <s v="PSD"/>
    <s v="Outbound"/>
    <s v="Cubacel (CUB)"/>
    <x v="42"/>
    <n v="5.6094999999999999E-2"/>
    <n v="57.441279999999999"/>
    <n v="57.441279999999999"/>
    <x v="44"/>
    <x v="44"/>
    <s v="192"/>
  </r>
  <r>
    <s v="PSD"/>
    <s v="Outbound"/>
    <s v="PrimeTel (CYP)"/>
    <x v="43"/>
    <n v="4.75E-4"/>
    <n v="0.4864"/>
    <n v="0.25600000000000001"/>
    <x v="45"/>
    <x v="45"/>
    <s v="196"/>
  </r>
  <r>
    <s v="PSD"/>
    <s v="Outbound"/>
    <s v="Epic (CYP)"/>
    <x v="43"/>
    <n v="5.7300000000000005E-4"/>
    <n v="0.58675200000000005"/>
    <n v="0.25600000000000001"/>
    <x v="45"/>
    <x v="45"/>
    <s v="196"/>
  </r>
  <r>
    <s v="PSD"/>
    <s v="Outbound"/>
    <s v="CYTA (CYP)"/>
    <x v="43"/>
    <n v="2.5000000000000001E-4"/>
    <n v="0.25600000000000001"/>
    <n v="0.25600000000000001"/>
    <x v="45"/>
    <x v="45"/>
    <s v="196"/>
  </r>
  <r>
    <s v="PSD"/>
    <s v="Outbound"/>
    <s v="Vodafone (CZE)"/>
    <x v="44"/>
    <n v="7.6599999999999997E-4"/>
    <n v="0.78438399999999997"/>
    <n v="0.53043200000000001"/>
    <x v="46"/>
    <x v="46"/>
    <s v="203"/>
  </r>
  <r>
    <s v="PSD"/>
    <s v="Outbound"/>
    <s v="DT (CZE)"/>
    <x v="44"/>
    <n v="8.5999999999999998E-4"/>
    <n v="0.88063999999999998"/>
    <n v="0.53043200000000001"/>
    <x v="46"/>
    <x v="46"/>
    <s v="203"/>
  </r>
  <r>
    <s v="PSD"/>
    <s v="Outbound"/>
    <s v="Cetin (CZE)"/>
    <x v="44"/>
    <n v="5.1800000000000001E-4"/>
    <n v="0.53043200000000001"/>
    <n v="0.53043200000000001"/>
    <x v="46"/>
    <x v="46"/>
    <s v="203"/>
  </r>
  <r>
    <s v="PSD"/>
    <s v="Outbound"/>
    <s v="Telenor (DNK) 1"/>
    <x v="45"/>
    <n v="2.5500000000000002E-4"/>
    <n v="0.26112000000000002"/>
    <n v="0.26112000000000002"/>
    <x v="47"/>
    <x v="47"/>
    <s v="208"/>
  </r>
  <r>
    <s v="PSD"/>
    <s v="Outbound"/>
    <s v="TDC (DNK)"/>
    <x v="45"/>
    <n v="3.1399999999999999E-4"/>
    <n v="0.32153599999999999"/>
    <n v="0.26112000000000002"/>
    <x v="47"/>
    <x v="47"/>
    <s v="208"/>
  </r>
  <r>
    <s v="PSD"/>
    <s v="Outbound"/>
    <s v="H3G (DNK)"/>
    <x v="45"/>
    <n v="8.1400000000000005E-4"/>
    <n v="0.83353600000000005"/>
    <n v="0.26112000000000002"/>
    <x v="47"/>
    <x v="47"/>
    <s v="208"/>
  </r>
  <r>
    <s v="PSD"/>
    <s v="Outbound"/>
    <s v="Telia (DNK)"/>
    <x v="45"/>
    <n v="3.3500000000000001E-4"/>
    <n v="0.34304000000000001"/>
    <n v="0.26112000000000002"/>
    <x v="47"/>
    <x v="47"/>
    <s v="208"/>
  </r>
  <r>
    <s v="PSD"/>
    <s v="Outbound"/>
    <s v="Liberty (DMA)"/>
    <x v="46"/>
    <n v="3.0000000000000001E-3"/>
    <n v="3.0720000000000001"/>
    <n v="3.0720000000000001"/>
    <x v="48"/>
    <x v="48"/>
    <s v="212"/>
  </r>
  <r>
    <s v="PSD"/>
    <s v="Outbound"/>
    <s v="Altice (DOM)"/>
    <x v="47"/>
    <n v="1.6000000000000001E-3"/>
    <n v="1.6384000000000001"/>
    <n v="1.6384000000000001"/>
    <x v="49"/>
    <x v="49"/>
    <s v="214"/>
  </r>
  <r>
    <s v="PSD"/>
    <s v="Outbound"/>
    <s v="Viettel (TLS)"/>
    <x v="48"/>
    <n v="3.5874000000000003E-2"/>
    <n v="36.734976000000003"/>
    <n v="36.734976000000003"/>
    <x v="50"/>
    <x v="50"/>
    <s v="626"/>
  </r>
  <r>
    <s v="PSD"/>
    <s v="Outbound"/>
    <s v="Telefonica (ECU)"/>
    <x v="49"/>
    <n v="1.6130000000000001E-3"/>
    <n v="1.6517120000000001"/>
    <n v="1.6517120000000001"/>
    <x v="51"/>
    <x v="51"/>
    <s v="218"/>
  </r>
  <r>
    <s v="PSD"/>
    <s v="Outbound"/>
    <s v="MobiNil (EGY)"/>
    <x v="50"/>
    <n v="8.0800000000000002E-4"/>
    <n v="0.82739200000000002"/>
    <n v="0.82739200000000002"/>
    <x v="52"/>
    <x v="52"/>
    <s v="818"/>
  </r>
  <r>
    <s v="PSD"/>
    <s v="Outbound"/>
    <s v="Vodafone (EGY)"/>
    <x v="50"/>
    <n v="2.9160000000000002E-3"/>
    <n v="2.9859840000000002"/>
    <n v="0.82739200000000002"/>
    <x v="52"/>
    <x v="52"/>
    <s v="818"/>
  </r>
  <r>
    <s v="PSD"/>
    <s v="Outbound"/>
    <s v="Etisalat (EGY)"/>
    <x v="50"/>
    <n v="3.3509999999999998E-3"/>
    <n v="3.4314239999999998"/>
    <n v="0.82739200000000002"/>
    <x v="52"/>
    <x v="52"/>
    <s v="818"/>
  </r>
  <r>
    <s v="PSD"/>
    <s v="Outbound"/>
    <s v="Tigo (SLV)"/>
    <x v="51"/>
    <n v="2.0929999999999998E-3"/>
    <n v="2.1432319999999998"/>
    <n v="1.024"/>
    <x v="53"/>
    <x v="53"/>
    <s v="222"/>
  </r>
  <r>
    <s v="PSD"/>
    <s v="Outbound"/>
    <s v="AMX (SLV)"/>
    <x v="51"/>
    <n v="1E-3"/>
    <n v="1.024"/>
    <n v="1.024"/>
    <x v="53"/>
    <x v="53"/>
    <s v="222"/>
  </r>
  <r>
    <s v="PSD"/>
    <s v="Outbound"/>
    <s v="Telia (EST)"/>
    <x v="52"/>
    <n v="3.3500000000000001E-4"/>
    <n v="0.34304000000000001"/>
    <n v="0.30719999999999997"/>
    <x v="54"/>
    <x v="54"/>
    <s v="233"/>
  </r>
  <r>
    <s v="PSD"/>
    <s v="Outbound"/>
    <s v="Tele2 (EST)"/>
    <x v="52"/>
    <n v="5.2400000000000005E-4"/>
    <n v="0.53657600000000005"/>
    <n v="0.30719999999999997"/>
    <x v="54"/>
    <x v="54"/>
    <s v="233"/>
  </r>
  <r>
    <s v="PSD"/>
    <s v="Outbound"/>
    <s v="Elisa (EST)"/>
    <x v="52"/>
    <n v="2.9999999999999997E-4"/>
    <n v="0.30719999999999997"/>
    <n v="0.30719999999999997"/>
    <x v="54"/>
    <x v="54"/>
    <s v="233"/>
  </r>
  <r>
    <s v="PSD"/>
    <s v="Outbound"/>
    <s v="Ethiopian TelCo (ETH)"/>
    <x v="53"/>
    <n v="9.4399999999999998E-2"/>
    <n v="96.665599999999998"/>
    <n v="96.665599999999998"/>
    <x v="55"/>
    <x v="55"/>
    <s v="231"/>
  </r>
  <r>
    <s v="PSD"/>
    <s v="Outbound"/>
    <s v="Faroese Telecom (FRO)"/>
    <x v="54"/>
    <n v="1.25E-3"/>
    <n v="1.28"/>
    <n v="1.28"/>
    <x v="56"/>
    <x v="56"/>
    <s v="234"/>
  </r>
  <r>
    <s v="PSD"/>
    <s v="Outbound"/>
    <s v="Vodafone (FJI)"/>
    <x v="55"/>
    <n v="0.01"/>
    <n v="10.24"/>
    <n v="10.24"/>
    <x v="57"/>
    <x v="57"/>
    <s v="242"/>
  </r>
  <r>
    <s v="PSD"/>
    <s v="Outbound"/>
    <s v="Elisa (FIN) 1"/>
    <x v="56"/>
    <n v="2.9999999999999997E-4"/>
    <n v="0.30719999999999997"/>
    <n v="0.26112000000000002"/>
    <x v="58"/>
    <x v="58"/>
    <s v="246"/>
  </r>
  <r>
    <s v="PSD"/>
    <s v="Outbound"/>
    <s v="Telenor (FIN) 1"/>
    <x v="56"/>
    <n v="2.5500000000000002E-4"/>
    <n v="0.26112000000000002"/>
    <n v="0.26112000000000002"/>
    <x v="58"/>
    <x v="58"/>
    <s v="246"/>
  </r>
  <r>
    <s v="PSD"/>
    <s v="Outbound"/>
    <s v="Telia (FIN)"/>
    <x v="56"/>
    <n v="3.3500000000000001E-4"/>
    <n v="0.34304000000000001"/>
    <n v="0.26112000000000002"/>
    <x v="58"/>
    <x v="58"/>
    <s v="246"/>
  </r>
  <r>
    <s v="PSD"/>
    <s v="Outbound"/>
    <s v="Free (FRA)"/>
    <x v="57"/>
    <n v="5.3799999999999996E-4"/>
    <n v="0.55091199999999996"/>
    <n v="0.44646400000000003"/>
    <x v="59"/>
    <x v="59"/>
    <s v="250"/>
  </r>
  <r>
    <s v="PSD"/>
    <s v="Outbound"/>
    <s v="Altice (FRA) 1"/>
    <x v="57"/>
    <n v="5.0799999999999999E-4"/>
    <n v="0.52019199999999999"/>
    <n v="0.44646400000000003"/>
    <x v="59"/>
    <x v="59"/>
    <s v="250"/>
  </r>
  <r>
    <s v="PSD"/>
    <s v="Outbound"/>
    <s v="Orange (FRA)"/>
    <x v="57"/>
    <n v="7.18E-4"/>
    <n v="0.735232"/>
    <n v="0.44646400000000003"/>
    <x v="59"/>
    <x v="59"/>
    <s v="250"/>
  </r>
  <r>
    <s v="PSD"/>
    <s v="Outbound"/>
    <s v="Bouygues (FRA)"/>
    <x v="57"/>
    <n v="4.3600000000000003E-4"/>
    <n v="0.44646400000000003"/>
    <n v="0.44646400000000003"/>
    <x v="59"/>
    <x v="59"/>
    <s v="250"/>
  </r>
  <r>
    <s v="PSD"/>
    <s v="Outbound"/>
    <s v="Vini (PYF)"/>
    <x v="58"/>
    <n v="4.0870000000000004E-3"/>
    <n v="4.1850880000000004"/>
    <n v="4.1850880000000004"/>
    <x v="60"/>
    <x v="60"/>
    <s v="258"/>
  </r>
  <r>
    <s v="PSD"/>
    <s v="Outbound"/>
    <s v="Vodafone (PYF)"/>
    <x v="58"/>
    <n v="2.0188000000000001E-2"/>
    <n v="20.672512000000001"/>
    <n v="4.1850880000000004"/>
    <x v="60"/>
    <x v="60"/>
    <s v="258"/>
  </r>
  <r>
    <s v="PSD"/>
    <s v="Outbound"/>
    <s v="Digicel (GLP)"/>
    <x v="59"/>
    <n v="1.292E-3"/>
    <n v="1.323008"/>
    <n v="1.323008"/>
    <x v="61"/>
    <x v="61"/>
    <s v="312"/>
  </r>
  <r>
    <s v="PSD"/>
    <s v="Outbound"/>
    <s v="IAM (GAB) 1"/>
    <x v="60"/>
    <n v="8.0000000000000002E-3"/>
    <n v="8.1920000000000002"/>
    <n v="8.1920000000000002"/>
    <x v="62"/>
    <x v="62"/>
    <s v="266"/>
  </r>
  <r>
    <s v="PSD"/>
    <s v="Outbound"/>
    <s v="Africell (GMB)"/>
    <x v="61"/>
    <n v="1.921E-3"/>
    <n v="1.967104"/>
    <n v="1.967104"/>
    <x v="63"/>
    <x v="63"/>
    <s v="270"/>
  </r>
  <r>
    <s v="PSD"/>
    <s v="Outbound"/>
    <s v="Magticom (GEO)"/>
    <x v="62"/>
    <n v="6.9999999999999999E-4"/>
    <n v="0.71679999999999999"/>
    <n v="0.71679999999999999"/>
    <x v="64"/>
    <x v="64"/>
    <s v="268"/>
  </r>
  <r>
    <s v="PSD"/>
    <s v="Outbound"/>
    <s v="Geocell (GEO)"/>
    <x v="62"/>
    <n v="1.054E-3"/>
    <n v="1.079296"/>
    <n v="0.71679999999999999"/>
    <x v="64"/>
    <x v="64"/>
    <s v="268"/>
  </r>
  <r>
    <s v="PSD"/>
    <s v="Outbound"/>
    <s v="Vodafone (DEU)"/>
    <x v="63"/>
    <n v="7.6599999999999997E-4"/>
    <n v="0.78438399999999997"/>
    <n v="0.71679999999999999"/>
    <x v="65"/>
    <x v="65"/>
    <s v="276"/>
  </r>
  <r>
    <s v="PSD"/>
    <s v="Outbound"/>
    <s v="Telefonica (DEU) 2"/>
    <x v="63"/>
    <n v="6.9999999999999999E-4"/>
    <n v="0.71679999999999999"/>
    <n v="0.71679999999999999"/>
    <x v="65"/>
    <x v="65"/>
    <s v="276"/>
  </r>
  <r>
    <s v="PSD"/>
    <s v="Outbound"/>
    <s v="DT (DEU)"/>
    <x v="63"/>
    <n v="8.5999999999999998E-4"/>
    <n v="0.88063999999999998"/>
    <n v="0.71679999999999999"/>
    <x v="65"/>
    <x v="65"/>
    <s v="276"/>
  </r>
  <r>
    <s v="PSD"/>
    <s v="Outbound"/>
    <s v="Vodafone (GHA)"/>
    <x v="64"/>
    <n v="6.0000000000000001E-3"/>
    <n v="6.1440000000000001"/>
    <n v="1.792"/>
    <x v="66"/>
    <x v="66"/>
    <s v="288"/>
  </r>
  <r>
    <s v="PSD"/>
    <s v="Outbound"/>
    <s v="PPL Net (GHA) 2"/>
    <x v="64"/>
    <n v="1.75E-3"/>
    <n v="1.792"/>
    <n v="1.792"/>
    <x v="66"/>
    <x v="66"/>
    <s v="288"/>
  </r>
  <r>
    <s v="PSD"/>
    <s v="Outbound"/>
    <s v="Gibtel (GIB)"/>
    <x v="65"/>
    <n v="1E-3"/>
    <n v="1.024"/>
    <n v="1.024"/>
    <x v="67"/>
    <x v="67"/>
    <s v="292"/>
  </r>
  <r>
    <s v="PSD"/>
    <s v="Outbound"/>
    <s v="United (GRC) 1"/>
    <x v="66"/>
    <n v="8.1099999999999998E-4"/>
    <n v="0.83046399999999998"/>
    <n v="0.78438399999999997"/>
    <x v="68"/>
    <x v="68"/>
    <s v="300"/>
  </r>
  <r>
    <s v="PSD"/>
    <s v="Outbound"/>
    <s v="Vodafone (GRC)"/>
    <x v="66"/>
    <n v="7.6599999999999997E-4"/>
    <n v="0.78438399999999997"/>
    <n v="0.78438399999999997"/>
    <x v="68"/>
    <x v="68"/>
    <s v="300"/>
  </r>
  <r>
    <s v="PSD"/>
    <s v="Outbound"/>
    <s v="DT (GRC)"/>
    <x v="66"/>
    <n v="8.5999999999999998E-4"/>
    <n v="0.88063999999999998"/>
    <n v="0.78438399999999997"/>
    <x v="68"/>
    <x v="68"/>
    <s v="300"/>
  </r>
  <r>
    <s v="PSD"/>
    <s v="Outbound"/>
    <s v="Tusass (GRL)"/>
    <x v="67"/>
    <n v="3.0019999999999999E-3"/>
    <n v="3.0740479999999999"/>
    <n v="3.0740479999999999"/>
    <x v="69"/>
    <x v="69"/>
    <s v="304"/>
  </r>
  <r>
    <s v="PSD"/>
    <s v="Outbound"/>
    <s v="Liberty (GRD)"/>
    <x v="68"/>
    <n v="3.0000000000000001E-3"/>
    <n v="3.0720000000000001"/>
    <n v="3.0720000000000001"/>
    <x v="70"/>
    <x v="70"/>
    <s v="308"/>
  </r>
  <r>
    <s v="PSD"/>
    <s v="Outbound"/>
    <s v="Tigo (GTM)"/>
    <x v="69"/>
    <n v="2.0929999999999998E-3"/>
    <n v="2.1432319999999998"/>
    <n v="1.0280959999999999"/>
    <x v="71"/>
    <x v="71"/>
    <s v="320"/>
  </r>
  <r>
    <s v="PSD"/>
    <s v="Outbound"/>
    <s v="AMX (GTM) 1"/>
    <x v="69"/>
    <n v="1.0039999999999999E-3"/>
    <n v="1.0280959999999999"/>
    <n v="1.0280959999999999"/>
    <x v="71"/>
    <x v="71"/>
    <s v="320"/>
  </r>
  <r>
    <s v="PSD"/>
    <s v="Outbound"/>
    <s v="Orange (GIN)"/>
    <x v="70"/>
    <n v="2.153E-3"/>
    <n v="2.204672"/>
    <n v="2.204672"/>
    <x v="72"/>
    <x v="72"/>
    <s v="324"/>
  </r>
  <r>
    <s v="PSD"/>
    <s v="Outbound"/>
    <s v="Digicel (GUY)"/>
    <x v="71"/>
    <n v="1E-3"/>
    <n v="1.024"/>
    <n v="1.024"/>
    <x v="73"/>
    <x v="73"/>
    <s v="328"/>
  </r>
  <r>
    <s v="PSD"/>
    <s v="Outbound"/>
    <s v="Natcom (HTI)"/>
    <x v="72"/>
    <n v="3.4320999999999997E-2"/>
    <n v="35.144703999999997"/>
    <n v="35.144703999999997"/>
    <x v="74"/>
    <x v="74"/>
    <s v="332"/>
  </r>
  <r>
    <s v="PSD"/>
    <s v="Outbound"/>
    <s v="Smartone (HKG)"/>
    <x v="73"/>
    <n v="3.0000000000000001E-3"/>
    <n v="3.0720000000000001"/>
    <n v="0.56832000000000005"/>
    <x v="75"/>
    <x v="75"/>
    <s v="344"/>
  </r>
  <r>
    <s v="PSD"/>
    <s v="Outbound"/>
    <s v="H3G (HKG) 1"/>
    <x v="73"/>
    <n v="3.0000000000000001E-3"/>
    <n v="3.0720000000000001"/>
    <n v="0.56832000000000005"/>
    <x v="75"/>
    <x v="75"/>
    <s v="344"/>
  </r>
  <r>
    <s v="PSD"/>
    <s v="Outbound"/>
    <s v="Singtel (HKG) 1"/>
    <x v="73"/>
    <n v="5.5500000000000005E-4"/>
    <n v="0.56832000000000005"/>
    <n v="0.56832000000000005"/>
    <x v="75"/>
    <x v="75"/>
    <s v="344"/>
  </r>
  <r>
    <s v="PSD"/>
    <s v="Outbound"/>
    <s v="Cetin (HUN)"/>
    <x v="74"/>
    <n v="5.1800000000000001E-4"/>
    <n v="0.53043200000000001"/>
    <n v="0.53043200000000001"/>
    <x v="76"/>
    <x v="76"/>
    <s v="348"/>
  </r>
  <r>
    <s v="PSD"/>
    <s v="Outbound"/>
    <s v="Vodafone (HUN)"/>
    <x v="74"/>
    <n v="7.6599999999999997E-4"/>
    <n v="0.78438399999999997"/>
    <n v="0.53043200000000001"/>
    <x v="76"/>
    <x v="76"/>
    <s v="348"/>
  </r>
  <r>
    <s v="PSD"/>
    <s v="Outbound"/>
    <s v="DT (HUN)"/>
    <x v="74"/>
    <n v="8.5999999999999998E-4"/>
    <n v="0.88063999999999998"/>
    <n v="0.53043200000000001"/>
    <x v="76"/>
    <x v="76"/>
    <s v="348"/>
  </r>
  <r>
    <s v="PSD"/>
    <s v="Outbound"/>
    <s v="Siminn (ISL)"/>
    <x v="75"/>
    <n v="3.1100000000000002E-4"/>
    <n v="0.31846400000000002"/>
    <n v="0.31846400000000002"/>
    <x v="77"/>
    <x v="77"/>
    <s v="352"/>
  </r>
  <r>
    <s v="PSD"/>
    <s v="Outbound"/>
    <s v="SYN (ISL)"/>
    <x v="75"/>
    <n v="8.0000000000000004E-4"/>
    <n v="0.81920000000000004"/>
    <n v="0.31846400000000002"/>
    <x v="77"/>
    <x v="77"/>
    <s v="352"/>
  </r>
  <r>
    <s v="PSD"/>
    <s v="Outbound"/>
    <s v="Nova (ISL)"/>
    <x v="75"/>
    <n v="9.5E-4"/>
    <n v="0.9728"/>
    <n v="0.31846400000000002"/>
    <x v="77"/>
    <x v="77"/>
    <s v="352"/>
  </r>
  <r>
    <s v="PSD"/>
    <s v="Outbound"/>
    <s v="BA Punjab (IND)"/>
    <x v="76"/>
    <n v="1.2160000000000001E-3"/>
    <n v="1.2451840000000001"/>
    <n v="1.0199039999999999"/>
    <x v="78"/>
    <x v="78"/>
    <s v="356"/>
  </r>
  <r>
    <s v="PSD"/>
    <s v="Outbound"/>
    <s v="RJ Karnataka (IND)"/>
    <x v="76"/>
    <n v="1E-3"/>
    <n v="1.024"/>
    <n v="1.0199039999999999"/>
    <x v="78"/>
    <x v="78"/>
    <s v="356"/>
  </r>
  <r>
    <s v="PSD"/>
    <s v="Outbound"/>
    <s v="BA Orissa (IND)"/>
    <x v="76"/>
    <n v="1.2160000000000001E-3"/>
    <n v="1.2451840000000001"/>
    <n v="1.0199039999999999"/>
    <x v="78"/>
    <x v="78"/>
    <s v="356"/>
  </r>
  <r>
    <s v="PSD"/>
    <s v="Outbound"/>
    <s v="BA Chennai (IND)"/>
    <x v="76"/>
    <n v="1.2160000000000001E-3"/>
    <n v="1.2451840000000001"/>
    <n v="1.0199039999999999"/>
    <x v="78"/>
    <x v="78"/>
    <s v="356"/>
  </r>
  <r>
    <s v="PSD"/>
    <s v="Outbound"/>
    <s v="RJ Delhi (IND)"/>
    <x v="76"/>
    <n v="1E-3"/>
    <n v="1.024"/>
    <n v="1.0199039999999999"/>
    <x v="78"/>
    <x v="78"/>
    <s v="356"/>
  </r>
  <r>
    <s v="PSD"/>
    <s v="Outbound"/>
    <s v="VI Delhi (IND) 1"/>
    <x v="76"/>
    <n v="5.372E-3"/>
    <n v="5.500928"/>
    <n v="1.0199039999999999"/>
    <x v="78"/>
    <x v="78"/>
    <s v="356"/>
  </r>
  <r>
    <s v="PSD"/>
    <s v="Outbound"/>
    <s v="RJ Maharashtra (IND)"/>
    <x v="76"/>
    <n v="1E-3"/>
    <n v="1.024"/>
    <n v="1.0199039999999999"/>
    <x v="78"/>
    <x v="78"/>
    <s v="356"/>
  </r>
  <r>
    <s v="PSD"/>
    <s v="Outbound"/>
    <s v="RJ Gujarat (IND)"/>
    <x v="76"/>
    <n v="1E-3"/>
    <n v="1.024"/>
    <n v="1.0199039999999999"/>
    <x v="78"/>
    <x v="78"/>
    <s v="356"/>
  </r>
  <r>
    <s v="PSD"/>
    <s v="Outbound"/>
    <s v="BA Uttar Pradesh West (IND)"/>
    <x v="76"/>
    <n v="1.2160000000000001E-3"/>
    <n v="1.2451840000000001"/>
    <n v="1.0199039999999999"/>
    <x v="78"/>
    <x v="78"/>
    <s v="356"/>
  </r>
  <r>
    <s v="PSD"/>
    <s v="Outbound"/>
    <s v="RJ Uttar Pradesh West (IND)"/>
    <x v="76"/>
    <n v="1E-3"/>
    <n v="1.024"/>
    <n v="1.0199039999999999"/>
    <x v="78"/>
    <x v="78"/>
    <s v="356"/>
  </r>
  <r>
    <s v="PSD"/>
    <s v="Outbound"/>
    <s v="BA Kerala (IND)"/>
    <x v="76"/>
    <n v="1.2160000000000001E-3"/>
    <n v="1.2451840000000001"/>
    <n v="1.0199039999999999"/>
    <x v="78"/>
    <x v="78"/>
    <s v="356"/>
  </r>
  <r>
    <s v="PSD"/>
    <s v="Outbound"/>
    <s v="BA Mumbai (IND)"/>
    <x v="76"/>
    <n v="1.2160000000000001E-3"/>
    <n v="1.2451840000000001"/>
    <n v="1.0199039999999999"/>
    <x v="78"/>
    <x v="78"/>
    <s v="356"/>
  </r>
  <r>
    <s v="PSD"/>
    <s v="Outbound"/>
    <s v="BA Rajasthan (IND)"/>
    <x v="76"/>
    <n v="1.2160000000000001E-3"/>
    <n v="1.2451840000000001"/>
    <n v="1.0199039999999999"/>
    <x v="78"/>
    <x v="78"/>
    <s v="356"/>
  </r>
  <r>
    <s v="PSD"/>
    <s v="Outbound"/>
    <s v="BA Assam (IND)"/>
    <x v="76"/>
    <n v="1.2179999999999999E-3"/>
    <n v="1.2472319999999999"/>
    <n v="1.0199039999999999"/>
    <x v="78"/>
    <x v="78"/>
    <s v="356"/>
  </r>
  <r>
    <s v="PSD"/>
    <s v="Outbound"/>
    <s v="BA Delhi (IND)"/>
    <x v="76"/>
    <n v="1.2160000000000001E-3"/>
    <n v="1.2451840000000001"/>
    <n v="1.0199039999999999"/>
    <x v="78"/>
    <x v="78"/>
    <s v="356"/>
  </r>
  <r>
    <s v="PSD"/>
    <s v="Outbound"/>
    <s v="RJ Orissa (IND)"/>
    <x v="76"/>
    <n v="9.9599999999999992E-4"/>
    <n v="1.0199039999999999"/>
    <n v="1.0199039999999999"/>
    <x v="78"/>
    <x v="78"/>
    <s v="356"/>
  </r>
  <r>
    <s v="PSD"/>
    <s v="Outbound"/>
    <s v="BA Himachal Pradesh (IND)"/>
    <x v="76"/>
    <n v="1.2160000000000001E-3"/>
    <n v="1.2451840000000001"/>
    <n v="1.0199039999999999"/>
    <x v="78"/>
    <x v="78"/>
    <s v="356"/>
  </r>
  <r>
    <s v="PSD"/>
    <s v="Outbound"/>
    <s v="RJ Haryana (IND)"/>
    <x v="76"/>
    <n v="1E-3"/>
    <n v="1.024"/>
    <n v="1.0199039999999999"/>
    <x v="78"/>
    <x v="78"/>
    <s v="356"/>
  </r>
  <r>
    <s v="PSD"/>
    <s v="Outbound"/>
    <s v="BA Andhra Pradesh (IND)"/>
    <x v="76"/>
    <n v="1.2160000000000001E-3"/>
    <n v="1.2451840000000001"/>
    <n v="1.0199039999999999"/>
    <x v="78"/>
    <x v="78"/>
    <s v="356"/>
  </r>
  <r>
    <s v="PSD"/>
    <s v="Outbound"/>
    <s v="BA Karnataka (IND)"/>
    <x v="76"/>
    <n v="1.2160000000000001E-3"/>
    <n v="1.2451840000000001"/>
    <n v="1.0199039999999999"/>
    <x v="78"/>
    <x v="78"/>
    <s v="356"/>
  </r>
  <r>
    <s v="PSD"/>
    <s v="Outbound"/>
    <s v="VI Mumbai (IND) 1"/>
    <x v="76"/>
    <n v="5.372E-3"/>
    <n v="5.500928"/>
    <n v="1.0199039999999999"/>
    <x v="78"/>
    <x v="78"/>
    <s v="356"/>
  </r>
  <r>
    <s v="PSD"/>
    <s v="Outbound"/>
    <s v="RJ Mumbai (IND)"/>
    <x v="76"/>
    <n v="1E-3"/>
    <n v="1.024"/>
    <n v="1.0199039999999999"/>
    <x v="78"/>
    <x v="78"/>
    <s v="356"/>
  </r>
  <r>
    <s v="PSD"/>
    <s v="Outbound"/>
    <s v="BA Bihar (IND)"/>
    <x v="76"/>
    <n v="1.2160000000000001E-3"/>
    <n v="1.2451840000000001"/>
    <n v="1.0199039999999999"/>
    <x v="78"/>
    <x v="78"/>
    <s v="356"/>
  </r>
  <r>
    <s v="PSD"/>
    <s v="Outbound"/>
    <s v="RJ Punjab (IND)"/>
    <x v="76"/>
    <n v="1E-3"/>
    <n v="1.024"/>
    <n v="1.0199039999999999"/>
    <x v="78"/>
    <x v="78"/>
    <s v="356"/>
  </r>
  <r>
    <s v="PSD"/>
    <s v="Outbound"/>
    <s v="BA Madhya Pradesh (IND)"/>
    <x v="76"/>
    <n v="1.2160000000000001E-3"/>
    <n v="1.2451840000000001"/>
    <n v="1.0199039999999999"/>
    <x v="78"/>
    <x v="78"/>
    <s v="356"/>
  </r>
  <r>
    <s v="PSD"/>
    <s v="Outbound"/>
    <s v="BA Haryana (IND)"/>
    <x v="76"/>
    <n v="1.2160000000000001E-3"/>
    <n v="1.2451840000000001"/>
    <n v="1.0199039999999999"/>
    <x v="78"/>
    <x v="78"/>
    <s v="356"/>
  </r>
  <r>
    <s v="PSD"/>
    <s v="Outbound"/>
    <s v="BA North East (IND)"/>
    <x v="76"/>
    <n v="1.217E-3"/>
    <n v="1.246208"/>
    <n v="1.0199039999999999"/>
    <x v="78"/>
    <x v="78"/>
    <s v="356"/>
  </r>
  <r>
    <s v="PSD"/>
    <s v="Outbound"/>
    <s v="BA Maharashtra Goa (IND)"/>
    <x v="76"/>
    <n v="1.2160000000000001E-3"/>
    <n v="1.2451840000000001"/>
    <n v="1.0199039999999999"/>
    <x v="78"/>
    <x v="78"/>
    <s v="356"/>
  </r>
  <r>
    <s v="PSD"/>
    <s v="Outbound"/>
    <s v="BA Tamil Nadu (IND)"/>
    <x v="76"/>
    <n v="1.2160000000000001E-3"/>
    <n v="1.2451840000000001"/>
    <n v="1.0199039999999999"/>
    <x v="78"/>
    <x v="78"/>
    <s v="356"/>
  </r>
  <r>
    <s v="PSD"/>
    <s v="Outbound"/>
    <s v="RJ Kerala (IND)"/>
    <x v="76"/>
    <n v="1E-3"/>
    <n v="1.024"/>
    <n v="1.0199039999999999"/>
    <x v="78"/>
    <x v="78"/>
    <s v="356"/>
  </r>
  <r>
    <s v="PSD"/>
    <s v="Outbound"/>
    <s v="RJ Kolkatta (IND)"/>
    <x v="76"/>
    <n v="1E-3"/>
    <n v="1.024"/>
    <n v="1.0199039999999999"/>
    <x v="78"/>
    <x v="78"/>
    <s v="356"/>
  </r>
  <r>
    <s v="PSD"/>
    <s v="Outbound"/>
    <s v="VI Tamil Nadu Chennai (IND) 1"/>
    <x v="76"/>
    <n v="5.372E-3"/>
    <n v="5.500928"/>
    <n v="1.0199039999999999"/>
    <x v="78"/>
    <x v="78"/>
    <s v="356"/>
  </r>
  <r>
    <s v="PSD"/>
    <s v="Outbound"/>
    <s v="RJ Bihar (IND)"/>
    <x v="76"/>
    <n v="1E-3"/>
    <n v="1.024"/>
    <n v="1.0199039999999999"/>
    <x v="78"/>
    <x v="78"/>
    <s v="356"/>
  </r>
  <r>
    <s v="PSD"/>
    <s v="Outbound"/>
    <s v="VI Gujarat (IND) 1"/>
    <x v="76"/>
    <n v="5.372E-3"/>
    <n v="5.500928"/>
    <n v="1.0199039999999999"/>
    <x v="78"/>
    <x v="78"/>
    <s v="356"/>
  </r>
  <r>
    <s v="PSD"/>
    <s v="Outbound"/>
    <s v="VI Kolkata (IND) 1"/>
    <x v="76"/>
    <n v="5.3759999999999997E-3"/>
    <n v="5.5050239999999997"/>
    <n v="1.0199039999999999"/>
    <x v="78"/>
    <x v="78"/>
    <s v="356"/>
  </r>
  <r>
    <s v="PSD"/>
    <s v="Outbound"/>
    <s v="BA Kokata (IND)"/>
    <x v="76"/>
    <n v="1.2160000000000001E-3"/>
    <n v="1.2451840000000001"/>
    <n v="1.0199039999999999"/>
    <x v="78"/>
    <x v="78"/>
    <s v="356"/>
  </r>
  <r>
    <s v="PSD"/>
    <s v="Outbound"/>
    <s v="RJ Rajasthan (IND)"/>
    <x v="76"/>
    <n v="1E-3"/>
    <n v="1.024"/>
    <n v="1.0199039999999999"/>
    <x v="78"/>
    <x v="78"/>
    <s v="356"/>
  </r>
  <r>
    <s v="PSD"/>
    <s v="Outbound"/>
    <s v="RJ Himachal Pradesh (IND)"/>
    <x v="76"/>
    <n v="1.0039999999999999E-3"/>
    <n v="1.0280959999999999"/>
    <n v="1.0199039999999999"/>
    <x v="78"/>
    <x v="78"/>
    <s v="356"/>
  </r>
  <r>
    <s v="PSD"/>
    <s v="Outbound"/>
    <s v="BA West Bengal (IND)"/>
    <x v="76"/>
    <n v="1.2160000000000001E-3"/>
    <n v="1.2451840000000001"/>
    <n v="1.0199039999999999"/>
    <x v="78"/>
    <x v="78"/>
    <s v="356"/>
  </r>
  <r>
    <s v="PSD"/>
    <s v="Outbound"/>
    <s v="BA Gujarat (IND)"/>
    <x v="76"/>
    <n v="1.2160000000000001E-3"/>
    <n v="1.2451840000000001"/>
    <n v="1.0199039999999999"/>
    <x v="78"/>
    <x v="78"/>
    <s v="356"/>
  </r>
  <r>
    <s v="PSD"/>
    <s v="Outbound"/>
    <s v="BA Uttar Pradesh East (IND)"/>
    <x v="76"/>
    <n v="1.2160000000000001E-3"/>
    <n v="1.2451840000000001"/>
    <n v="1.0199039999999999"/>
    <x v="78"/>
    <x v="78"/>
    <s v="356"/>
  </r>
  <r>
    <s v="PSD"/>
    <s v="Outbound"/>
    <s v="Ooredoo Hutchison (IDN) 1"/>
    <x v="77"/>
    <n v="1E-3"/>
    <n v="1.024"/>
    <n v="0.56832000000000005"/>
    <x v="79"/>
    <x v="79"/>
    <s v="360"/>
  </r>
  <r>
    <s v="PSD"/>
    <s v="Outbound"/>
    <s v="Singtel (IDN)"/>
    <x v="77"/>
    <n v="5.5500000000000005E-4"/>
    <n v="0.56832000000000005"/>
    <n v="0.56832000000000005"/>
    <x v="79"/>
    <x v="79"/>
    <s v="360"/>
  </r>
  <r>
    <s v="PSD"/>
    <s v="Outbound"/>
    <s v="MTN (IRN)"/>
    <x v="78"/>
    <n v="5.0280000000000004E-3"/>
    <n v="5.1486720000000004"/>
    <n v="5.12"/>
    <x v="80"/>
    <x v="80"/>
    <s v="364"/>
  </r>
  <r>
    <s v="PSD"/>
    <s v="Outbound"/>
    <s v="MCI (IRN)"/>
    <x v="78"/>
    <n v="5.0000000000000001E-3"/>
    <n v="5.12"/>
    <n v="5.12"/>
    <x v="80"/>
    <x v="80"/>
    <s v="364"/>
  </r>
  <r>
    <s v="PSD"/>
    <s v="Outbound"/>
    <s v="Ooredoo (IRQ)"/>
    <x v="79"/>
    <n v="1.01E-3"/>
    <n v="1.03424"/>
    <n v="1.03424"/>
    <x v="81"/>
    <x v="81"/>
    <s v="368"/>
  </r>
  <r>
    <s v="PSD"/>
    <s v="Outbound"/>
    <s v="Eir (IRL)"/>
    <x v="80"/>
    <n v="5.5999999999999995E-4"/>
    <n v="0.57343999999999995"/>
    <n v="0.57343999999999995"/>
    <x v="82"/>
    <x v="82"/>
    <s v="372"/>
  </r>
  <r>
    <s v="PSD"/>
    <s v="Outbound"/>
    <s v="H3G (IRL) 1"/>
    <x v="80"/>
    <n v="8.1400000000000005E-4"/>
    <n v="0.83353600000000005"/>
    <n v="0.57343999999999995"/>
    <x v="82"/>
    <x v="82"/>
    <s v="372"/>
  </r>
  <r>
    <s v="PSD"/>
    <s v="Outbound"/>
    <s v="Vodafone (IRL)"/>
    <x v="80"/>
    <n v="7.6599999999999997E-4"/>
    <n v="0.78438399999999997"/>
    <n v="0.57343999999999995"/>
    <x v="82"/>
    <x v="82"/>
    <s v="372"/>
  </r>
  <r>
    <s v="PSD"/>
    <s v="Outbound"/>
    <s v="Cellcom (ISR)"/>
    <x v="81"/>
    <n v="1.1999999999999999E-3"/>
    <n v="1.2287999999999999"/>
    <n v="0.52019199999999999"/>
    <x v="83"/>
    <x v="83"/>
    <s v="376"/>
  </r>
  <r>
    <s v="PSD"/>
    <s v="Outbound"/>
    <s v="Pelephone (ISR)"/>
    <x v="81"/>
    <n v="1.1999999999999999E-3"/>
    <n v="1.2287999999999999"/>
    <n v="0.52019199999999999"/>
    <x v="83"/>
    <x v="83"/>
    <s v="376"/>
  </r>
  <r>
    <s v="PSD"/>
    <s v="Outbound"/>
    <s v="Partner (ISR)"/>
    <x v="81"/>
    <n v="5.1999999999999995E-4"/>
    <n v="0.53247999999999995"/>
    <n v="0.52019199999999999"/>
    <x v="83"/>
    <x v="83"/>
    <s v="376"/>
  </r>
  <r>
    <s v="PSD"/>
    <s v="Outbound"/>
    <s v="Altice (ISR) 2"/>
    <x v="81"/>
    <m/>
    <n v="0"/>
    <n v="0.52019199999999999"/>
    <x v="83"/>
    <x v="83"/>
    <s v="376"/>
  </r>
  <r>
    <s v="PSD"/>
    <s v="Outbound"/>
    <s v="Altice (ISR) 1"/>
    <x v="81"/>
    <n v="5.0799999999999999E-4"/>
    <n v="0.52019199999999999"/>
    <n v="0.52019199999999999"/>
    <x v="83"/>
    <x v="83"/>
    <s v="376"/>
  </r>
  <r>
    <s v="PSD"/>
    <s v="Outbound"/>
    <s v="Vodafone (ITA)"/>
    <x v="82"/>
    <n v="7.6599999999999997E-4"/>
    <n v="0.78438399999999997"/>
    <n v="0.55091199999999996"/>
    <x v="84"/>
    <x v="84"/>
    <s v="380"/>
  </r>
  <r>
    <s v="PSD"/>
    <s v="Outbound"/>
    <s v="Wind Tre (ITA) 2"/>
    <x v="82"/>
    <n v="8.1400000000000005E-4"/>
    <n v="0.83353600000000005"/>
    <n v="0.55091199999999996"/>
    <x v="84"/>
    <x v="84"/>
    <s v="380"/>
  </r>
  <r>
    <s v="PSD"/>
    <s v="Outbound"/>
    <s v="TIM (ITA)"/>
    <x v="82"/>
    <n v="7.4399999999999998E-4"/>
    <n v="0.76185599999999998"/>
    <n v="0.55091199999999996"/>
    <x v="84"/>
    <x v="84"/>
    <s v="380"/>
  </r>
  <r>
    <s v="PSD"/>
    <s v="Outbound"/>
    <s v="Iliad (ITA)"/>
    <x v="82"/>
    <n v="5.3799999999999996E-4"/>
    <n v="0.55091199999999996"/>
    <n v="0.55091199999999996"/>
    <x v="84"/>
    <x v="84"/>
    <s v="380"/>
  </r>
  <r>
    <s v="PSD"/>
    <s v="Outbound"/>
    <s v="Wind Tre (ITA) 1"/>
    <x v="82"/>
    <n v="8.1400000000000005E-4"/>
    <n v="0.83353600000000005"/>
    <n v="0.55091199999999996"/>
    <x v="84"/>
    <x v="84"/>
    <s v="380"/>
  </r>
  <r>
    <s v="PSD"/>
    <s v="Outbound"/>
    <s v="MTN (CIV)"/>
    <x v="83"/>
    <n v="2E-3"/>
    <n v="2.048"/>
    <n v="2.048"/>
    <x v="85"/>
    <x v="85"/>
    <s v="384"/>
  </r>
  <r>
    <s v="PSD"/>
    <s v="Outbound"/>
    <s v="IAM (CIV)"/>
    <x v="83"/>
    <m/>
    <n v="0"/>
    <n v="2.048"/>
    <x v="85"/>
    <x v="85"/>
    <s v="384"/>
  </r>
  <r>
    <s v="PSD"/>
    <s v="Outbound"/>
    <s v="Orange (CIV)"/>
    <x v="83"/>
    <m/>
    <n v="0"/>
    <n v="2.048"/>
    <x v="85"/>
    <x v="85"/>
    <s v="384"/>
  </r>
  <r>
    <s v="PSD"/>
    <s v="Outbound"/>
    <s v="Liberty (JAM)"/>
    <x v="84"/>
    <n v="3.0000000000000001E-3"/>
    <n v="3.0720000000000001"/>
    <n v="1.024"/>
    <x v="86"/>
    <x v="86"/>
    <s v="388"/>
  </r>
  <r>
    <s v="PSD"/>
    <s v="Outbound"/>
    <s v="Digicel 15 (JAM)"/>
    <x v="84"/>
    <n v="1E-3"/>
    <n v="1.024"/>
    <n v="1.024"/>
    <x v="86"/>
    <x v="86"/>
    <s v="388"/>
  </r>
  <r>
    <s v="PSD"/>
    <s v="Outbound"/>
    <s v="SoftBank (JPN)"/>
    <x v="85"/>
    <n v="1E-3"/>
    <n v="1.024"/>
    <n v="1.024"/>
    <x v="87"/>
    <x v="87"/>
    <s v="392"/>
  </r>
  <r>
    <s v="PSD"/>
    <s v="Outbound"/>
    <s v="NTT Docomo (JPN)"/>
    <x v="85"/>
    <n v="2.362E-3"/>
    <n v="2.4186879999999999"/>
    <n v="1.024"/>
    <x v="87"/>
    <x v="87"/>
    <s v="392"/>
  </r>
  <r>
    <s v="PSD"/>
    <s v="Outbound"/>
    <s v="ZOI (JOR)"/>
    <x v="86"/>
    <n v="1E-3"/>
    <n v="1.024"/>
    <n v="1.024"/>
    <x v="88"/>
    <x v="88"/>
    <s v="400"/>
  </r>
  <r>
    <s v="PSD"/>
    <s v="Outbound"/>
    <s v="Orange (JOR)"/>
    <x v="86"/>
    <n v="1.2999999999999999E-3"/>
    <n v="1.3311999999999999"/>
    <n v="1.024"/>
    <x v="88"/>
    <x v="88"/>
    <s v="400"/>
  </r>
  <r>
    <s v="PSD"/>
    <s v="Outbound"/>
    <s v="Batelco (JOR)"/>
    <x v="86"/>
    <n v="1.75E-3"/>
    <n v="1.792"/>
    <n v="1.024"/>
    <x v="88"/>
    <x v="88"/>
    <s v="400"/>
  </r>
  <r>
    <s v="PSD"/>
    <s v="Outbound"/>
    <s v="Kcell (KAZ)"/>
    <x v="87"/>
    <n v="2.709E-3"/>
    <n v="2.774016"/>
    <n v="1.024"/>
    <x v="89"/>
    <x v="89"/>
    <s v="398"/>
  </r>
  <r>
    <s v="PSD"/>
    <s v="Outbound"/>
    <s v="Tele2 (KAZ)"/>
    <x v="87"/>
    <n v="2.5000000000000001E-3"/>
    <n v="2.56"/>
    <n v="1.024"/>
    <x v="89"/>
    <x v="89"/>
    <s v="398"/>
  </r>
  <r>
    <s v="PSD"/>
    <s v="Outbound"/>
    <s v="Veon (KAZ)"/>
    <x v="87"/>
    <n v="1E-3"/>
    <n v="1.024"/>
    <n v="1.024"/>
    <x v="89"/>
    <x v="89"/>
    <s v="398"/>
  </r>
  <r>
    <s v="PSD"/>
    <s v="Outbound"/>
    <s v="Safaricom (KEN)"/>
    <x v="88"/>
    <n v="3.5669999999999999E-3"/>
    <n v="3.6526079999999999"/>
    <n v="3.6526079999999999"/>
    <x v="90"/>
    <x v="90"/>
    <s v="404"/>
  </r>
  <r>
    <s v="PSD"/>
    <s v="Outbound"/>
    <s v="Monaco Telecom (XKX)"/>
    <x v="89"/>
    <n v="1.5E-3"/>
    <n v="1.536"/>
    <n v="0.73216000000000003"/>
    <x v="91"/>
    <x v="91"/>
    <n v="0"/>
  </r>
  <r>
    <s v="PSD"/>
    <s v="Outbound"/>
    <s v="IPKO (XKX)"/>
    <x v="89"/>
    <n v="7.1500000000000003E-4"/>
    <n v="0.73216000000000003"/>
    <n v="0.73216000000000003"/>
    <x v="91"/>
    <x v="91"/>
    <n v="0"/>
  </r>
  <r>
    <s v="PSD"/>
    <s v="Outbound"/>
    <s v="Ooredoo (KWT)"/>
    <x v="90"/>
    <n v="1.374E-3"/>
    <n v="1.406976"/>
    <n v="1.024"/>
    <x v="92"/>
    <x v="92"/>
    <s v="414"/>
  </r>
  <r>
    <s v="PSD"/>
    <s v="Outbound"/>
    <s v="STC (KWT) 1"/>
    <x v="90"/>
    <n v="1E-3"/>
    <n v="1.024"/>
    <n v="1.024"/>
    <x v="92"/>
    <x v="92"/>
    <s v="414"/>
  </r>
  <r>
    <s v="PSD"/>
    <s v="Outbound"/>
    <s v="ZOI (KWT)"/>
    <x v="90"/>
    <n v="1.0009999999999999E-3"/>
    <n v="1.0250239999999999"/>
    <n v="1.024"/>
    <x v="92"/>
    <x v="92"/>
    <s v="414"/>
  </r>
  <r>
    <s v="PSD"/>
    <s v="Outbound"/>
    <s v="Alfa Telecom (KGZ)"/>
    <x v="91"/>
    <n v="3.5000000000000001E-3"/>
    <n v="3.5840000000000001"/>
    <n v="3.5840000000000001"/>
    <x v="93"/>
    <x v="93"/>
    <s v="417"/>
  </r>
  <r>
    <s v="PSD"/>
    <s v="Outbound"/>
    <s v="Viettel (LAO)"/>
    <x v="92"/>
    <n v="2.5000000000000001E-2"/>
    <n v="25.6"/>
    <n v="25.6"/>
    <x v="94"/>
    <x v="94"/>
    <s v="418"/>
  </r>
  <r>
    <s v="PSD"/>
    <s v="Outbound"/>
    <s v="Tele2 (LVA)"/>
    <x v="93"/>
    <n v="5.2400000000000005E-4"/>
    <n v="0.53657600000000005"/>
    <n v="0.20480000000000001"/>
    <x v="95"/>
    <x v="95"/>
    <s v="428"/>
  </r>
  <r>
    <s v="PSD"/>
    <s v="Outbound"/>
    <s v="Telia (LVA)"/>
    <x v="93"/>
    <n v="3.3500000000000001E-4"/>
    <n v="0.34304000000000001"/>
    <n v="0.20480000000000001"/>
    <x v="95"/>
    <x v="95"/>
    <s v="428"/>
  </r>
  <r>
    <s v="PSD"/>
    <s v="Outbound"/>
    <s v="Bite (LVA)"/>
    <x v="93"/>
    <n v="2.0000000000000001E-4"/>
    <n v="0.20480000000000001"/>
    <n v="0.20480000000000001"/>
    <x v="95"/>
    <x v="95"/>
    <s v="428"/>
  </r>
  <r>
    <s v="PSD"/>
    <s v="Outbound"/>
    <s v="Alfa MIC1 (LBN)"/>
    <x v="94"/>
    <n v="0.240843"/>
    <n v="246.623232"/>
    <n v="163.00441599999999"/>
    <x v="96"/>
    <x v="96"/>
    <s v="422"/>
  </r>
  <r>
    <s v="PSD"/>
    <s v="Outbound"/>
    <s v="Touch MIC2 (LBN)"/>
    <x v="94"/>
    <n v="0.15918399999999999"/>
    <n v="163.00441599999999"/>
    <n v="163.00441599999999"/>
    <x v="96"/>
    <x v="96"/>
    <s v="422"/>
  </r>
  <r>
    <s v="PSD"/>
    <s v="Outbound"/>
    <s v="Orange (LBR)"/>
    <x v="95"/>
    <n v="2.153E-3"/>
    <n v="2.204672"/>
    <n v="2.204672"/>
    <x v="97"/>
    <x v="97"/>
    <s v="430"/>
  </r>
  <r>
    <s v="PSD"/>
    <s v="Outbound"/>
    <s v="El Madar (LBY)"/>
    <x v="96"/>
    <n v="1.8983E-2"/>
    <n v="19.438592"/>
    <n v="19.438592"/>
    <x v="98"/>
    <x v="98"/>
    <s v="434"/>
  </r>
  <r>
    <s v="PSD"/>
    <s v="Outbound"/>
    <s v="A1 (LIE) 1"/>
    <x v="97"/>
    <n v="6.2200000000000005E-4"/>
    <n v="0.63692800000000005"/>
    <n v="0.63692800000000005"/>
    <x v="99"/>
    <x v="99"/>
    <s v="438"/>
  </r>
  <r>
    <s v="PSD"/>
    <s v="Outbound"/>
    <s v="Bite (LTU)"/>
    <x v="98"/>
    <n v="2.0000000000000001E-4"/>
    <n v="0.20480000000000001"/>
    <n v="0.20480000000000001"/>
    <x v="100"/>
    <x v="100"/>
    <s v="440"/>
  </r>
  <r>
    <s v="PSD"/>
    <s v="Outbound"/>
    <s v="Tele2 (LTU)"/>
    <x v="98"/>
    <n v="5.2400000000000005E-4"/>
    <n v="0.53657600000000005"/>
    <n v="0.20480000000000001"/>
    <x v="100"/>
    <x v="100"/>
    <s v="440"/>
  </r>
  <r>
    <s v="PSD"/>
    <s v="Outbound"/>
    <s v="Telia (LTU)"/>
    <x v="98"/>
    <n v="3.3500000000000001E-4"/>
    <n v="0.34304000000000001"/>
    <n v="0.20480000000000001"/>
    <x v="100"/>
    <x v="100"/>
    <s v="440"/>
  </r>
  <r>
    <s v="PSD"/>
    <s v="Outbound"/>
    <s v="Post (LUX)"/>
    <x v="99"/>
    <n v="6.5899999999999997E-4"/>
    <n v="0.67481599999999997"/>
    <n v="0.42188799999999999"/>
    <x v="101"/>
    <x v="101"/>
    <s v="442"/>
  </r>
  <r>
    <s v="PSD"/>
    <s v="Outbound"/>
    <s v="Orange (LUX)"/>
    <x v="99"/>
    <n v="7.18E-4"/>
    <n v="0.735232"/>
    <n v="0.42188799999999999"/>
    <x v="101"/>
    <x v="101"/>
    <s v="442"/>
  </r>
  <r>
    <s v="PSD"/>
    <s v="Outbound"/>
    <s v="Proximus (LUX)"/>
    <x v="99"/>
    <n v="4.1199999999999999E-4"/>
    <n v="0.42188799999999999"/>
    <n v="0.42188799999999999"/>
    <x v="101"/>
    <x v="101"/>
    <s v="442"/>
  </r>
  <r>
    <s v="PSD"/>
    <s v="Outbound"/>
    <s v="CTM (MAC)"/>
    <x v="100"/>
    <n v="3.0000000000000001E-3"/>
    <n v="3.0720000000000001"/>
    <n v="3.0720000000000001"/>
    <x v="102"/>
    <x v="102"/>
    <s v="446"/>
  </r>
  <r>
    <s v="PSD"/>
    <s v="Outbound"/>
    <s v="Yas (MDG)"/>
    <x v="101"/>
    <n v="2E-3"/>
    <n v="2.048"/>
    <n v="2.048"/>
    <x v="103"/>
    <x v="103"/>
    <s v="450"/>
  </r>
  <r>
    <s v="PSD"/>
    <s v="Outbound"/>
    <s v="Cellcom (MYS) 1"/>
    <x v="102"/>
    <n v="2.7999999999999998E-4"/>
    <n v="0.28671999999999997"/>
    <n v="0.28671999999999997"/>
    <x v="104"/>
    <x v="104"/>
    <s v="458"/>
  </r>
  <r>
    <s v="PSD"/>
    <s v="Outbound"/>
    <s v="Telenor (MYS)"/>
    <x v="102"/>
    <n v="2.7999999999999998E-4"/>
    <n v="0.28671999999999997"/>
    <n v="0.28671999999999997"/>
    <x v="104"/>
    <x v="104"/>
    <s v="458"/>
  </r>
  <r>
    <s v="PSD"/>
    <s v="Outbound"/>
    <s v="Maxis (MYS)"/>
    <x v="102"/>
    <n v="9.59E-4"/>
    <n v="0.982016"/>
    <n v="0.28671999999999997"/>
    <x v="104"/>
    <x v="104"/>
    <s v="458"/>
  </r>
  <r>
    <s v="PSD"/>
    <s v="Outbound"/>
    <s v="Ooredoo (MDV)"/>
    <x v="103"/>
    <n v="0.42705399999999999"/>
    <n v="437.30329599999999"/>
    <n v="437.30329599999999"/>
    <x v="105"/>
    <x v="105"/>
    <s v="462"/>
  </r>
  <r>
    <s v="PSD"/>
    <s v="Outbound"/>
    <s v="Orange (MLI)"/>
    <x v="104"/>
    <n v="1.949E-3"/>
    <n v="1.995776"/>
    <n v="1.995776"/>
    <x v="106"/>
    <x v="106"/>
    <s v="466"/>
  </r>
  <r>
    <s v="PSD"/>
    <s v="Outbound"/>
    <s v="GoMobile (MLT)"/>
    <x v="105"/>
    <n v="2.4699999999999999E-4"/>
    <n v="0.25292799999999999"/>
    <n v="0.19456000000000001"/>
    <x v="107"/>
    <x v="107"/>
    <s v="470"/>
  </r>
  <r>
    <s v="PSD"/>
    <s v="Outbound"/>
    <s v="Epic (MLT)"/>
    <x v="105"/>
    <n v="1.9000000000000001E-4"/>
    <n v="0.19456000000000001"/>
    <n v="0.19456000000000001"/>
    <x v="107"/>
    <x v="107"/>
    <s v="470"/>
  </r>
  <r>
    <s v="PSD"/>
    <s v="Outbound"/>
    <s v="Melita (MLT)"/>
    <x v="105"/>
    <n v="6.8000000000000005E-4"/>
    <n v="0.69632000000000005"/>
    <n v="0.19456000000000001"/>
    <x v="107"/>
    <x v="107"/>
    <s v="470"/>
  </r>
  <r>
    <s v="PSD"/>
    <s v="Outbound"/>
    <s v="WMS (AAM)"/>
    <x v="106"/>
    <n v="1.8"/>
    <n v="1843.2"/>
    <n v="358.4"/>
    <x v="108"/>
    <x v="0"/>
    <s v="N/A"/>
  </r>
  <r>
    <s v="PSD"/>
    <s v="Outbound"/>
    <s v="Epic (AAM)"/>
    <x v="106"/>
    <n v="1.2"/>
    <n v="1228.8"/>
    <n v="358.4"/>
    <x v="108"/>
    <x v="0"/>
    <s v="N/A"/>
  </r>
  <r>
    <s v="PSD"/>
    <s v="Outbound"/>
    <s v="TIM (AAM)"/>
    <x v="106"/>
    <n v="2.3408509999999998"/>
    <n v="2397.0314239999998"/>
    <n v="358.4"/>
    <x v="108"/>
    <x v="0"/>
    <s v="N/A"/>
  </r>
  <r>
    <s v="PSD"/>
    <s v="Outbound"/>
    <s v="Telenor (AAM)"/>
    <x v="106"/>
    <n v="0.35"/>
    <n v="358.4"/>
    <n v="358.4"/>
    <x v="108"/>
    <x v="0"/>
    <s v="N/A"/>
  </r>
  <r>
    <s v="PSD"/>
    <s v="Outbound"/>
    <s v="Mattel (MRT)"/>
    <x v="107"/>
    <n v="4.0000000000000001E-3"/>
    <n v="4.0960000000000001"/>
    <n v="4.0960000000000001"/>
    <x v="109"/>
    <x v="108"/>
    <s v="478"/>
  </r>
  <r>
    <s v="PSD"/>
    <s v="Outbound"/>
    <s v="Cellplus (MUS)"/>
    <x v="108"/>
    <n v="2.0010000000000002E-3"/>
    <n v="2.0490240000000002"/>
    <n v="2.0490240000000002"/>
    <x v="110"/>
    <x v="109"/>
    <s v="480"/>
  </r>
  <r>
    <s v="PSD"/>
    <s v="Outbound"/>
    <s v="MTML (MUS)"/>
    <x v="108"/>
    <n v="0.01"/>
    <n v="10.24"/>
    <n v="2.0490240000000002"/>
    <x v="110"/>
    <x v="109"/>
    <s v="480"/>
  </r>
  <r>
    <s v="PSD"/>
    <s v="Outbound"/>
    <s v="Emtel (MUS)"/>
    <x v="108"/>
    <n v="2.0019999999999999E-3"/>
    <n v="2.0500479999999999"/>
    <n v="2.0490240000000002"/>
    <x v="110"/>
    <x v="109"/>
    <s v="480"/>
  </r>
  <r>
    <s v="PSD"/>
    <s v="Outbound"/>
    <s v="ATT (MEX) 1"/>
    <x v="109"/>
    <n v="1.5E-3"/>
    <n v="1.536"/>
    <n v="1.024"/>
    <x v="111"/>
    <x v="110"/>
    <s v="484"/>
  </r>
  <r>
    <s v="PSD"/>
    <s v="Outbound"/>
    <s v="Altan (MEX)"/>
    <x v="109"/>
    <n v="3.0000000000000001E-3"/>
    <n v="3.0720000000000001"/>
    <n v="1.024"/>
    <x v="111"/>
    <x v="110"/>
    <s v="484"/>
  </r>
  <r>
    <s v="PSD"/>
    <s v="Outbound"/>
    <s v="Telefonica (MEX)"/>
    <x v="109"/>
    <n v="1.614E-3"/>
    <n v="1.652736"/>
    <n v="1.024"/>
    <x v="111"/>
    <x v="110"/>
    <s v="484"/>
  </r>
  <r>
    <s v="PSD"/>
    <s v="Outbound"/>
    <s v="AMX (MEX)"/>
    <x v="109"/>
    <n v="1E-3"/>
    <n v="1.024"/>
    <n v="1.024"/>
    <x v="111"/>
    <x v="110"/>
    <s v="484"/>
  </r>
  <r>
    <s v="PSD"/>
    <s v="Outbound"/>
    <s v="Moldcell (MDA)"/>
    <x v="110"/>
    <n v="6.9999999999999999E-4"/>
    <n v="0.71679999999999999"/>
    <n v="0.71679999999999999"/>
    <x v="112"/>
    <x v="111"/>
    <s v="498"/>
  </r>
  <r>
    <s v="PSD"/>
    <s v="Outbound"/>
    <s v="Orange (MDA)"/>
    <x v="110"/>
    <n v="7.18E-4"/>
    <n v="0.735232"/>
    <n v="0.71679999999999999"/>
    <x v="112"/>
    <x v="111"/>
    <s v="498"/>
  </r>
  <r>
    <s v="PSD"/>
    <s v="Outbound"/>
    <s v="Moldtelecom (MDA)"/>
    <x v="110"/>
    <n v="8.0000000000000004E-4"/>
    <n v="0.81920000000000004"/>
    <n v="0.71679999999999999"/>
    <x v="112"/>
    <x v="111"/>
    <s v="498"/>
  </r>
  <r>
    <s v="PSD"/>
    <s v="Outbound"/>
    <s v="Monaco Telecom (MCO)"/>
    <x v="111"/>
    <n v="8.2810000000000002E-3"/>
    <n v="8.4797440000000002"/>
    <n v="8.4797440000000002"/>
    <x v="113"/>
    <x v="112"/>
    <s v="492"/>
  </r>
  <r>
    <s v="PSD"/>
    <s v="Outbound"/>
    <s v="Unitel (MNG)"/>
    <x v="112"/>
    <n v="3.003E-3"/>
    <n v="3.075072"/>
    <n v="3.075072"/>
    <x v="114"/>
    <x v="113"/>
    <s v="496"/>
  </r>
  <r>
    <s v="PSD"/>
    <s v="Outbound"/>
    <s v="Mtel (MNE)"/>
    <x v="113"/>
    <n v="7.5000000000000002E-4"/>
    <n v="0.76800000000000002"/>
    <n v="0.76800000000000002"/>
    <x v="115"/>
    <x v="114"/>
    <s v="499"/>
  </r>
  <r>
    <s v="PSD"/>
    <s v="Outbound"/>
    <s v="DT (MNE)"/>
    <x v="113"/>
    <n v="1E-3"/>
    <n v="1.024"/>
    <n v="0.76800000000000002"/>
    <x v="115"/>
    <x v="114"/>
    <s v="499"/>
  </r>
  <r>
    <s v="PSD"/>
    <s v="Outbound"/>
    <s v="One (MNE)"/>
    <x v="113"/>
    <n v="9.3499999999999996E-4"/>
    <n v="0.95743999999999996"/>
    <n v="0.76800000000000002"/>
    <x v="115"/>
    <x v="114"/>
    <s v="499"/>
  </r>
  <r>
    <s v="PSD"/>
    <s v="Outbound"/>
    <s v="Liberty (MSR)"/>
    <x v="114"/>
    <n v="3.0000000000000001E-3"/>
    <n v="3.0720000000000001"/>
    <n v="3.0720000000000001"/>
    <x v="116"/>
    <x v="115"/>
    <s v="500"/>
  </r>
  <r>
    <s v="PSD"/>
    <s v="Outbound"/>
    <s v="Wana (MAR)"/>
    <x v="115"/>
    <n v="2E-3"/>
    <n v="2.048"/>
    <n v="1.024"/>
    <x v="117"/>
    <x v="116"/>
    <s v="504"/>
  </r>
  <r>
    <s v="PSD"/>
    <s v="Outbound"/>
    <s v="IAM (MAR)"/>
    <x v="115"/>
    <n v="1E-3"/>
    <n v="1.024"/>
    <n v="1.024"/>
    <x v="117"/>
    <x v="116"/>
    <s v="504"/>
  </r>
  <r>
    <s v="PSD"/>
    <s v="Outbound"/>
    <s v="Orange (MAR)"/>
    <x v="115"/>
    <n v="1E-3"/>
    <n v="1.024"/>
    <n v="1.024"/>
    <x v="117"/>
    <x v="116"/>
    <s v="504"/>
  </r>
  <r>
    <s v="PSD"/>
    <s v="Outbound"/>
    <s v="Vodafone (MOZ)"/>
    <x v="116"/>
    <n v="9.3509999999999999E-3"/>
    <n v="9.5754239999999999"/>
    <n v="9.5754239999999999"/>
    <x v="118"/>
    <x v="117"/>
    <s v="508"/>
  </r>
  <r>
    <s v="PSD"/>
    <s v="Outbound"/>
    <s v="Telecom (NAM)"/>
    <x v="117"/>
    <n v="5.0029999999999996E-3"/>
    <n v="5.1230719999999996"/>
    <n v="5.1230719999999996"/>
    <x v="119"/>
    <x v="118"/>
    <s v="516"/>
  </r>
  <r>
    <s v="PSD"/>
    <s v="Outbound"/>
    <s v="Axiata (NPL)"/>
    <x v="118"/>
    <n v="0.03"/>
    <n v="30.72"/>
    <n v="10.24"/>
    <x v="120"/>
    <x v="119"/>
    <s v="524"/>
  </r>
  <r>
    <s v="PSD"/>
    <s v="Outbound"/>
    <s v="NTC (NPL)"/>
    <x v="118"/>
    <n v="0.01"/>
    <n v="10.24"/>
    <n v="10.24"/>
    <x v="120"/>
    <x v="119"/>
    <s v="524"/>
  </r>
  <r>
    <s v="PSD"/>
    <s v="Outbound"/>
    <s v="KPN (NLD) 1"/>
    <x v="119"/>
    <n v="4.0000000000000002E-4"/>
    <n v="0.40960000000000002"/>
    <n v="0.40960000000000002"/>
    <x v="121"/>
    <x v="120"/>
    <s v="528"/>
  </r>
  <r>
    <s v="PSD"/>
    <s v="Outbound"/>
    <s v="Vodafone (NLD)"/>
    <x v="119"/>
    <n v="7.6599999999999997E-4"/>
    <n v="0.78438399999999997"/>
    <n v="0.40960000000000002"/>
    <x v="121"/>
    <x v="120"/>
    <s v="528"/>
  </r>
  <r>
    <s v="PSD"/>
    <s v="Outbound"/>
    <s v="Odido (NLD) 1"/>
    <x v="119"/>
    <n v="6.38E-4"/>
    <n v="0.653312"/>
    <n v="0.40960000000000002"/>
    <x v="121"/>
    <x v="120"/>
    <s v="528"/>
  </r>
  <r>
    <s v="PSD"/>
    <s v="Outbound"/>
    <s v="Liberty (ANT)"/>
    <x v="120"/>
    <n v="3.0000000000000001E-3"/>
    <n v="3.0720000000000001"/>
    <n v="1.024"/>
    <x v="122"/>
    <x v="121"/>
    <s v="535"/>
  </r>
  <r>
    <s v="PSD"/>
    <s v="Outbound"/>
    <s v="Telcell (ANT)"/>
    <x v="120"/>
    <n v="1E-3"/>
    <n v="1.024"/>
    <n v="1.024"/>
    <x v="122"/>
    <x v="121"/>
    <s v="535"/>
  </r>
  <r>
    <s v="PSD"/>
    <s v="Outbound"/>
    <s v="Spark (NZL)"/>
    <x v="121"/>
    <n v="4.8000000000000001E-4"/>
    <n v="0.49152000000000001"/>
    <n v="0.49152000000000001"/>
    <x v="123"/>
    <x v="122"/>
    <s v="554"/>
  </r>
  <r>
    <s v="PSD"/>
    <s v="Outbound"/>
    <s v="Vodafone (NZL)"/>
    <x v="121"/>
    <n v="1.3990000000000001E-3"/>
    <n v="1.4325760000000001"/>
    <n v="0.49152000000000001"/>
    <x v="123"/>
    <x v="122"/>
    <s v="554"/>
  </r>
  <r>
    <s v="PSD"/>
    <s v="Outbound"/>
    <s v="Two Degrees (NZL)"/>
    <x v="121"/>
    <n v="4.0000000000000001E-3"/>
    <n v="4.0960000000000001"/>
    <n v="0.49152000000000001"/>
    <x v="123"/>
    <x v="122"/>
    <s v="554"/>
  </r>
  <r>
    <s v="PSD"/>
    <s v="Outbound"/>
    <s v="Tigo (NIC)"/>
    <x v="122"/>
    <n v="2.0929999999999998E-3"/>
    <n v="2.1432319999999998"/>
    <n v="1.024"/>
    <x v="124"/>
    <x v="123"/>
    <s v="558"/>
  </r>
  <r>
    <s v="PSD"/>
    <s v="Outbound"/>
    <s v="AMX (NIC)"/>
    <x v="122"/>
    <n v="1E-3"/>
    <n v="1.024"/>
    <n v="1.024"/>
    <x v="124"/>
    <x v="123"/>
    <s v="558"/>
  </r>
  <r>
    <s v="PSD"/>
    <s v="Outbound"/>
    <s v="MTN (NGA)"/>
    <x v="123"/>
    <n v="2E-3"/>
    <n v="2.048"/>
    <n v="2.048"/>
    <x v="125"/>
    <x v="124"/>
    <s v="566"/>
  </r>
  <r>
    <s v="PSD"/>
    <s v="Outbound"/>
    <s v="Airtel (NGA)"/>
    <x v="123"/>
    <n v="2.3E-3"/>
    <n v="2.3552"/>
    <n v="2.048"/>
    <x v="125"/>
    <x v="124"/>
    <s v="566"/>
  </r>
  <r>
    <s v="PSD"/>
    <s v="Outbound"/>
    <s v="DT (MKD)"/>
    <x v="124"/>
    <n v="8.0000000000000004E-4"/>
    <n v="0.81920000000000004"/>
    <n v="0.63692800000000005"/>
    <x v="126"/>
    <x v="125"/>
    <s v="807"/>
  </r>
  <r>
    <s v="PSD"/>
    <s v="Outbound"/>
    <s v="A1 (MKD) 1"/>
    <x v="124"/>
    <n v="6.2200000000000005E-4"/>
    <n v="0.63692800000000005"/>
    <n v="0.63692800000000005"/>
    <x v="126"/>
    <x v="125"/>
    <s v="807"/>
  </r>
  <r>
    <s v="PSD"/>
    <s v="Outbound"/>
    <s v="Telia (NOR) 1"/>
    <x v="125"/>
    <n v="3.3500000000000001E-4"/>
    <n v="0.34304000000000001"/>
    <n v="0.26112000000000002"/>
    <x v="127"/>
    <x v="126"/>
    <s v="578"/>
  </r>
  <r>
    <s v="PSD"/>
    <s v="Outbound"/>
    <s v="Telenor (NOR)"/>
    <x v="125"/>
    <n v="2.5500000000000002E-4"/>
    <n v="0.26112000000000002"/>
    <n v="0.26112000000000002"/>
    <x v="127"/>
    <x v="126"/>
    <s v="578"/>
  </r>
  <r>
    <s v="PSD"/>
    <s v="Outbound"/>
    <s v="Ooredoo (OMN)"/>
    <x v="126"/>
    <n v="2.0409999999999998E-3"/>
    <n v="2.0899839999999998"/>
    <n v="2.0899839999999998"/>
    <x v="128"/>
    <x v="127"/>
    <s v="512"/>
  </r>
  <r>
    <s v="PSD"/>
    <s v="Outbound"/>
    <s v="ZOI (OMN)"/>
    <x v="126"/>
    <m/>
    <n v="0"/>
    <n v="2.0899839999999998"/>
    <x v="128"/>
    <x v="127"/>
    <s v="512"/>
  </r>
  <r>
    <s v="PSD"/>
    <s v="Outbound"/>
    <s v="Telenor (PAK)"/>
    <x v="127"/>
    <n v="2.7999999999999998E-4"/>
    <n v="0.28671999999999997"/>
    <n v="0.28671999999999997"/>
    <x v="129"/>
    <x v="128"/>
    <s v="586"/>
  </r>
  <r>
    <s v="PSD"/>
    <s v="Outbound"/>
    <s v="Paktel (PAK)"/>
    <x v="127"/>
    <n v="1.0999999999999999E-2"/>
    <n v="11.263999999999999"/>
    <n v="0.28671999999999997"/>
    <x v="129"/>
    <x v="128"/>
    <s v="586"/>
  </r>
  <r>
    <s v="PSD"/>
    <s v="Outbound"/>
    <s v="PNCC (PLW)"/>
    <x v="128"/>
    <n v="0.05"/>
    <n v="51.2"/>
    <n v="51.2"/>
    <x v="130"/>
    <x v="129"/>
    <s v="585"/>
  </r>
  <r>
    <s v="PSD"/>
    <s v="Outbound"/>
    <s v="Ooredoo (PSE)"/>
    <x v="129"/>
    <n v="1E-3"/>
    <n v="1.024"/>
    <n v="1.024"/>
    <x v="131"/>
    <x v="130"/>
    <s v="275"/>
  </r>
  <r>
    <s v="PSD"/>
    <s v="Outbound"/>
    <s v="Liberty (PAN) 1"/>
    <x v="130"/>
    <n v="3.0000000000000001E-3"/>
    <n v="3.0720000000000001"/>
    <n v="3.0720000000000001"/>
    <x v="132"/>
    <x v="131"/>
    <s v="591"/>
  </r>
  <r>
    <s v="PSD"/>
    <s v="Outbound"/>
    <s v="Digicel (PNG)"/>
    <x v="131"/>
    <n v="5.0000000000000001E-3"/>
    <n v="5.12"/>
    <n v="5.12"/>
    <x v="133"/>
    <x v="132"/>
    <s v="598"/>
  </r>
  <r>
    <s v="PSD"/>
    <s v="Outbound"/>
    <s v="Telikom Limited (PNG) 2"/>
    <x v="131"/>
    <n v="0.01"/>
    <n v="10.24"/>
    <n v="5.12"/>
    <x v="133"/>
    <x v="132"/>
    <s v="598"/>
  </r>
  <r>
    <s v="PSD"/>
    <s v="Outbound"/>
    <s v="Tigo (PRY)"/>
    <x v="132"/>
    <n v="2.0929999999999998E-3"/>
    <n v="2.1432319999999998"/>
    <n v="1.0885119999999999"/>
    <x v="134"/>
    <x v="133"/>
    <s v="600"/>
  </r>
  <r>
    <s v="PSD"/>
    <s v="Outbound"/>
    <s v="Nucleo (PRY)"/>
    <x v="132"/>
    <n v="1.0629999999999999E-3"/>
    <n v="1.0885119999999999"/>
    <n v="1.0885119999999999"/>
    <x v="134"/>
    <x v="133"/>
    <s v="600"/>
  </r>
  <r>
    <s v="PSD"/>
    <s v="Outbound"/>
    <s v="AMX (PER)"/>
    <x v="133"/>
    <n v="1E-3"/>
    <n v="1.024"/>
    <n v="1.024"/>
    <x v="135"/>
    <x v="134"/>
    <s v="604"/>
  </r>
  <r>
    <s v="PSD"/>
    <s v="Outbound"/>
    <s v="Entel (PER)"/>
    <x v="133"/>
    <n v="2E-3"/>
    <n v="2.048"/>
    <n v="1.024"/>
    <x v="135"/>
    <x v="134"/>
    <s v="604"/>
  </r>
  <r>
    <s v="PSD"/>
    <s v="Outbound"/>
    <s v="Telefonica (PER)"/>
    <x v="133"/>
    <n v="1.614E-3"/>
    <n v="1.652736"/>
    <n v="1.024"/>
    <x v="135"/>
    <x v="134"/>
    <s v="604"/>
  </r>
  <r>
    <s v="PSD"/>
    <s v="Outbound"/>
    <s v="Smart (PHL)"/>
    <x v="134"/>
    <n v="3.0010000000000002E-3"/>
    <n v="3.0730240000000002"/>
    <n v="0.56832000000000005"/>
    <x v="136"/>
    <x v="135"/>
    <s v="608"/>
  </r>
  <r>
    <s v="PSD"/>
    <s v="Outbound"/>
    <s v="Singtel (PHL)"/>
    <x v="134"/>
    <n v="5.5500000000000005E-4"/>
    <n v="0.56832000000000005"/>
    <n v="0.56832000000000005"/>
    <x v="136"/>
    <x v="135"/>
    <s v="608"/>
  </r>
  <r>
    <s v="PSD"/>
    <s v="Outbound"/>
    <s v="P4 (POL)"/>
    <x v="135"/>
    <n v="5.3799999999999996E-4"/>
    <n v="0.55091199999999996"/>
    <n v="0.55091199999999996"/>
    <x v="137"/>
    <x v="136"/>
    <s v="616"/>
  </r>
  <r>
    <s v="PSD"/>
    <s v="Outbound"/>
    <s v="DT (POL)"/>
    <x v="135"/>
    <n v="8.5999999999999998E-4"/>
    <n v="0.88063999999999998"/>
    <n v="0.55091199999999996"/>
    <x v="137"/>
    <x v="136"/>
    <s v="616"/>
  </r>
  <r>
    <s v="PSD"/>
    <s v="Outbound"/>
    <s v="Orange (POL)"/>
    <x v="135"/>
    <n v="7.18E-4"/>
    <n v="0.735232"/>
    <n v="0.55091199999999996"/>
    <x v="137"/>
    <x v="136"/>
    <s v="616"/>
  </r>
  <r>
    <s v="PSD"/>
    <s v="Outbound"/>
    <s v="Polkomtel (POL)"/>
    <x v="135"/>
    <n v="1.1249999999999999E-3"/>
    <n v="1.1519999999999999"/>
    <n v="0.55091199999999996"/>
    <x v="137"/>
    <x v="136"/>
    <s v="616"/>
  </r>
  <r>
    <s v="PSD"/>
    <s v="Outbound"/>
    <s v="Vodafone (PRT)"/>
    <x v="136"/>
    <n v="7.6599999999999997E-4"/>
    <n v="0.78438399999999997"/>
    <n v="0.51302400000000004"/>
    <x v="138"/>
    <x v="137"/>
    <s v="620"/>
  </r>
  <r>
    <s v="PSD"/>
    <s v="Outbound"/>
    <s v="Altice (PRT)"/>
    <x v="136"/>
    <n v="5.0799999999999999E-4"/>
    <n v="0.52019199999999999"/>
    <n v="0.51302400000000004"/>
    <x v="138"/>
    <x v="137"/>
    <s v="620"/>
  </r>
  <r>
    <s v="PSD"/>
    <s v="Outbound"/>
    <s v="NOS (PRT)"/>
    <x v="136"/>
    <n v="5.0100000000000003E-4"/>
    <n v="0.51302400000000004"/>
    <n v="0.51302400000000004"/>
    <x v="138"/>
    <x v="137"/>
    <s v="620"/>
  </r>
  <r>
    <s v="PSD"/>
    <s v="Outbound"/>
    <s v="Liberty (PRI)"/>
    <x v="137"/>
    <n v="3.0000000000000001E-3"/>
    <n v="3.0720000000000001"/>
    <n v="1.0260480000000001"/>
    <x v="139"/>
    <x v="138"/>
    <s v="630"/>
  </r>
  <r>
    <s v="PSD"/>
    <s v="Outbound"/>
    <s v="AMX (PRI)"/>
    <x v="137"/>
    <n v="1.0020000000000001E-3"/>
    <n v="1.0260480000000001"/>
    <n v="1.0260480000000001"/>
    <x v="139"/>
    <x v="138"/>
    <s v="630"/>
  </r>
  <r>
    <s v="PSD"/>
    <s v="Outbound"/>
    <s v="Vodafone (QAT)"/>
    <x v="138"/>
    <n v="1.5E-3"/>
    <n v="1.536"/>
    <n v="1.024"/>
    <x v="140"/>
    <x v="139"/>
    <s v="634"/>
  </r>
  <r>
    <s v="PSD"/>
    <s v="Outbound"/>
    <s v="Ooredoo (QAT)"/>
    <x v="138"/>
    <n v="1E-3"/>
    <n v="1.024"/>
    <n v="1.024"/>
    <x v="140"/>
    <x v="139"/>
    <s v="634"/>
  </r>
  <r>
    <s v="PSD"/>
    <s v="Outbound"/>
    <s v="Orange (REU)"/>
    <x v="139"/>
    <n v="7.18E-4"/>
    <n v="0.735232"/>
    <n v="0.735232"/>
    <x v="141"/>
    <x v="140"/>
    <s v="638"/>
  </r>
  <r>
    <s v="PSD"/>
    <s v="Outbound"/>
    <s v="DT (ROM)"/>
    <x v="140"/>
    <n v="9.5E-4"/>
    <n v="0.9728"/>
    <n v="0.23347200000000001"/>
    <x v="142"/>
    <x v="141"/>
    <s v="642"/>
  </r>
  <r>
    <s v="PSD"/>
    <s v="Outbound"/>
    <s v="Digi (ROM)"/>
    <x v="140"/>
    <n v="2.2800000000000001E-4"/>
    <n v="0.23347200000000001"/>
    <n v="0.23347200000000001"/>
    <x v="142"/>
    <x v="141"/>
    <s v="642"/>
  </r>
  <r>
    <s v="PSD"/>
    <s v="Outbound"/>
    <s v="Vodafone (ROM)"/>
    <x v="140"/>
    <n v="7.6599999999999997E-4"/>
    <n v="0.78438399999999997"/>
    <n v="0.23347200000000001"/>
    <x v="142"/>
    <x v="141"/>
    <s v="642"/>
  </r>
  <r>
    <s v="PSD"/>
    <s v="Outbound"/>
    <s v="Orange (ROM)"/>
    <x v="140"/>
    <n v="7.18E-4"/>
    <n v="0.735232"/>
    <n v="0.23347200000000001"/>
    <x v="142"/>
    <x v="141"/>
    <s v="642"/>
  </r>
  <r>
    <s v="PSD"/>
    <s v="Outbound"/>
    <s v="MTS (RUS)"/>
    <x v="141"/>
    <n v="2.6217000000000001E-2"/>
    <n v="26.846208000000001"/>
    <n v="2.117632"/>
    <x v="143"/>
    <x v="142"/>
    <s v="643"/>
  </r>
  <r>
    <s v="PSD"/>
    <s v="Outbound"/>
    <s v="VimpelCom (RUS)"/>
    <x v="141"/>
    <n v="2.068E-3"/>
    <n v="2.117632"/>
    <n v="2.117632"/>
    <x v="143"/>
    <x v="142"/>
    <s v="643"/>
  </r>
  <r>
    <s v="PSD"/>
    <s v="Outbound"/>
    <s v="MegaFon (RUS)"/>
    <x v="141"/>
    <n v="4.5539999999999999E-3"/>
    <n v="4.6632959999999999"/>
    <n v="2.117632"/>
    <x v="143"/>
    <x v="142"/>
    <s v="643"/>
  </r>
  <r>
    <s v="PSD"/>
    <s v="Outbound"/>
    <s v="Tele2 (RUS) 5"/>
    <x v="141"/>
    <n v="6.0000000000000001E-3"/>
    <n v="6.1440000000000001"/>
    <n v="2.117632"/>
    <x v="143"/>
    <x v="142"/>
    <s v="643"/>
  </r>
  <r>
    <s v="PSD"/>
    <s v="Outbound"/>
    <s v="Airtel (RWA) 2"/>
    <x v="142"/>
    <n v="2.3E-3"/>
    <n v="2.3552"/>
    <n v="2.048"/>
    <x v="144"/>
    <x v="143"/>
    <s v="646"/>
  </r>
  <r>
    <s v="PSD"/>
    <s v="Outbound"/>
    <s v="MTN (RWA)"/>
    <x v="142"/>
    <n v="2E-3"/>
    <n v="2.048"/>
    <n v="2.048"/>
    <x v="144"/>
    <x v="143"/>
    <s v="646"/>
  </r>
  <r>
    <s v="PSD"/>
    <s v="Outbound"/>
    <s v="Liberty (KNA)"/>
    <x v="143"/>
    <n v="3.0000000000000001E-3"/>
    <n v="3.0720000000000001"/>
    <n v="3.0720000000000001"/>
    <x v="145"/>
    <x v="144"/>
    <s v="659"/>
  </r>
  <r>
    <s v="PSD"/>
    <s v="Outbound"/>
    <s v="Liberty (LCA)"/>
    <x v="144"/>
    <n v="3.0000000000000001E-3"/>
    <n v="3.0720000000000001"/>
    <n v="3.0720000000000001"/>
    <x v="146"/>
    <x v="145"/>
    <s v="662"/>
  </r>
  <r>
    <s v="PSD"/>
    <s v="Outbound"/>
    <s v="Liberty (VCT)"/>
    <x v="145"/>
    <n v="3.0000000000000001E-3"/>
    <n v="3.0720000000000001"/>
    <n v="3.0720000000000001"/>
    <x v="147"/>
    <x v="146"/>
    <s v="670"/>
  </r>
  <r>
    <s v="PSD"/>
    <s v="Outbound"/>
    <s v="Digicel (WSM)"/>
    <x v="146"/>
    <n v="4.0000000000000001E-3"/>
    <n v="4.0960000000000001"/>
    <n v="4.0960000000000001"/>
    <x v="148"/>
    <x v="147"/>
    <s v="882"/>
  </r>
  <r>
    <s v="PSD"/>
    <s v="Outbound"/>
    <s v="Unitel (STP)"/>
    <x v="147"/>
    <n v="7.0000000000000001E-3"/>
    <n v="7.1680000000000001"/>
    <n v="7.1680000000000001"/>
    <x v="149"/>
    <x v="148"/>
    <s v="678"/>
  </r>
  <r>
    <s v="PSD"/>
    <s v="Outbound"/>
    <s v="Etisalat (SAU) 1"/>
    <x v="148"/>
    <n v="4.6109999999999996E-3"/>
    <n v="4.7216639999999996"/>
    <n v="2.048"/>
    <x v="150"/>
    <x v="149"/>
    <s v="682"/>
  </r>
  <r>
    <s v="PSD"/>
    <s v="Outbound"/>
    <s v="ZOI (SAU) 1"/>
    <x v="148"/>
    <n v="2E-3"/>
    <n v="2.048"/>
    <n v="2.048"/>
    <x v="150"/>
    <x v="149"/>
    <s v="682"/>
  </r>
  <r>
    <s v="PSD"/>
    <s v="Outbound"/>
    <s v="STC (SAU) 1"/>
    <x v="148"/>
    <n v="5.2050000000000004E-3"/>
    <n v="5.3299200000000004"/>
    <n v="2.048"/>
    <x v="150"/>
    <x v="149"/>
    <s v="682"/>
  </r>
  <r>
    <s v="PSD"/>
    <s v="Outbound"/>
    <s v="Yas (SEN)"/>
    <x v="149"/>
    <n v="1.044E-3"/>
    <n v="1.069056"/>
    <n v="1.069056"/>
    <x v="151"/>
    <x v="150"/>
    <s v="686"/>
  </r>
  <r>
    <s v="PSD"/>
    <s v="Outbound"/>
    <s v="Orange (SEN)"/>
    <x v="149"/>
    <n v="2.153E-3"/>
    <n v="2.204672"/>
    <n v="1.069056"/>
    <x v="151"/>
    <x v="150"/>
    <s v="686"/>
  </r>
  <r>
    <s v="PSD"/>
    <s v="Outbound"/>
    <s v="Telekom Serbia (SRB)"/>
    <x v="150"/>
    <n v="8.34E-4"/>
    <n v="0.854016"/>
    <n v="0.63692800000000005"/>
    <x v="152"/>
    <x v="151"/>
    <s v="688"/>
  </r>
  <r>
    <s v="PSD"/>
    <s v="Outbound"/>
    <s v="Cetin (SRB)"/>
    <x v="150"/>
    <n v="9.4700000000000003E-4"/>
    <n v="0.96972800000000003"/>
    <n v="0.63692800000000005"/>
    <x v="152"/>
    <x v="151"/>
    <s v="688"/>
  </r>
  <r>
    <s v="PSD"/>
    <s v="Outbound"/>
    <s v="A1 (SRB)"/>
    <x v="150"/>
    <n v="6.2200000000000005E-4"/>
    <n v="0.63692800000000005"/>
    <n v="0.63692800000000005"/>
    <x v="152"/>
    <x v="151"/>
    <s v="688"/>
  </r>
  <r>
    <s v="PSD"/>
    <s v="Outbound"/>
    <s v="C&amp;W (SYC)"/>
    <x v="151"/>
    <n v="2E-3"/>
    <n v="2.048"/>
    <n v="2.048"/>
    <x v="153"/>
    <x v="152"/>
    <s v="690"/>
  </r>
  <r>
    <s v="PSD"/>
    <s v="Outbound"/>
    <s v="StarHub (SGP)"/>
    <x v="152"/>
    <n v="5.44E-4"/>
    <n v="0.557056"/>
    <n v="0.557056"/>
    <x v="154"/>
    <x v="153"/>
    <s v="702"/>
  </r>
  <r>
    <s v="PSD"/>
    <s v="Outbound"/>
    <s v="MobileOne (SGP)"/>
    <x v="152"/>
    <n v="2E-3"/>
    <n v="2.048"/>
    <n v="0.557056"/>
    <x v="154"/>
    <x v="153"/>
    <s v="702"/>
  </r>
  <r>
    <s v="PSD"/>
    <s v="Outbound"/>
    <s v="Singtel (SGP) 1"/>
    <x v="152"/>
    <n v="5.5500000000000005E-4"/>
    <n v="0.56832000000000005"/>
    <n v="0.557056"/>
    <x v="154"/>
    <x v="153"/>
    <s v="702"/>
  </r>
  <r>
    <s v="PSD"/>
    <s v="Outbound"/>
    <s v="Orange (SVK)"/>
    <x v="153"/>
    <n v="7.18E-4"/>
    <n v="0.735232"/>
    <n v="0.53043200000000001"/>
    <x v="155"/>
    <x v="154"/>
    <s v="703"/>
  </r>
  <r>
    <s v="PSD"/>
    <s v="Outbound"/>
    <s v="DT (SVK)"/>
    <x v="153"/>
    <n v="8.5999999999999998E-4"/>
    <n v="0.88063999999999998"/>
    <n v="0.53043200000000001"/>
    <x v="155"/>
    <x v="154"/>
    <s v="703"/>
  </r>
  <r>
    <s v="PSD"/>
    <s v="Outbound"/>
    <s v="Cetin (SVK)"/>
    <x v="153"/>
    <n v="5.1800000000000001E-4"/>
    <n v="0.53043200000000001"/>
    <n v="0.53043200000000001"/>
    <x v="155"/>
    <x v="154"/>
    <s v="703"/>
  </r>
  <r>
    <s v="PSD"/>
    <s v="Outbound"/>
    <s v="A1 (SVN)"/>
    <x v="154"/>
    <n v="6.2200000000000005E-4"/>
    <n v="0.63692800000000005"/>
    <n v="0.59596800000000005"/>
    <x v="156"/>
    <x v="155"/>
    <s v="705"/>
  </r>
  <r>
    <s v="PSD"/>
    <s v="Outbound"/>
    <s v="Telekom (SVN)"/>
    <x v="154"/>
    <n v="5.8200000000000005E-4"/>
    <n v="0.59596800000000005"/>
    <n v="0.59596800000000005"/>
    <x v="156"/>
    <x v="155"/>
    <s v="705"/>
  </r>
  <r>
    <s v="PSD"/>
    <s v="Outbound"/>
    <s v="United (SVN)"/>
    <x v="154"/>
    <n v="8.1099999999999998E-4"/>
    <n v="0.83046399999999998"/>
    <n v="0.59596800000000005"/>
    <x v="156"/>
    <x v="155"/>
    <s v="705"/>
  </r>
  <r>
    <s v="PSD"/>
    <s v="Outbound"/>
    <s v="Cell C (ZAF)"/>
    <x v="155"/>
    <n v="1.75E-3"/>
    <n v="1.792"/>
    <n v="1.4336"/>
    <x v="157"/>
    <x v="156"/>
    <s v="710"/>
  </r>
  <r>
    <s v="PSD"/>
    <s v="Outbound"/>
    <s v="MTN (ZAF)"/>
    <x v="155"/>
    <n v="1.4E-3"/>
    <n v="1.4336"/>
    <n v="1.4336"/>
    <x v="157"/>
    <x v="156"/>
    <s v="710"/>
  </r>
  <r>
    <s v="PSD"/>
    <s v="Outbound"/>
    <s v="Vodafone (ZAF)"/>
    <x v="155"/>
    <n v="2E-3"/>
    <n v="2.048"/>
    <n v="1.4336"/>
    <x v="157"/>
    <x v="156"/>
    <s v="710"/>
  </r>
  <r>
    <s v="PSD"/>
    <s v="Outbound"/>
    <s v="KT (KOR) 2"/>
    <x v="156"/>
    <n v="1.067E-3"/>
    <n v="1.092608"/>
    <n v="0.76800000000000002"/>
    <x v="158"/>
    <x v="157"/>
    <s v="410"/>
  </r>
  <r>
    <s v="PSD"/>
    <s v="Outbound"/>
    <s v="SK (KOR)"/>
    <x v="156"/>
    <n v="7.5000000000000002E-4"/>
    <n v="0.76800000000000002"/>
    <n v="0.76800000000000002"/>
    <x v="158"/>
    <x v="157"/>
    <s v="410"/>
  </r>
  <r>
    <s v="PSD"/>
    <s v="Outbound"/>
    <s v="KT (KOR) 1"/>
    <x v="156"/>
    <n v="1.067E-3"/>
    <n v="1.092608"/>
    <n v="0.76800000000000002"/>
    <x v="158"/>
    <x v="157"/>
    <s v="410"/>
  </r>
  <r>
    <s v="PSD"/>
    <s v="Outbound"/>
    <s v="LG (KOR)"/>
    <x v="156"/>
    <m/>
    <n v="0"/>
    <n v="0.76800000000000002"/>
    <x v="158"/>
    <x v="157"/>
    <s v="410"/>
  </r>
  <r>
    <s v="PSD"/>
    <s v="Outbound"/>
    <s v="Vodafone (ESP) 1"/>
    <x v="157"/>
    <n v="7.6599999999999997E-4"/>
    <n v="0.78438399999999997"/>
    <n v="0.71679999999999999"/>
    <x v="159"/>
    <x v="158"/>
    <s v="724"/>
  </r>
  <r>
    <s v="PSD"/>
    <s v="Outbound"/>
    <s v="Orange (ESP) 1"/>
    <x v="157"/>
    <n v="7.18E-4"/>
    <n v="0.735232"/>
    <n v="0.71679999999999999"/>
    <x v="159"/>
    <x v="158"/>
    <s v="724"/>
  </r>
  <r>
    <s v="PSD"/>
    <s v="Outbound"/>
    <s v="Telefonica (ESP) 1"/>
    <x v="157"/>
    <n v="6.9999999999999999E-4"/>
    <n v="0.71679999999999999"/>
    <n v="0.71679999999999999"/>
    <x v="159"/>
    <x v="158"/>
    <s v="724"/>
  </r>
  <r>
    <s v="PSD"/>
    <s v="Outbound"/>
    <s v="Mobitel (LKA)"/>
    <x v="158"/>
    <n v="1.616E-3"/>
    <n v="1.654784"/>
    <n v="1.024"/>
    <x v="160"/>
    <x v="159"/>
    <s v="144"/>
  </r>
  <r>
    <s v="PSD"/>
    <s v="Outbound"/>
    <s v="H3G (LKA) 1"/>
    <x v="158"/>
    <n v="1E-3"/>
    <n v="1.024"/>
    <n v="1.024"/>
    <x v="160"/>
    <x v="159"/>
    <s v="144"/>
  </r>
  <r>
    <s v="PSD"/>
    <s v="Outbound"/>
    <s v="Axiata (LKA) 1"/>
    <x v="158"/>
    <n v="1.2999999999999999E-3"/>
    <n v="1.3311999999999999"/>
    <n v="1.024"/>
    <x v="160"/>
    <x v="159"/>
    <s v="144"/>
  </r>
  <r>
    <s v="PSD"/>
    <s v="Outbound"/>
    <s v="Telia (SWE)"/>
    <x v="159"/>
    <n v="3.3500000000000001E-4"/>
    <n v="0.34304000000000001"/>
    <n v="0.26112000000000002"/>
    <x v="161"/>
    <x v="160"/>
    <s v="752"/>
  </r>
  <r>
    <s v="PSD"/>
    <s v="Outbound"/>
    <s v="Tele2 (SWE) 1"/>
    <x v="159"/>
    <n v="5.2400000000000005E-4"/>
    <n v="0.53657600000000005"/>
    <n v="0.26112000000000002"/>
    <x v="161"/>
    <x v="160"/>
    <s v="752"/>
  </r>
  <r>
    <s v="PSD"/>
    <s v="Outbound"/>
    <s v="Telenor (SWE) 1"/>
    <x v="159"/>
    <n v="2.5500000000000002E-4"/>
    <n v="0.26112000000000002"/>
    <n v="0.26112000000000002"/>
    <x v="161"/>
    <x v="160"/>
    <s v="752"/>
  </r>
  <r>
    <s v="PSD"/>
    <s v="Outbound"/>
    <s v="H3G (SWE)"/>
    <x v="159"/>
    <n v="8.1400000000000005E-4"/>
    <n v="0.83353600000000005"/>
    <n v="0.26112000000000002"/>
    <x v="161"/>
    <x v="160"/>
    <s v="752"/>
  </r>
  <r>
    <s v="PSD"/>
    <s v="Outbound"/>
    <s v="Sunrise (CHE) 1"/>
    <x v="160"/>
    <n v="5.1800000000000001E-4"/>
    <n v="0.53043200000000001"/>
    <n v="0.53043200000000001"/>
    <x v="162"/>
    <x v="161"/>
    <s v="756"/>
  </r>
  <r>
    <s v="PSD"/>
    <s v="Outbound"/>
    <s v="Swisscom (CHE)"/>
    <x v="160"/>
    <n v="9.8799999999999995E-4"/>
    <n v="1.0117119999999999"/>
    <n v="0.53043200000000001"/>
    <x v="162"/>
    <x v="161"/>
    <s v="756"/>
  </r>
  <r>
    <s v="PSD"/>
    <s v="Outbound"/>
    <s v="Salt (CHE)"/>
    <x v="160"/>
    <n v="5.5400000000000002E-4"/>
    <n v="0.56729600000000002"/>
    <n v="0.53043200000000001"/>
    <x v="162"/>
    <x v="161"/>
    <s v="756"/>
  </r>
  <r>
    <s v="PSD"/>
    <s v="Outbound"/>
    <s v="Chungwa (TWN)"/>
    <x v="161"/>
    <n v="7.2300000000000001E-4"/>
    <n v="0.74035200000000001"/>
    <n v="0.74035200000000001"/>
    <x v="163"/>
    <x v="162"/>
    <s v="158"/>
  </r>
  <r>
    <s v="PSD"/>
    <s v="Outbound"/>
    <s v="Far Eastone (TWN)"/>
    <x v="161"/>
    <n v="1.8420000000000001E-3"/>
    <n v="1.8862080000000001"/>
    <n v="0.74035200000000001"/>
    <x v="163"/>
    <x v="162"/>
    <s v="158"/>
  </r>
  <r>
    <s v="PSD"/>
    <s v="Outbound"/>
    <s v="TSE (TJK) 1"/>
    <x v="162"/>
    <n v="4.4999999999999997E-3"/>
    <n v="4.6079999999999997"/>
    <n v="4.6079999999999997"/>
    <x v="164"/>
    <x v="163"/>
    <s v="762"/>
  </r>
  <r>
    <s v="PSD"/>
    <s v="Outbound"/>
    <s v="Vodafone (TZA)"/>
    <x v="163"/>
    <n v="6.0000000000000001E-3"/>
    <n v="6.1440000000000001"/>
    <n v="2.3552"/>
    <x v="165"/>
    <x v="164"/>
    <s v="834"/>
  </r>
  <r>
    <s v="PSD"/>
    <s v="Outbound"/>
    <s v="Airtel (TZA)"/>
    <x v="163"/>
    <n v="2.3E-3"/>
    <n v="2.3552"/>
    <n v="2.3552"/>
    <x v="165"/>
    <x v="164"/>
    <s v="834"/>
  </r>
  <r>
    <s v="PSD"/>
    <s v="Outbound"/>
    <s v="Telenor (THA) 2"/>
    <x v="164"/>
    <n v="2.7999999999999998E-4"/>
    <n v="0.28671999999999997"/>
    <n v="0.28671999999999997"/>
    <x v="166"/>
    <x v="165"/>
    <s v="764"/>
  </r>
  <r>
    <s v="PSD"/>
    <s v="Outbound"/>
    <s v="True (THA) 3"/>
    <x v="164"/>
    <n v="5.4900000000000001E-4"/>
    <n v="0.56217600000000001"/>
    <n v="0.28671999999999997"/>
    <x v="166"/>
    <x v="165"/>
    <s v="764"/>
  </r>
  <r>
    <s v="PSD"/>
    <s v="Outbound"/>
    <s v="Singtel (THA) 2"/>
    <x v="164"/>
    <n v="5.5500000000000005E-4"/>
    <n v="0.56832000000000005"/>
    <n v="0.28671999999999997"/>
    <x v="166"/>
    <x v="165"/>
    <s v="764"/>
  </r>
  <r>
    <s v="PSD"/>
    <s v="Outbound"/>
    <s v="Tunisie Telecom (TUN)"/>
    <x v="165"/>
    <n v="3.0769999999999999E-3"/>
    <n v="3.1508479999999999"/>
    <n v="1.536"/>
    <x v="167"/>
    <x v="166"/>
    <s v="788"/>
  </r>
  <r>
    <s v="PSD"/>
    <s v="Outbound"/>
    <s v="Ooredoo (TUN)"/>
    <x v="165"/>
    <n v="3.6259999999999999E-3"/>
    <n v="3.7130239999999999"/>
    <n v="1.536"/>
    <x v="167"/>
    <x v="166"/>
    <s v="788"/>
  </r>
  <r>
    <s v="PSD"/>
    <s v="Outbound"/>
    <s v="Orange (TUN)"/>
    <x v="165"/>
    <n v="1.5E-3"/>
    <n v="1.536"/>
    <n v="1.536"/>
    <x v="167"/>
    <x v="166"/>
    <s v="788"/>
  </r>
  <r>
    <s v="PSD"/>
    <s v="Outbound"/>
    <s v="TT MOBIL (TUR) 1"/>
    <x v="166"/>
    <n v="3.7599999999999998E-4"/>
    <n v="0.38502399999999998"/>
    <n v="0.38502399999999998"/>
    <x v="168"/>
    <x v="167"/>
    <s v="792"/>
  </r>
  <r>
    <s v="PSD"/>
    <s v="Outbound"/>
    <s v="Vodafone (TUR)"/>
    <x v="166"/>
    <n v="8.0099999999999995E-4"/>
    <n v="0.82022399999999995"/>
    <n v="0.38502399999999998"/>
    <x v="168"/>
    <x v="167"/>
    <s v="792"/>
  </r>
  <r>
    <s v="PSD"/>
    <s v="Outbound"/>
    <s v="Turkcell (TUR)"/>
    <x v="166"/>
    <n v="5.8299999999999997E-4"/>
    <n v="0.59699199999999997"/>
    <n v="0.38502399999999998"/>
    <x v="168"/>
    <x v="167"/>
    <s v="792"/>
  </r>
  <r>
    <s v="PSD"/>
    <s v="Outbound"/>
    <s v="Liberty (TCA)"/>
    <x v="167"/>
    <n v="3.0000000000000001E-3"/>
    <n v="3.0720000000000001"/>
    <n v="3.0720000000000001"/>
    <x v="169"/>
    <x v="168"/>
    <s v="796"/>
  </r>
  <r>
    <s v="PSD"/>
    <s v="Outbound"/>
    <s v="du (ARE)"/>
    <x v="168"/>
    <n v="2.0100000000000001E-3"/>
    <n v="2.0582400000000001"/>
    <n v="2.0582400000000001"/>
    <x v="170"/>
    <x v="169"/>
    <s v="784"/>
  </r>
  <r>
    <s v="PSD"/>
    <s v="Outbound"/>
    <s v="Etisalat (ARE)"/>
    <x v="168"/>
    <n v="7.2439999999999996E-3"/>
    <n v="7.4178559999999996"/>
    <n v="2.0582400000000001"/>
    <x v="170"/>
    <x v="169"/>
    <s v="784"/>
  </r>
  <r>
    <s v="PSD"/>
    <s v="Outbound"/>
    <s v="MTN (UGA)"/>
    <x v="169"/>
    <n v="2E-3"/>
    <n v="2.048"/>
    <n v="2.048"/>
    <x v="171"/>
    <x v="170"/>
    <s v="800"/>
  </r>
  <r>
    <s v="PSD"/>
    <s v="Outbound"/>
    <s v="Telefonica (GBR)"/>
    <x v="170"/>
    <n v="6.9999999999999999E-4"/>
    <n v="0.71679999999999999"/>
    <n v="0.41881600000000002"/>
    <x v="172"/>
    <x v="171"/>
    <s v="826"/>
  </r>
  <r>
    <s v="PSD"/>
    <s v="Outbound"/>
    <s v="Vodafone (GBR)"/>
    <x v="170"/>
    <n v="7.2000000000000005E-4"/>
    <n v="0.73728000000000005"/>
    <n v="0.41881600000000002"/>
    <x v="172"/>
    <x v="171"/>
    <s v="826"/>
  </r>
  <r>
    <s v="PSD"/>
    <s v="Outbound"/>
    <s v="H3G (GBR)"/>
    <x v="170"/>
    <n v="8.1400000000000005E-4"/>
    <n v="0.83353600000000005"/>
    <n v="0.41881600000000002"/>
    <x v="172"/>
    <x v="171"/>
    <s v="826"/>
  </r>
  <r>
    <s v="PSD"/>
    <s v="Outbound"/>
    <s v="BT (GBR) 1"/>
    <x v="170"/>
    <n v="4.0900000000000002E-4"/>
    <n v="0.41881600000000002"/>
    <n v="0.41881600000000002"/>
    <x v="172"/>
    <x v="171"/>
    <s v="826"/>
  </r>
  <r>
    <s v="PSD"/>
    <s v="Outbound"/>
    <s v="Lifecell (UKR)"/>
    <x v="171"/>
    <n v="9.7999999999999997E-5"/>
    <n v="0.100352"/>
    <n v="0.100352"/>
    <x v="173"/>
    <x v="172"/>
    <s v="804"/>
  </r>
  <r>
    <s v="PSD"/>
    <s v="Outbound"/>
    <s v="Vodafone (UKR)"/>
    <x v="171"/>
    <n v="2.5500000000000002E-4"/>
    <n v="0.26112000000000002"/>
    <n v="0.100352"/>
    <x v="173"/>
    <x v="172"/>
    <s v="804"/>
  </r>
  <r>
    <s v="PSD"/>
    <s v="Outbound"/>
    <s v="Veon (UKR) 1"/>
    <x v="171"/>
    <n v="2.5000000000000001E-4"/>
    <n v="0.25600000000000001"/>
    <n v="0.100352"/>
    <x v="173"/>
    <x v="172"/>
    <s v="804"/>
  </r>
  <r>
    <s v="PSD"/>
    <s v="Outbound"/>
    <s v="Antel (URY)"/>
    <x v="172"/>
    <n v="2.0019999999999999E-3"/>
    <n v="2.0500479999999999"/>
    <n v="1.6537599999999999"/>
    <x v="174"/>
    <x v="173"/>
    <s v="858"/>
  </r>
  <r>
    <s v="PSD"/>
    <s v="Outbound"/>
    <s v="Telefonica (URY)"/>
    <x v="172"/>
    <n v="1.6149999999999999E-3"/>
    <n v="1.6537599999999999"/>
    <n v="1.6537599999999999"/>
    <x v="174"/>
    <x v="173"/>
    <s v="858"/>
  </r>
  <r>
    <s v="PSD"/>
    <s v="Outbound"/>
    <s v="ATT (USA) 1"/>
    <x v="173"/>
    <n v="1.25E-3"/>
    <n v="1.28"/>
    <n v="0.33279999999999998"/>
    <x v="175"/>
    <x v="174"/>
    <s v="840"/>
  </r>
  <r>
    <s v="PSD"/>
    <s v="Outbound"/>
    <s v="Viaero (USA)"/>
    <x v="173"/>
    <n v="3.0000000000000001E-3"/>
    <n v="3.0720000000000001"/>
    <n v="0.33279999999999998"/>
    <x v="175"/>
    <x v="174"/>
    <s v="840"/>
  </r>
  <r>
    <s v="PSD"/>
    <s v="Outbound"/>
    <s v="DT (USA) 1"/>
    <x v="173"/>
    <n v="3.2499999999999999E-4"/>
    <n v="0.33279999999999998"/>
    <n v="0.33279999999999998"/>
    <x v="175"/>
    <x v="174"/>
    <s v="840"/>
  </r>
  <r>
    <s v="PSD"/>
    <s v="Outbound"/>
    <s v="Union (USA)"/>
    <x v="173"/>
    <n v="4.1000000000000003E-3"/>
    <n v="4.1984000000000004"/>
    <n v="0.33279999999999998"/>
    <x v="175"/>
    <x v="174"/>
    <s v="840"/>
  </r>
  <r>
    <s v="PSD"/>
    <s v="Outbound"/>
    <s v="Veon (UZB)"/>
    <x v="174"/>
    <n v="5.0000000000000001E-3"/>
    <n v="5.12"/>
    <n v="1.536"/>
    <x v="176"/>
    <x v="175"/>
    <s v="860"/>
  </r>
  <r>
    <s v="PSD"/>
    <s v="Outbound"/>
    <s v="Ucell (UZB)"/>
    <x v="174"/>
    <n v="1.5E-3"/>
    <n v="1.536"/>
    <n v="1.536"/>
    <x v="176"/>
    <x v="175"/>
    <s v="860"/>
  </r>
  <r>
    <s v="PSD"/>
    <s v="Outbound"/>
    <s v="Digitel (VEN)"/>
    <x v="175"/>
    <n v="3.5000000000000001E-3"/>
    <n v="3.5840000000000001"/>
    <n v="3.5840000000000001"/>
    <x v="177"/>
    <x v="176"/>
    <s v="862"/>
  </r>
  <r>
    <s v="PSD"/>
    <s v="Outbound"/>
    <s v="VMS (VNM)"/>
    <x v="176"/>
    <n v="6.9999999999999999E-4"/>
    <n v="0.71679999999999999"/>
    <n v="0.58060800000000001"/>
    <x v="178"/>
    <x v="177"/>
    <s v="704"/>
  </r>
  <r>
    <s v="PSD"/>
    <s v="Outbound"/>
    <s v="Viettel (VNM)"/>
    <x v="176"/>
    <n v="8.3000000000000001E-4"/>
    <n v="0.84992000000000001"/>
    <n v="0.58060800000000001"/>
    <x v="178"/>
    <x v="177"/>
    <s v="704"/>
  </r>
  <r>
    <s v="PSD"/>
    <s v="Outbound"/>
    <s v="Vinaphone (VNM)"/>
    <x v="176"/>
    <n v="5.6700000000000001E-4"/>
    <n v="0.58060800000000001"/>
    <n v="0.58060800000000001"/>
    <x v="178"/>
    <x v="177"/>
    <s v="704"/>
  </r>
  <r>
    <s v="PSD"/>
    <s v="Outbound"/>
    <s v="Net One (ZWE)"/>
    <x v="177"/>
    <n v="5.0350000000000004E-3"/>
    <n v="5.1558400000000004"/>
    <n v="5.1558400000000004"/>
    <x v="179"/>
    <x v="178"/>
    <s v="7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EA73B-270F-40C9-93AA-7C6219DBD23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180" firstHeaderRow="1" firstDataRow="1" firstDataCol="3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2">
        <item x="0"/>
        <item x="108"/>
        <item x="10"/>
        <item x="1"/>
        <item x="5"/>
        <item x="6"/>
        <item x="2"/>
        <item x="4"/>
        <item m="1" x="181"/>
        <item x="170"/>
        <item x="8"/>
        <item x="9"/>
        <item x="7"/>
        <item x="11"/>
        <item x="12"/>
        <item x="13"/>
        <item x="19"/>
        <item x="20"/>
        <item x="28"/>
        <item x="16"/>
        <item x="27"/>
        <item x="15"/>
        <item x="14"/>
        <item x="23"/>
        <item x="18"/>
        <item x="21"/>
        <item x="22"/>
        <item x="25"/>
        <item x="17"/>
        <item x="24"/>
        <item x="31"/>
        <item x="162"/>
        <item x="38"/>
        <item x="39"/>
        <item x="85"/>
        <item x="30"/>
        <item x="41"/>
        <item x="40"/>
        <item x="32"/>
        <item x="42"/>
        <item x="44"/>
        <item x="33"/>
        <item x="45"/>
        <item x="46"/>
        <item x="65"/>
        <item x="48"/>
        <item x="47"/>
        <item x="49"/>
        <item x="3"/>
        <item x="51"/>
        <item x="52"/>
        <item x="159"/>
        <item x="54"/>
        <item x="55"/>
        <item x="58"/>
        <item x="57"/>
        <item x="59"/>
        <item x="56"/>
        <item x="62"/>
        <item x="172"/>
        <item x="64"/>
        <item x="66"/>
        <item x="67"/>
        <item x="72"/>
        <item x="61"/>
        <item x="63"/>
        <item x="68"/>
        <item x="70"/>
        <item x="69"/>
        <item x="71"/>
        <item x="73"/>
        <item x="75"/>
        <item x="43"/>
        <item x="74"/>
        <item x="76"/>
        <item x="79"/>
        <item x="78"/>
        <item x="82"/>
        <item x="80"/>
        <item x="81"/>
        <item x="77"/>
        <item x="83"/>
        <item x="84"/>
        <item x="86"/>
        <item x="88"/>
        <item x="87"/>
        <item x="89"/>
        <item x="90"/>
        <item x="93"/>
        <item x="29"/>
        <item x="145"/>
        <item x="158"/>
        <item x="92"/>
        <item x="94"/>
        <item x="96"/>
        <item x="97"/>
        <item x="98"/>
        <item x="146"/>
        <item x="99"/>
        <item x="160"/>
        <item x="100"/>
        <item x="101"/>
        <item x="95"/>
        <item x="102"/>
        <item x="117"/>
        <item x="113"/>
        <item x="112"/>
        <item x="103"/>
        <item x="105"/>
        <item x="111"/>
        <item x="126"/>
        <item x="106"/>
        <item x="107"/>
        <item x="115"/>
        <item x="114"/>
        <item x="118"/>
        <item x="109"/>
        <item x="116"/>
        <item x="110"/>
        <item x="104"/>
        <item x="119"/>
        <item x="125"/>
        <item x="124"/>
        <item x="121"/>
        <item x="127"/>
        <item x="120"/>
        <item x="123"/>
        <item x="128"/>
        <item x="129"/>
        <item x="132"/>
        <item x="135"/>
        <item x="136"/>
        <item x="130"/>
        <item x="133"/>
        <item x="137"/>
        <item x="139"/>
        <item x="138"/>
        <item x="134"/>
        <item x="131"/>
        <item x="60"/>
        <item x="140"/>
        <item x="141"/>
        <item m="1" x="180"/>
        <item x="143"/>
        <item x="144"/>
        <item x="150"/>
        <item x="151"/>
        <item x="154"/>
        <item x="53"/>
        <item x="152"/>
        <item x="149"/>
        <item x="155"/>
        <item x="156"/>
        <item x="161"/>
        <item x="153"/>
        <item x="169"/>
        <item x="34"/>
        <item x="166"/>
        <item x="164"/>
        <item x="50"/>
        <item x="167"/>
        <item x="168"/>
        <item x="163"/>
        <item x="165"/>
        <item x="171"/>
        <item x="173"/>
        <item x="174"/>
        <item x="175"/>
        <item x="176"/>
        <item x="147"/>
        <item x="177"/>
        <item x="26"/>
        <item x="178"/>
        <item x="148"/>
        <item x="91"/>
        <item x="157"/>
        <item x="179"/>
        <item x="35"/>
        <item x="36"/>
        <item x="37"/>
        <item x="122"/>
        <item x="1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80">
        <item h="1" x="0"/>
        <item x="4"/>
        <item x="169"/>
        <item x="1"/>
        <item x="7"/>
        <item x="6"/>
        <item x="2"/>
        <item x="9"/>
        <item x="5"/>
        <item x="8"/>
        <item x="12"/>
        <item x="11"/>
        <item x="10"/>
        <item x="13"/>
        <item x="23"/>
        <item x="17"/>
        <item x="16"/>
        <item x="19"/>
        <item x="28"/>
        <item x="27"/>
        <item x="15"/>
        <item x="20"/>
        <item x="21"/>
        <item x="22"/>
        <item x="121"/>
        <item x="25"/>
        <item x="14"/>
        <item x="24"/>
        <item x="18"/>
        <item x="31"/>
        <item x="41"/>
        <item x="161"/>
        <item x="85"/>
        <item x="38"/>
        <item x="30"/>
        <item x="39"/>
        <item x="40"/>
        <item x="42"/>
        <item x="44"/>
        <item x="32"/>
        <item x="45"/>
        <item x="46"/>
        <item x="65"/>
        <item x="47"/>
        <item x="48"/>
        <item x="49"/>
        <item x="3"/>
        <item x="51"/>
        <item x="54"/>
        <item x="52"/>
        <item x="158"/>
        <item x="55"/>
        <item x="58"/>
        <item x="57"/>
        <item x="56"/>
        <item x="59"/>
        <item x="62"/>
        <item x="171"/>
        <item x="70"/>
        <item x="64"/>
        <item x="35"/>
        <item x="66"/>
        <item x="67"/>
        <item x="69"/>
        <item x="63"/>
        <item x="72"/>
        <item x="61"/>
        <item x="68"/>
        <item x="71"/>
        <item x="73"/>
        <item x="75"/>
        <item x="43"/>
        <item x="74"/>
        <item x="76"/>
        <item x="79"/>
        <item x="82"/>
        <item x="83"/>
        <item x="37"/>
        <item x="78"/>
        <item x="81"/>
        <item x="80"/>
        <item x="77"/>
        <item x="84"/>
        <item x="36"/>
        <item x="86"/>
        <item x="88"/>
        <item x="87"/>
        <item x="90"/>
        <item x="93"/>
        <item x="29"/>
        <item x="144"/>
        <item x="157"/>
        <item x="92"/>
        <item x="33"/>
        <item x="89"/>
        <item x="94"/>
        <item x="96"/>
        <item x="145"/>
        <item x="99"/>
        <item x="159"/>
        <item x="97"/>
        <item x="100"/>
        <item x="101"/>
        <item x="95"/>
        <item x="98"/>
        <item x="116"/>
        <item x="112"/>
        <item x="111"/>
        <item x="114"/>
        <item x="103"/>
        <item x="125"/>
        <item x="106"/>
        <item x="113"/>
        <item x="102"/>
        <item x="108"/>
        <item x="115"/>
        <item x="107"/>
        <item x="109"/>
        <item x="105"/>
        <item x="110"/>
        <item x="104"/>
        <item x="117"/>
        <item m="1" x="179"/>
        <item x="118"/>
        <item x="124"/>
        <item x="123"/>
        <item x="120"/>
        <item x="126"/>
        <item x="119"/>
        <item x="122"/>
        <item x="127"/>
        <item x="131"/>
        <item x="134"/>
        <item x="60"/>
        <item x="132"/>
        <item x="135"/>
        <item x="128"/>
        <item x="136"/>
        <item x="138"/>
        <item x="130"/>
        <item x="137"/>
        <item x="129"/>
        <item x="133"/>
        <item x="139"/>
        <item x="140"/>
        <item x="141"/>
        <item x="151"/>
        <item x="142"/>
        <item x="143"/>
        <item x="149"/>
        <item x="152"/>
        <item x="160"/>
        <item x="153"/>
        <item x="155"/>
        <item x="154"/>
        <item x="150"/>
        <item x="148"/>
        <item x="53"/>
        <item x="168"/>
        <item x="34"/>
        <item x="165"/>
        <item x="163"/>
        <item x="50"/>
        <item x="166"/>
        <item x="167"/>
        <item x="162"/>
        <item x="164"/>
        <item x="172"/>
        <item x="170"/>
        <item x="174"/>
        <item x="173"/>
        <item x="175"/>
        <item x="146"/>
        <item x="176"/>
        <item x="26"/>
        <item x="177"/>
        <item x="147"/>
        <item x="91"/>
        <item x="156"/>
        <item x="17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8"/>
    <field x="7"/>
    <field x="3"/>
  </rowFields>
  <rowItems count="179">
    <i>
      <x v="1"/>
      <x v="7"/>
      <x v="4"/>
    </i>
    <i>
      <x v="2"/>
      <x v="9"/>
      <x v="168"/>
    </i>
    <i>
      <x v="3"/>
      <x v="3"/>
      <x v="1"/>
    </i>
    <i>
      <x v="4"/>
      <x v="12"/>
      <x v="7"/>
    </i>
    <i>
      <x v="5"/>
      <x v="5"/>
      <x v="6"/>
    </i>
    <i>
      <x v="6"/>
      <x v="6"/>
      <x v="2"/>
    </i>
    <i>
      <x v="7"/>
      <x v="11"/>
      <x v="9"/>
    </i>
    <i>
      <x v="8"/>
      <x v="4"/>
      <x v="5"/>
    </i>
    <i>
      <x v="9"/>
      <x v="10"/>
      <x v="8"/>
    </i>
    <i>
      <x v="10"/>
      <x v="14"/>
      <x v="12"/>
    </i>
    <i>
      <x v="11"/>
      <x v="13"/>
      <x v="11"/>
    </i>
    <i>
      <x v="12"/>
      <x v="2"/>
      <x v="10"/>
    </i>
    <i>
      <x v="13"/>
      <x v="15"/>
      <x v="13"/>
    </i>
    <i>
      <x v="14"/>
      <x v="23"/>
      <x v="23"/>
    </i>
    <i>
      <x v="15"/>
      <x v="28"/>
      <x v="17"/>
    </i>
    <i>
      <x v="16"/>
      <x v="19"/>
      <x v="16"/>
    </i>
    <i>
      <x v="17"/>
      <x v="16"/>
      <x v="19"/>
    </i>
    <i>
      <x v="18"/>
      <x v="18"/>
      <x v="28"/>
    </i>
    <i>
      <x v="19"/>
      <x v="20"/>
      <x v="27"/>
    </i>
    <i>
      <x v="20"/>
      <x v="21"/>
      <x v="15"/>
    </i>
    <i>
      <x v="21"/>
      <x v="17"/>
      <x v="20"/>
    </i>
    <i>
      <x v="22"/>
      <x v="25"/>
      <x v="21"/>
    </i>
    <i>
      <x v="23"/>
      <x v="26"/>
      <x v="22"/>
    </i>
    <i>
      <x v="24"/>
      <x v="180"/>
      <x v="120"/>
    </i>
    <i>
      <x v="25"/>
      <x v="27"/>
      <x v="25"/>
    </i>
    <i>
      <x v="26"/>
      <x v="22"/>
      <x v="14"/>
    </i>
    <i>
      <x v="27"/>
      <x v="29"/>
      <x v="24"/>
    </i>
    <i>
      <x v="28"/>
      <x v="24"/>
      <x v="18"/>
    </i>
    <i>
      <x v="29"/>
      <x v="30"/>
      <x v="31"/>
    </i>
    <i>
      <x v="30"/>
      <x v="36"/>
      <x v="39"/>
    </i>
    <i>
      <x v="31"/>
      <x v="31"/>
      <x v="160"/>
    </i>
    <i>
      <x v="32"/>
      <x v="34"/>
      <x v="83"/>
    </i>
    <i>
      <x v="33"/>
      <x v="32"/>
      <x v="36"/>
    </i>
    <i>
      <x v="34"/>
      <x v="35"/>
      <x v="30"/>
    </i>
    <i>
      <x v="35"/>
      <x v="33"/>
      <x v="37"/>
    </i>
    <i>
      <x v="36"/>
      <x v="37"/>
      <x v="38"/>
    </i>
    <i>
      <x v="37"/>
      <x v="39"/>
      <x v="40"/>
    </i>
    <i>
      <x v="38"/>
      <x v="40"/>
      <x v="42"/>
    </i>
    <i>
      <x v="39"/>
      <x v="38"/>
      <x v="32"/>
    </i>
    <i>
      <x v="40"/>
      <x v="42"/>
      <x v="43"/>
    </i>
    <i>
      <x v="41"/>
      <x v="43"/>
      <x v="44"/>
    </i>
    <i>
      <x v="42"/>
      <x v="44"/>
      <x v="63"/>
    </i>
    <i>
      <x v="43"/>
      <x v="46"/>
      <x v="45"/>
    </i>
    <i>
      <x v="44"/>
      <x v="45"/>
      <x v="46"/>
    </i>
    <i>
      <x v="45"/>
      <x v="47"/>
      <x v="47"/>
    </i>
    <i>
      <x v="46"/>
      <x v="48"/>
      <x v="3"/>
    </i>
    <i>
      <x v="47"/>
      <x v="49"/>
      <x v="49"/>
    </i>
    <i>
      <x v="48"/>
      <x v="52"/>
      <x v="52"/>
    </i>
    <i>
      <x v="49"/>
      <x v="50"/>
      <x v="50"/>
    </i>
    <i>
      <x v="50"/>
      <x v="51"/>
      <x v="157"/>
    </i>
    <i>
      <x v="51"/>
      <x v="53"/>
      <x v="53"/>
    </i>
    <i>
      <x v="52"/>
      <x v="54"/>
      <x v="56"/>
    </i>
    <i>
      <x v="53"/>
      <x v="55"/>
      <x v="55"/>
    </i>
    <i>
      <x v="54"/>
      <x v="57"/>
      <x v="54"/>
    </i>
    <i>
      <x v="55"/>
      <x v="56"/>
      <x v="57"/>
    </i>
    <i>
      <x v="56"/>
      <x v="58"/>
      <x v="60"/>
    </i>
    <i>
      <x v="57"/>
      <x v="59"/>
      <x v="170"/>
    </i>
    <i>
      <x v="58"/>
      <x v="67"/>
      <x v="68"/>
    </i>
    <i>
      <x v="59"/>
      <x v="60"/>
      <x v="62"/>
    </i>
    <i>
      <x v="60"/>
      <x v="177"/>
      <x v="35"/>
    </i>
    <i>
      <x v="61"/>
      <x v="61"/>
      <x v="64"/>
    </i>
    <i>
      <x v="62"/>
      <x v="62"/>
      <x v="65"/>
    </i>
    <i>
      <x v="63"/>
      <x v="68"/>
      <x v="67"/>
    </i>
    <i>
      <x v="64"/>
      <x v="65"/>
      <x v="61"/>
    </i>
    <i>
      <x v="65"/>
      <x v="63"/>
      <x v="70"/>
    </i>
    <i>
      <x v="66"/>
      <x v="64"/>
      <x v="59"/>
    </i>
    <i>
      <x v="67"/>
      <x v="66"/>
      <x v="66"/>
    </i>
    <i>
      <x v="68"/>
      <x v="69"/>
      <x v="69"/>
    </i>
    <i>
      <x v="69"/>
      <x v="70"/>
      <x v="71"/>
    </i>
    <i>
      <x v="70"/>
      <x v="71"/>
      <x v="73"/>
    </i>
    <i>
      <x v="71"/>
      <x v="72"/>
      <x v="41"/>
    </i>
    <i>
      <x v="72"/>
      <x v="73"/>
      <x v="72"/>
    </i>
    <i>
      <x v="73"/>
      <x v="74"/>
      <x v="74"/>
    </i>
    <i>
      <x v="74"/>
      <x v="75"/>
      <x v="77"/>
    </i>
    <i>
      <x v="75"/>
      <x v="77"/>
      <x v="80"/>
    </i>
    <i>
      <x v="76"/>
      <x v="81"/>
      <x v="81"/>
    </i>
    <i>
      <x v="77"/>
      <x v="179"/>
      <x v="35"/>
    </i>
    <i>
      <x v="78"/>
      <x v="76"/>
      <x v="76"/>
    </i>
    <i>
      <x v="79"/>
      <x v="79"/>
      <x v="79"/>
    </i>
    <i>
      <x v="80"/>
      <x v="78"/>
      <x v="78"/>
    </i>
    <i>
      <x v="81"/>
      <x v="80"/>
      <x v="75"/>
    </i>
    <i>
      <x v="82"/>
      <x v="82"/>
      <x v="82"/>
    </i>
    <i>
      <x v="83"/>
      <x v="178"/>
      <x v="35"/>
    </i>
    <i>
      <x v="84"/>
      <x v="83"/>
      <x v="84"/>
    </i>
    <i>
      <x v="85"/>
      <x v="84"/>
      <x v="86"/>
    </i>
    <i>
      <x v="86"/>
      <x v="85"/>
      <x v="85"/>
    </i>
    <i>
      <x v="87"/>
      <x v="87"/>
      <x v="88"/>
    </i>
    <i>
      <x v="88"/>
      <x v="88"/>
      <x v="91"/>
    </i>
    <i>
      <x v="89"/>
      <x v="89"/>
      <x v="29"/>
    </i>
    <i>
      <x v="90"/>
      <x v="90"/>
      <x v="143"/>
    </i>
    <i>
      <x v="91"/>
      <x v="91"/>
      <x v="156"/>
    </i>
    <i>
      <x v="92"/>
      <x v="92"/>
      <x v="90"/>
    </i>
    <i>
      <x v="93"/>
      <x v="41"/>
      <x v="33"/>
    </i>
    <i>
      <x v="94"/>
      <x v="86"/>
      <x v="87"/>
    </i>
    <i>
      <x v="95"/>
      <x v="93"/>
      <x v="92"/>
    </i>
    <i>
      <x v="96"/>
      <x v="94"/>
      <x v="94"/>
    </i>
    <i>
      <x v="97"/>
      <x v="97"/>
      <x v="144"/>
    </i>
    <i>
      <x v="98"/>
      <x v="98"/>
      <x v="97"/>
    </i>
    <i>
      <x v="99"/>
      <x v="99"/>
      <x v="158"/>
    </i>
    <i>
      <x v="100"/>
      <x v="95"/>
      <x v="95"/>
    </i>
    <i>
      <x v="101"/>
      <x v="100"/>
      <x v="98"/>
    </i>
    <i>
      <x v="102"/>
      <x v="101"/>
      <x v="99"/>
    </i>
    <i>
      <x v="103"/>
      <x v="102"/>
      <x v="93"/>
    </i>
    <i>
      <x v="104"/>
      <x v="96"/>
      <x v="96"/>
    </i>
    <i>
      <x v="105"/>
      <x v="104"/>
      <x v="115"/>
    </i>
    <i>
      <x v="106"/>
      <x v="105"/>
      <x v="111"/>
    </i>
    <i>
      <x v="107"/>
      <x v="106"/>
      <x v="110"/>
    </i>
    <i>
      <x v="108"/>
      <x v="113"/>
      <x v="113"/>
    </i>
    <i>
      <x v="109"/>
      <x v="107"/>
      <x v="101"/>
    </i>
    <i>
      <x v="110"/>
      <x v="110"/>
      <x v="124"/>
    </i>
    <i>
      <x v="111"/>
      <x v="111"/>
      <x v="104"/>
    </i>
    <i>
      <x v="112"/>
      <x v="114"/>
      <x v="112"/>
    </i>
    <i>
      <x v="113"/>
      <x v="103"/>
      <x v="100"/>
    </i>
    <i>
      <x v="114"/>
      <x v="116"/>
      <x v="107"/>
    </i>
    <i>
      <x v="115"/>
      <x v="117"/>
      <x v="114"/>
    </i>
    <i>
      <x v="116"/>
      <x v="112"/>
      <x v="105"/>
    </i>
    <i>
      <x v="117"/>
      <x v="118"/>
      <x v="108"/>
    </i>
    <i>
      <x v="118"/>
      <x v="108"/>
      <x v="103"/>
    </i>
    <i>
      <x v="119"/>
      <x v="109"/>
      <x v="109"/>
    </i>
    <i>
      <x v="120"/>
      <x v="119"/>
      <x v="102"/>
    </i>
    <i>
      <x v="121"/>
      <x v="115"/>
      <x v="116"/>
    </i>
    <i>
      <x v="123"/>
      <x v="120"/>
      <x v="117"/>
    </i>
    <i>
      <x v="124"/>
      <x v="121"/>
      <x v="123"/>
    </i>
    <i>
      <x v="125"/>
      <x v="122"/>
      <x v="122"/>
    </i>
    <i>
      <x v="126"/>
      <x v="123"/>
      <x v="119"/>
    </i>
    <i>
      <x v="127"/>
      <x v="124"/>
      <x v="125"/>
    </i>
    <i>
      <x v="128"/>
      <x v="125"/>
      <x v="118"/>
    </i>
    <i>
      <x v="129"/>
      <x v="126"/>
      <x v="121"/>
    </i>
    <i>
      <x v="130"/>
      <x v="127"/>
      <x v="126"/>
    </i>
    <i>
      <x v="131"/>
      <x v="129"/>
      <x v="130"/>
    </i>
    <i>
      <x v="132"/>
      <x v="130"/>
      <x v="133"/>
    </i>
    <i>
      <x v="133"/>
      <x v="139"/>
      <x v="58"/>
    </i>
    <i>
      <x v="134"/>
      <x v="133"/>
      <x v="131"/>
    </i>
    <i>
      <x v="135"/>
      <x v="131"/>
      <x v="134"/>
    </i>
    <i>
      <x v="136"/>
      <x v="128"/>
      <x v="127"/>
    </i>
    <i>
      <x v="137"/>
      <x v="134"/>
      <x v="135"/>
    </i>
    <i>
      <x v="138"/>
      <x v="135"/>
      <x v="137"/>
    </i>
    <i>
      <x v="139"/>
      <x v="138"/>
      <x v="129"/>
    </i>
    <i>
      <x v="140"/>
      <x v="136"/>
      <x v="136"/>
    </i>
    <i>
      <x v="141"/>
      <x v="132"/>
      <x v="128"/>
    </i>
    <i>
      <x v="142"/>
      <x v="137"/>
      <x v="132"/>
    </i>
    <i>
      <x v="143"/>
      <x v="140"/>
      <x v="138"/>
    </i>
    <i>
      <x v="144"/>
      <x v="141"/>
      <x v="139"/>
    </i>
    <i>
      <x v="145"/>
      <x v="181"/>
      <x v="140"/>
    </i>
    <i>
      <x v="146"/>
      <x v="149"/>
      <x v="150"/>
    </i>
    <i>
      <x v="147"/>
      <x v="143"/>
      <x v="141"/>
    </i>
    <i>
      <x v="148"/>
      <x v="144"/>
      <x v="142"/>
    </i>
    <i>
      <x v="149"/>
      <x v="145"/>
      <x v="148"/>
    </i>
    <i>
      <x v="150"/>
      <x v="154"/>
      <x v="151"/>
    </i>
    <i>
      <x v="151"/>
      <x v="153"/>
      <x v="159"/>
    </i>
    <i>
      <x v="152"/>
      <x v="147"/>
      <x v="152"/>
    </i>
    <i>
      <x v="153"/>
      <x v="152"/>
      <x v="154"/>
    </i>
    <i>
      <x v="154"/>
      <x v="151"/>
      <x v="153"/>
    </i>
    <i>
      <x v="155"/>
      <x v="146"/>
      <x v="149"/>
    </i>
    <i>
      <x v="156"/>
      <x v="150"/>
      <x v="147"/>
    </i>
    <i>
      <x v="157"/>
      <x v="148"/>
      <x v="51"/>
    </i>
    <i>
      <x v="158"/>
      <x v="155"/>
      <x v="167"/>
    </i>
    <i>
      <x v="159"/>
      <x v="156"/>
      <x v="34"/>
    </i>
    <i>
      <x v="160"/>
      <x v="157"/>
      <x v="164"/>
    </i>
    <i>
      <x v="161"/>
      <x v="158"/>
      <x v="162"/>
    </i>
    <i>
      <x v="162"/>
      <x v="159"/>
      <x v="48"/>
    </i>
    <i>
      <x v="163"/>
      <x v="160"/>
      <x v="165"/>
    </i>
    <i>
      <x v="164"/>
      <x v="161"/>
      <x v="166"/>
    </i>
    <i>
      <x v="165"/>
      <x v="162"/>
      <x v="161"/>
    </i>
    <i>
      <x v="166"/>
      <x v="163"/>
      <x v="163"/>
    </i>
    <i>
      <x v="167"/>
      <x v="165"/>
      <x v="171"/>
    </i>
    <i>
      <x v="168"/>
      <x v="164"/>
      <x v="169"/>
    </i>
    <i>
      <x v="169"/>
      <x v="167"/>
      <x v="173"/>
    </i>
    <i>
      <x v="170"/>
      <x v="166"/>
      <x v="172"/>
    </i>
    <i>
      <x v="171"/>
      <x v="168"/>
      <x v="174"/>
    </i>
    <i>
      <x v="172"/>
      <x v="169"/>
      <x v="145"/>
    </i>
    <i>
      <x v="173"/>
      <x v="170"/>
      <x v="175"/>
    </i>
    <i>
      <x v="174"/>
      <x v="171"/>
      <x v="26"/>
    </i>
    <i>
      <x v="175"/>
      <x v="172"/>
      <x v="176"/>
    </i>
    <i>
      <x v="176"/>
      <x v="173"/>
      <x v="146"/>
    </i>
    <i>
      <x v="177"/>
      <x v="174"/>
      <x v="89"/>
    </i>
    <i>
      <x v="178"/>
      <x v="175"/>
      <x v="155"/>
    </i>
    <i>
      <x v="179"/>
      <x v="176"/>
      <x v="177"/>
    </i>
    <i t="grand">
      <x/>
    </i>
  </rowItems>
  <colItems count="1">
    <i/>
  </colItems>
  <dataFields count="1">
    <dataField name="Min of Min" fld="6" subtotal="min" baseField="0" baseItem="0" numFmtId="43"/>
  </dataFields>
  <formats count="3">
    <format dxfId="2">
      <pivotArea dataOnly="0" labelOnly="1" outline="0" fieldPosition="0">
        <references count="1">
          <reference field="8" count="1">
            <x v="0"/>
          </reference>
        </references>
      </pivotArea>
    </format>
    <format dxfId="1">
      <pivotArea dataOnly="0" labelOnly="1" outline="0" fieldPosition="0">
        <references count="1">
          <reference field="8" count="1">
            <x v="24"/>
          </reference>
        </references>
      </pivotArea>
    </format>
    <format dxfId="0">
      <pivotArea dataOnly="0" labelOnly="1" outline="0" fieldPosition="0">
        <references count="1">
          <reference field="8" count="3">
            <x v="60"/>
            <x v="77"/>
            <x v="8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A427-0551-4BCA-9687-374014EE5F0D}">
  <dimension ref="A1:D180"/>
  <sheetViews>
    <sheetView tabSelected="1" workbookViewId="0">
      <selection activeCell="A2" sqref="A2"/>
    </sheetView>
  </sheetViews>
  <sheetFormatPr defaultRowHeight="15" x14ac:dyDescent="0.25"/>
  <cols>
    <col min="1" max="3" width="30.7109375" bestFit="1" customWidth="1"/>
    <col min="4" max="4" width="10.28515625" bestFit="1" customWidth="1"/>
  </cols>
  <sheetData>
    <row r="1" spans="1:4" x14ac:dyDescent="0.25">
      <c r="A1" s="6" t="s">
        <v>606</v>
      </c>
      <c r="B1" s="6" t="s">
        <v>605</v>
      </c>
      <c r="C1" s="6" t="s">
        <v>3</v>
      </c>
      <c r="D1" t="s">
        <v>1469</v>
      </c>
    </row>
    <row r="2" spans="1:4" x14ac:dyDescent="0.25">
      <c r="A2" t="s">
        <v>625</v>
      </c>
      <c r="B2" t="s">
        <v>626</v>
      </c>
      <c r="C2" t="s">
        <v>164</v>
      </c>
      <c r="D2" s="7">
        <v>7.8458880000000004</v>
      </c>
    </row>
    <row r="3" spans="1:4" x14ac:dyDescent="0.25">
      <c r="A3" t="s">
        <v>1403</v>
      </c>
      <c r="B3" t="s">
        <v>1404</v>
      </c>
      <c r="C3" t="s">
        <v>55</v>
      </c>
      <c r="D3" s="7">
        <v>2.0582400000000001</v>
      </c>
    </row>
    <row r="4" spans="1:4" x14ac:dyDescent="0.25">
      <c r="A4" t="s">
        <v>612</v>
      </c>
      <c r="B4" t="s">
        <v>613</v>
      </c>
      <c r="C4" t="s">
        <v>26</v>
      </c>
      <c r="D4" s="7">
        <v>2.56</v>
      </c>
    </row>
    <row r="5" spans="1:4" x14ac:dyDescent="0.25">
      <c r="A5" t="s">
        <v>638</v>
      </c>
      <c r="B5" t="s">
        <v>639</v>
      </c>
      <c r="C5" t="s">
        <v>19</v>
      </c>
      <c r="D5" s="7">
        <v>3.0720000000000001</v>
      </c>
    </row>
    <row r="6" spans="1:4" x14ac:dyDescent="0.25">
      <c r="A6" t="s">
        <v>631</v>
      </c>
      <c r="B6" t="s">
        <v>632</v>
      </c>
      <c r="C6" t="s">
        <v>376</v>
      </c>
      <c r="D6" s="7">
        <v>3.0720000000000001</v>
      </c>
    </row>
    <row r="7" spans="1:4" x14ac:dyDescent="0.25">
      <c r="A7" t="s">
        <v>615</v>
      </c>
      <c r="B7" t="s">
        <v>616</v>
      </c>
      <c r="C7" t="s">
        <v>196</v>
      </c>
      <c r="D7" s="7">
        <v>1.040384</v>
      </c>
    </row>
    <row r="8" spans="1:4" x14ac:dyDescent="0.25">
      <c r="A8" t="s">
        <v>644</v>
      </c>
      <c r="B8" t="s">
        <v>645</v>
      </c>
      <c r="C8" t="s">
        <v>317</v>
      </c>
      <c r="D8" s="7">
        <v>1.024</v>
      </c>
    </row>
    <row r="9" spans="1:4" x14ac:dyDescent="0.25">
      <c r="A9" t="s">
        <v>628</v>
      </c>
      <c r="B9" t="s">
        <v>629</v>
      </c>
      <c r="C9" t="s">
        <v>394</v>
      </c>
      <c r="D9" s="7">
        <v>1.9681280000000001</v>
      </c>
    </row>
    <row r="10" spans="1:4" x14ac:dyDescent="0.25">
      <c r="A10" t="s">
        <v>641</v>
      </c>
      <c r="B10" t="s">
        <v>642</v>
      </c>
      <c r="C10" t="s">
        <v>159</v>
      </c>
      <c r="D10" s="7">
        <v>1.024</v>
      </c>
    </row>
    <row r="11" spans="1:4" x14ac:dyDescent="0.25">
      <c r="A11" t="s">
        <v>653</v>
      </c>
      <c r="B11" t="s">
        <v>654</v>
      </c>
      <c r="C11" t="s">
        <v>47</v>
      </c>
      <c r="D11" s="7">
        <v>0.63692800000000005</v>
      </c>
    </row>
    <row r="12" spans="1:4" x14ac:dyDescent="0.25">
      <c r="A12" t="s">
        <v>650</v>
      </c>
      <c r="B12" t="s">
        <v>651</v>
      </c>
      <c r="C12" t="s">
        <v>118</v>
      </c>
      <c r="D12" s="7">
        <v>0.51200000000000001</v>
      </c>
    </row>
    <row r="13" spans="1:4" x14ac:dyDescent="0.25">
      <c r="A13" t="s">
        <v>647</v>
      </c>
      <c r="B13" t="s">
        <v>648</v>
      </c>
      <c r="C13" t="s">
        <v>497</v>
      </c>
      <c r="D13" s="7">
        <v>8.1920000000000002</v>
      </c>
    </row>
    <row r="14" spans="1:4" x14ac:dyDescent="0.25">
      <c r="A14" t="s">
        <v>656</v>
      </c>
      <c r="B14" t="s">
        <v>657</v>
      </c>
      <c r="C14" t="s">
        <v>137</v>
      </c>
      <c r="D14" s="7">
        <v>2.3552</v>
      </c>
    </row>
    <row r="15" spans="1:4" x14ac:dyDescent="0.25">
      <c r="A15" t="s">
        <v>700</v>
      </c>
      <c r="B15" t="s">
        <v>701</v>
      </c>
      <c r="C15" t="s">
        <v>169</v>
      </c>
      <c r="D15" s="7">
        <v>0.49152000000000001</v>
      </c>
    </row>
    <row r="16" spans="1:4" x14ac:dyDescent="0.25">
      <c r="A16" t="s">
        <v>669</v>
      </c>
      <c r="B16" t="s">
        <v>670</v>
      </c>
      <c r="C16" t="s">
        <v>439</v>
      </c>
      <c r="D16" s="7">
        <v>3.0720000000000001</v>
      </c>
    </row>
    <row r="17" spans="1:4" x14ac:dyDescent="0.25">
      <c r="A17" t="s">
        <v>666</v>
      </c>
      <c r="B17" t="s">
        <v>667</v>
      </c>
      <c r="C17" t="s">
        <v>262</v>
      </c>
      <c r="D17" s="7">
        <v>1.024</v>
      </c>
    </row>
    <row r="18" spans="1:4" x14ac:dyDescent="0.25">
      <c r="A18" t="s">
        <v>675</v>
      </c>
      <c r="B18" t="s">
        <v>676</v>
      </c>
      <c r="C18" t="s">
        <v>284</v>
      </c>
      <c r="D18" s="7">
        <v>0.42188799999999999</v>
      </c>
    </row>
    <row r="19" spans="1:4" x14ac:dyDescent="0.25">
      <c r="A19" t="s">
        <v>724</v>
      </c>
      <c r="B19" t="s">
        <v>725</v>
      </c>
      <c r="C19" t="s">
        <v>51</v>
      </c>
      <c r="D19" s="7">
        <v>8.1920000000000002</v>
      </c>
    </row>
    <row r="20" spans="1:4" x14ac:dyDescent="0.25">
      <c r="A20" t="s">
        <v>721</v>
      </c>
      <c r="B20" t="s">
        <v>722</v>
      </c>
      <c r="C20" t="s">
        <v>353</v>
      </c>
      <c r="D20" s="7">
        <v>0.53043200000000001</v>
      </c>
    </row>
    <row r="21" spans="1:4" x14ac:dyDescent="0.25">
      <c r="A21" t="s">
        <v>663</v>
      </c>
      <c r="B21" t="s">
        <v>664</v>
      </c>
      <c r="C21" t="s">
        <v>470</v>
      </c>
      <c r="D21" s="7">
        <v>1.0250239999999999</v>
      </c>
    </row>
    <row r="22" spans="1:4" x14ac:dyDescent="0.25">
      <c r="A22" t="s">
        <v>682</v>
      </c>
      <c r="B22" t="s">
        <v>683</v>
      </c>
      <c r="C22" t="s">
        <v>590</v>
      </c>
      <c r="D22" s="7">
        <v>4.0960000000000001</v>
      </c>
    </row>
    <row r="23" spans="1:4" x14ac:dyDescent="0.25">
      <c r="A23" t="s">
        <v>685</v>
      </c>
      <c r="B23" t="s">
        <v>686</v>
      </c>
      <c r="C23" t="s">
        <v>501</v>
      </c>
      <c r="D23" s="7">
        <v>3.0720000000000001</v>
      </c>
    </row>
    <row r="24" spans="1:4" x14ac:dyDescent="0.25">
      <c r="A24" t="s">
        <v>693</v>
      </c>
      <c r="B24" t="s">
        <v>694</v>
      </c>
      <c r="C24" t="s">
        <v>577</v>
      </c>
      <c r="D24" s="7">
        <v>2.1432319999999998</v>
      </c>
    </row>
    <row r="25" spans="1:4" x14ac:dyDescent="0.25">
      <c r="A25" s="9" t="s">
        <v>697</v>
      </c>
      <c r="B25" t="s">
        <v>698</v>
      </c>
      <c r="C25" t="s">
        <v>142</v>
      </c>
      <c r="D25" s="7">
        <v>1.024</v>
      </c>
    </row>
    <row r="26" spans="1:4" x14ac:dyDescent="0.25">
      <c r="A26" t="s">
        <v>710</v>
      </c>
      <c r="B26" t="s">
        <v>711</v>
      </c>
      <c r="C26" t="s">
        <v>349</v>
      </c>
      <c r="D26" s="7">
        <v>1.024</v>
      </c>
    </row>
    <row r="27" spans="1:4" x14ac:dyDescent="0.25">
      <c r="A27" t="s">
        <v>660</v>
      </c>
      <c r="B27" t="s">
        <v>661</v>
      </c>
      <c r="C27" t="s">
        <v>561</v>
      </c>
      <c r="D27" s="7">
        <v>1.024</v>
      </c>
    </row>
    <row r="28" spans="1:4" x14ac:dyDescent="0.25">
      <c r="A28" t="s">
        <v>703</v>
      </c>
      <c r="B28" t="s">
        <v>704</v>
      </c>
      <c r="C28" t="s">
        <v>530</v>
      </c>
      <c r="D28" s="7">
        <v>4.0960000000000001</v>
      </c>
    </row>
    <row r="29" spans="1:4" x14ac:dyDescent="0.25">
      <c r="A29" t="s">
        <v>672</v>
      </c>
      <c r="B29" t="s">
        <v>673</v>
      </c>
      <c r="C29" t="s">
        <v>245</v>
      </c>
      <c r="D29" s="7">
        <v>0.63692800000000005</v>
      </c>
    </row>
    <row r="30" spans="1:4" x14ac:dyDescent="0.25">
      <c r="A30" t="s">
        <v>741</v>
      </c>
      <c r="B30" t="s">
        <v>742</v>
      </c>
      <c r="C30" t="s">
        <v>53</v>
      </c>
      <c r="D30" s="7">
        <v>1.1939839999999999</v>
      </c>
    </row>
    <row r="31" spans="1:4" x14ac:dyDescent="0.25">
      <c r="A31" t="s">
        <v>777</v>
      </c>
      <c r="B31" t="s">
        <v>778</v>
      </c>
      <c r="C31" t="s">
        <v>526</v>
      </c>
      <c r="D31" s="7">
        <v>1.967104</v>
      </c>
    </row>
    <row r="32" spans="1:4" x14ac:dyDescent="0.25">
      <c r="A32" t="s">
        <v>1337</v>
      </c>
      <c r="B32" t="s">
        <v>1338</v>
      </c>
      <c r="C32" t="s">
        <v>233</v>
      </c>
      <c r="D32" s="7">
        <v>0.53043200000000001</v>
      </c>
    </row>
    <row r="33" spans="1:4" x14ac:dyDescent="0.25">
      <c r="A33" t="s">
        <v>809</v>
      </c>
      <c r="B33" t="s">
        <v>810</v>
      </c>
      <c r="C33" t="s">
        <v>36</v>
      </c>
      <c r="D33" s="7">
        <v>2.048</v>
      </c>
    </row>
    <row r="34" spans="1:4" x14ac:dyDescent="0.25">
      <c r="A34" t="s">
        <v>755</v>
      </c>
      <c r="B34" t="s">
        <v>756</v>
      </c>
      <c r="C34" t="s">
        <v>116</v>
      </c>
      <c r="D34" s="7">
        <v>1.652736</v>
      </c>
    </row>
    <row r="35" spans="1:4" x14ac:dyDescent="0.25">
      <c r="A35" t="s">
        <v>738</v>
      </c>
      <c r="B35" t="s">
        <v>739</v>
      </c>
      <c r="C35" t="s">
        <v>248</v>
      </c>
      <c r="D35" s="7">
        <v>2.048</v>
      </c>
    </row>
    <row r="36" spans="1:4" x14ac:dyDescent="0.25">
      <c r="A36" t="s">
        <v>758</v>
      </c>
      <c r="B36" t="s">
        <v>759</v>
      </c>
      <c r="C36" t="s">
        <v>434</v>
      </c>
      <c r="D36" s="7">
        <v>1.69472</v>
      </c>
    </row>
    <row r="37" spans="1:4" x14ac:dyDescent="0.25">
      <c r="A37" t="s">
        <v>769</v>
      </c>
      <c r="B37" t="s">
        <v>770</v>
      </c>
      <c r="C37" t="s">
        <v>231</v>
      </c>
      <c r="D37" s="7">
        <v>1.024</v>
      </c>
    </row>
    <row r="38" spans="1:4" x14ac:dyDescent="0.25">
      <c r="A38" t="s">
        <v>788</v>
      </c>
      <c r="B38" t="s">
        <v>789</v>
      </c>
      <c r="C38" t="s">
        <v>114</v>
      </c>
      <c r="D38" s="7">
        <v>1.024</v>
      </c>
    </row>
    <row r="39" spans="1:4" x14ac:dyDescent="0.25">
      <c r="A39" t="s">
        <v>794</v>
      </c>
      <c r="B39" t="s">
        <v>795</v>
      </c>
      <c r="C39" t="s">
        <v>467</v>
      </c>
      <c r="D39" s="7">
        <v>57.441279999999999</v>
      </c>
    </row>
    <row r="40" spans="1:4" x14ac:dyDescent="0.25">
      <c r="A40" t="s">
        <v>732</v>
      </c>
      <c r="B40" t="s">
        <v>733</v>
      </c>
      <c r="C40" t="s">
        <v>107</v>
      </c>
      <c r="D40" s="7">
        <v>3.3310719999999998</v>
      </c>
    </row>
    <row r="41" spans="1:4" x14ac:dyDescent="0.25">
      <c r="A41" t="s">
        <v>801</v>
      </c>
      <c r="B41" t="s">
        <v>802</v>
      </c>
      <c r="C41" t="s">
        <v>71</v>
      </c>
      <c r="D41" s="7">
        <v>0.25600000000000001</v>
      </c>
    </row>
    <row r="42" spans="1:4" x14ac:dyDescent="0.25">
      <c r="A42" t="s">
        <v>805</v>
      </c>
      <c r="B42" t="s">
        <v>806</v>
      </c>
      <c r="C42" t="s">
        <v>99</v>
      </c>
      <c r="D42" s="7">
        <v>0.53043200000000001</v>
      </c>
    </row>
    <row r="43" spans="1:4" x14ac:dyDescent="0.25">
      <c r="A43" t="s">
        <v>891</v>
      </c>
      <c r="B43" t="s">
        <v>892</v>
      </c>
      <c r="C43" t="s">
        <v>346</v>
      </c>
      <c r="D43" s="7">
        <v>0.71679999999999999</v>
      </c>
    </row>
    <row r="44" spans="1:4" x14ac:dyDescent="0.25">
      <c r="A44" t="s">
        <v>812</v>
      </c>
      <c r="B44" t="s">
        <v>813</v>
      </c>
      <c r="C44" t="s">
        <v>112</v>
      </c>
      <c r="D44" s="7">
        <v>0.26112000000000002</v>
      </c>
    </row>
    <row r="45" spans="1:4" x14ac:dyDescent="0.25">
      <c r="A45" t="s">
        <v>819</v>
      </c>
      <c r="B45" t="s">
        <v>820</v>
      </c>
      <c r="C45" t="s">
        <v>405</v>
      </c>
      <c r="D45" s="7">
        <v>3.0720000000000001</v>
      </c>
    </row>
    <row r="46" spans="1:4" x14ac:dyDescent="0.25">
      <c r="A46" t="s">
        <v>823</v>
      </c>
      <c r="B46" t="s">
        <v>824</v>
      </c>
      <c r="C46" t="s">
        <v>198</v>
      </c>
      <c r="D46" s="7">
        <v>1.6384000000000001</v>
      </c>
    </row>
    <row r="47" spans="1:4" x14ac:dyDescent="0.25">
      <c r="A47" t="s">
        <v>618</v>
      </c>
      <c r="B47" t="s">
        <v>619</v>
      </c>
      <c r="C47" t="s">
        <v>61</v>
      </c>
      <c r="D47" s="7">
        <v>1.024</v>
      </c>
    </row>
    <row r="48" spans="1:4" x14ac:dyDescent="0.25">
      <c r="A48" t="s">
        <v>826</v>
      </c>
      <c r="B48" t="s">
        <v>827</v>
      </c>
      <c r="C48" t="s">
        <v>78</v>
      </c>
      <c r="D48" s="7">
        <v>1.6517120000000001</v>
      </c>
    </row>
    <row r="49" spans="1:4" x14ac:dyDescent="0.25">
      <c r="A49" t="s">
        <v>843</v>
      </c>
      <c r="B49" t="s">
        <v>844</v>
      </c>
      <c r="C49" t="s">
        <v>383</v>
      </c>
      <c r="D49" s="7">
        <v>0.30719999999999997</v>
      </c>
    </row>
    <row r="50" spans="1:4" x14ac:dyDescent="0.25">
      <c r="A50" t="s">
        <v>829</v>
      </c>
      <c r="B50" t="s">
        <v>830</v>
      </c>
      <c r="C50" t="s">
        <v>217</v>
      </c>
      <c r="D50" s="7">
        <v>0.82739200000000002</v>
      </c>
    </row>
    <row r="51" spans="1:4" x14ac:dyDescent="0.25">
      <c r="A51" t="s">
        <v>1316</v>
      </c>
      <c r="B51" t="s">
        <v>1317</v>
      </c>
      <c r="C51" t="s">
        <v>363</v>
      </c>
      <c r="D51" s="7">
        <v>0.71679999999999999</v>
      </c>
    </row>
    <row r="52" spans="1:4" x14ac:dyDescent="0.25">
      <c r="A52" t="s">
        <v>850</v>
      </c>
      <c r="B52" t="s">
        <v>851</v>
      </c>
      <c r="C52" t="s">
        <v>540</v>
      </c>
      <c r="D52" s="7">
        <v>96.665599999999998</v>
      </c>
    </row>
    <row r="53" spans="1:4" x14ac:dyDescent="0.25">
      <c r="A53" t="s">
        <v>864</v>
      </c>
      <c r="B53" t="s">
        <v>865</v>
      </c>
      <c r="C53" t="s">
        <v>105</v>
      </c>
      <c r="D53" s="7">
        <v>0.26112000000000002</v>
      </c>
    </row>
    <row r="54" spans="1:4" x14ac:dyDescent="0.25">
      <c r="A54" t="s">
        <v>861</v>
      </c>
      <c r="B54" t="s">
        <v>862</v>
      </c>
      <c r="C54" t="s">
        <v>49</v>
      </c>
      <c r="D54" s="7">
        <v>10.24</v>
      </c>
    </row>
    <row r="55" spans="1:4" x14ac:dyDescent="0.25">
      <c r="A55" t="s">
        <v>858</v>
      </c>
      <c r="B55" t="s">
        <v>859</v>
      </c>
      <c r="C55" t="s">
        <v>67</v>
      </c>
      <c r="D55" s="7">
        <v>1.28</v>
      </c>
    </row>
    <row r="56" spans="1:4" x14ac:dyDescent="0.25">
      <c r="A56" t="s">
        <v>867</v>
      </c>
      <c r="B56" t="s">
        <v>868</v>
      </c>
      <c r="C56" t="s">
        <v>43</v>
      </c>
      <c r="D56" s="7">
        <v>0.44646400000000003</v>
      </c>
    </row>
    <row r="57" spans="1:4" x14ac:dyDescent="0.25">
      <c r="A57" t="s">
        <v>881</v>
      </c>
      <c r="B57" t="s">
        <v>882</v>
      </c>
      <c r="C57" t="s">
        <v>228</v>
      </c>
      <c r="D57" s="7">
        <v>8.1920000000000002</v>
      </c>
    </row>
    <row r="58" spans="1:4" x14ac:dyDescent="0.25">
      <c r="A58" t="s">
        <v>1407</v>
      </c>
      <c r="B58" t="s">
        <v>1408</v>
      </c>
      <c r="C58" t="s">
        <v>203</v>
      </c>
      <c r="D58" s="7">
        <v>0.41881600000000002</v>
      </c>
    </row>
    <row r="59" spans="1:4" x14ac:dyDescent="0.25">
      <c r="A59" t="s">
        <v>906</v>
      </c>
      <c r="B59" t="s">
        <v>907</v>
      </c>
      <c r="C59" t="s">
        <v>151</v>
      </c>
      <c r="D59" s="7">
        <v>3.0720000000000001</v>
      </c>
    </row>
    <row r="60" spans="1:4" x14ac:dyDescent="0.25">
      <c r="A60" t="s">
        <v>888</v>
      </c>
      <c r="B60" t="s">
        <v>889</v>
      </c>
      <c r="C60" t="s">
        <v>153</v>
      </c>
      <c r="D60" s="7">
        <v>0.71679999999999999</v>
      </c>
    </row>
    <row r="61" spans="1:4" x14ac:dyDescent="0.25">
      <c r="A61" s="9" t="s">
        <v>921</v>
      </c>
      <c r="B61" t="s">
        <v>922</v>
      </c>
      <c r="C61" t="s">
        <v>24</v>
      </c>
      <c r="D61" s="7">
        <v>0.61439999999999995</v>
      </c>
    </row>
    <row r="62" spans="1:4" x14ac:dyDescent="0.25">
      <c r="A62" t="s">
        <v>894</v>
      </c>
      <c r="B62" t="s">
        <v>895</v>
      </c>
      <c r="C62" t="s">
        <v>59</v>
      </c>
      <c r="D62" s="7">
        <v>1.792</v>
      </c>
    </row>
    <row r="63" spans="1:4" x14ac:dyDescent="0.25">
      <c r="A63" t="s">
        <v>897</v>
      </c>
      <c r="B63" t="s">
        <v>898</v>
      </c>
      <c r="C63" t="s">
        <v>175</v>
      </c>
      <c r="D63" s="7">
        <v>1.024</v>
      </c>
    </row>
    <row r="64" spans="1:4" x14ac:dyDescent="0.25">
      <c r="A64" t="s">
        <v>903</v>
      </c>
      <c r="B64" t="s">
        <v>904</v>
      </c>
      <c r="C64" t="s">
        <v>96</v>
      </c>
      <c r="D64" s="7">
        <v>3.0740479999999999</v>
      </c>
    </row>
    <row r="65" spans="1:4" x14ac:dyDescent="0.25">
      <c r="A65" t="s">
        <v>885</v>
      </c>
      <c r="B65" t="s">
        <v>886</v>
      </c>
      <c r="C65" t="s">
        <v>237</v>
      </c>
      <c r="D65" s="7">
        <v>1.967104</v>
      </c>
    </row>
    <row r="66" spans="1:4" x14ac:dyDescent="0.25">
      <c r="A66" t="s">
        <v>924</v>
      </c>
      <c r="B66" t="s">
        <v>925</v>
      </c>
      <c r="C66" t="s">
        <v>82</v>
      </c>
      <c r="D66" s="7">
        <v>2.204672</v>
      </c>
    </row>
    <row r="67" spans="1:4" x14ac:dyDescent="0.25">
      <c r="A67" t="s">
        <v>910</v>
      </c>
      <c r="B67" t="s">
        <v>911</v>
      </c>
      <c r="C67" t="s">
        <v>430</v>
      </c>
      <c r="D67" s="7">
        <v>1.323008</v>
      </c>
    </row>
    <row r="68" spans="1:4" x14ac:dyDescent="0.25">
      <c r="A68" t="s">
        <v>900</v>
      </c>
      <c r="B68" t="s">
        <v>901</v>
      </c>
      <c r="C68" t="s">
        <v>351</v>
      </c>
      <c r="D68" s="7">
        <v>0.78438399999999997</v>
      </c>
    </row>
    <row r="69" spans="1:4" x14ac:dyDescent="0.25">
      <c r="A69" t="s">
        <v>917</v>
      </c>
      <c r="B69" t="s">
        <v>918</v>
      </c>
      <c r="C69" t="s">
        <v>65</v>
      </c>
      <c r="D69" s="7">
        <v>1.0280959999999999</v>
      </c>
    </row>
    <row r="70" spans="1:4" x14ac:dyDescent="0.25">
      <c r="A70" t="s">
        <v>931</v>
      </c>
      <c r="B70" t="s">
        <v>932</v>
      </c>
      <c r="C70" t="s">
        <v>179</v>
      </c>
      <c r="D70" s="7">
        <v>1.024</v>
      </c>
    </row>
    <row r="71" spans="1:4" x14ac:dyDescent="0.25">
      <c r="A71" t="s">
        <v>949</v>
      </c>
      <c r="B71" t="s">
        <v>950</v>
      </c>
      <c r="C71" t="s">
        <v>194</v>
      </c>
      <c r="D71" s="7">
        <v>0.56832000000000005</v>
      </c>
    </row>
    <row r="72" spans="1:4" x14ac:dyDescent="0.25">
      <c r="A72" t="s">
        <v>791</v>
      </c>
      <c r="B72" t="s">
        <v>792</v>
      </c>
      <c r="C72" t="s">
        <v>477</v>
      </c>
      <c r="D72" s="7">
        <v>0</v>
      </c>
    </row>
    <row r="73" spans="1:4" x14ac:dyDescent="0.25">
      <c r="A73" t="s">
        <v>934</v>
      </c>
      <c r="B73" t="s">
        <v>935</v>
      </c>
      <c r="C73" t="s">
        <v>407</v>
      </c>
      <c r="D73" s="7">
        <v>35.144703999999997</v>
      </c>
    </row>
    <row r="74" spans="1:4" x14ac:dyDescent="0.25">
      <c r="A74" t="s">
        <v>952</v>
      </c>
      <c r="B74" t="s">
        <v>953</v>
      </c>
      <c r="C74" t="s">
        <v>9</v>
      </c>
      <c r="D74" s="7">
        <v>0.53043200000000001</v>
      </c>
    </row>
    <row r="75" spans="1:4" x14ac:dyDescent="0.25">
      <c r="A75" t="s">
        <v>961</v>
      </c>
      <c r="B75" t="s">
        <v>962</v>
      </c>
      <c r="C75" t="s">
        <v>455</v>
      </c>
      <c r="D75" s="7">
        <v>0.56832000000000005</v>
      </c>
    </row>
    <row r="76" spans="1:4" x14ac:dyDescent="0.25">
      <c r="A76" t="s">
        <v>971</v>
      </c>
      <c r="B76" t="s">
        <v>972</v>
      </c>
      <c r="C76" t="s">
        <v>184</v>
      </c>
      <c r="D76" s="7">
        <v>0.57343999999999995</v>
      </c>
    </row>
    <row r="77" spans="1:4" x14ac:dyDescent="0.25">
      <c r="A77" t="s">
        <v>978</v>
      </c>
      <c r="B77" t="s">
        <v>979</v>
      </c>
      <c r="C77" t="s">
        <v>144</v>
      </c>
      <c r="D77" s="7">
        <v>0.52019199999999999</v>
      </c>
    </row>
    <row r="78" spans="1:4" x14ac:dyDescent="0.25">
      <c r="A78" s="9" t="s">
        <v>975</v>
      </c>
      <c r="B78" t="s">
        <v>976</v>
      </c>
      <c r="C78" t="s">
        <v>24</v>
      </c>
      <c r="D78" s="7">
        <v>0.61439999999999995</v>
      </c>
    </row>
    <row r="79" spans="1:4" x14ac:dyDescent="0.25">
      <c r="A79" t="s">
        <v>958</v>
      </c>
      <c r="B79" t="s">
        <v>959</v>
      </c>
      <c r="C79" t="s">
        <v>32</v>
      </c>
      <c r="D79" s="7">
        <v>1.0199039999999999</v>
      </c>
    </row>
    <row r="80" spans="1:4" x14ac:dyDescent="0.25">
      <c r="A80" t="s">
        <v>968</v>
      </c>
      <c r="B80" t="s">
        <v>969</v>
      </c>
      <c r="C80" t="s">
        <v>274</v>
      </c>
      <c r="D80" s="7">
        <v>1.03424</v>
      </c>
    </row>
    <row r="81" spans="1:4" x14ac:dyDescent="0.25">
      <c r="A81" t="s">
        <v>965</v>
      </c>
      <c r="B81" t="s">
        <v>966</v>
      </c>
      <c r="C81" t="s">
        <v>221</v>
      </c>
      <c r="D81" s="7">
        <v>5.12</v>
      </c>
    </row>
    <row r="82" spans="1:4" x14ac:dyDescent="0.25">
      <c r="A82" t="s">
        <v>955</v>
      </c>
      <c r="B82" t="s">
        <v>956</v>
      </c>
      <c r="C82" t="s">
        <v>139</v>
      </c>
      <c r="D82" s="7">
        <v>0.31846400000000002</v>
      </c>
    </row>
    <row r="83" spans="1:4" x14ac:dyDescent="0.25">
      <c r="A83" t="s">
        <v>981</v>
      </c>
      <c r="B83" t="s">
        <v>982</v>
      </c>
      <c r="C83" t="s">
        <v>388</v>
      </c>
      <c r="D83" s="7">
        <v>0.55091199999999996</v>
      </c>
    </row>
    <row r="84" spans="1:4" x14ac:dyDescent="0.25">
      <c r="A84" s="9" t="s">
        <v>991</v>
      </c>
      <c r="B84" t="s">
        <v>992</v>
      </c>
      <c r="C84" t="s">
        <v>24</v>
      </c>
      <c r="D84" s="7">
        <v>0.61439999999999995</v>
      </c>
    </row>
    <row r="85" spans="1:4" x14ac:dyDescent="0.25">
      <c r="A85" t="s">
        <v>984</v>
      </c>
      <c r="B85" t="s">
        <v>985</v>
      </c>
      <c r="C85" t="s">
        <v>132</v>
      </c>
      <c r="D85" s="7">
        <v>1.024</v>
      </c>
    </row>
    <row r="86" spans="1:4" x14ac:dyDescent="0.25">
      <c r="A86" t="s">
        <v>994</v>
      </c>
      <c r="B86" t="s">
        <v>995</v>
      </c>
      <c r="C86" t="s">
        <v>310</v>
      </c>
      <c r="D86" s="7">
        <v>1.024</v>
      </c>
    </row>
    <row r="87" spans="1:4" x14ac:dyDescent="0.25">
      <c r="A87" t="s">
        <v>987</v>
      </c>
      <c r="B87" t="s">
        <v>988</v>
      </c>
      <c r="C87" t="s">
        <v>123</v>
      </c>
      <c r="D87" s="7">
        <v>1.024</v>
      </c>
    </row>
    <row r="88" spans="1:4" x14ac:dyDescent="0.25">
      <c r="A88" t="s">
        <v>1000</v>
      </c>
      <c r="B88" t="s">
        <v>1001</v>
      </c>
      <c r="C88" t="s">
        <v>101</v>
      </c>
      <c r="D88" s="7">
        <v>3.6526079999999999</v>
      </c>
    </row>
    <row r="89" spans="1:4" x14ac:dyDescent="0.25">
      <c r="A89" t="s">
        <v>1018</v>
      </c>
      <c r="B89" t="s">
        <v>1019</v>
      </c>
      <c r="C89" t="s">
        <v>223</v>
      </c>
      <c r="D89" s="7">
        <v>3.5840000000000001</v>
      </c>
    </row>
    <row r="90" spans="1:4" x14ac:dyDescent="0.25">
      <c r="A90" t="s">
        <v>735</v>
      </c>
      <c r="B90" t="s">
        <v>736</v>
      </c>
      <c r="C90" t="s">
        <v>11</v>
      </c>
      <c r="D90" s="7">
        <v>5.118976</v>
      </c>
    </row>
    <row r="91" spans="1:4" x14ac:dyDescent="0.25">
      <c r="A91" t="s">
        <v>1240</v>
      </c>
      <c r="B91" t="s">
        <v>1241</v>
      </c>
      <c r="C91" t="s">
        <v>573</v>
      </c>
      <c r="D91" s="7">
        <v>3.0720000000000001</v>
      </c>
    </row>
    <row r="92" spans="1:4" x14ac:dyDescent="0.25">
      <c r="A92" t="s">
        <v>1012</v>
      </c>
      <c r="B92" t="s">
        <v>1013</v>
      </c>
      <c r="C92" t="s">
        <v>205</v>
      </c>
      <c r="D92" s="7">
        <v>0.76800000000000002</v>
      </c>
    </row>
    <row r="93" spans="1:4" x14ac:dyDescent="0.25">
      <c r="A93" t="s">
        <v>1015</v>
      </c>
      <c r="B93" t="s">
        <v>1016</v>
      </c>
      <c r="C93" t="s">
        <v>337</v>
      </c>
      <c r="D93" s="7">
        <v>1.024</v>
      </c>
    </row>
    <row r="94" spans="1:4" x14ac:dyDescent="0.25">
      <c r="A94" t="s">
        <v>745</v>
      </c>
      <c r="B94" t="s">
        <v>746</v>
      </c>
      <c r="C94" t="s">
        <v>600</v>
      </c>
      <c r="D94" s="7">
        <v>3.0720000000000001</v>
      </c>
    </row>
    <row r="95" spans="1:4" x14ac:dyDescent="0.25">
      <c r="A95" t="s">
        <v>997</v>
      </c>
      <c r="B95" t="s">
        <v>998</v>
      </c>
      <c r="C95" t="s">
        <v>192</v>
      </c>
      <c r="D95" s="7">
        <v>1.024</v>
      </c>
    </row>
    <row r="96" spans="1:4" x14ac:dyDescent="0.25">
      <c r="A96" t="s">
        <v>1022</v>
      </c>
      <c r="B96" t="s">
        <v>1023</v>
      </c>
      <c r="C96" t="s">
        <v>513</v>
      </c>
      <c r="D96" s="7">
        <v>25.6</v>
      </c>
    </row>
    <row r="97" spans="1:4" x14ac:dyDescent="0.25">
      <c r="A97" t="s">
        <v>1028</v>
      </c>
      <c r="B97" t="s">
        <v>1029</v>
      </c>
      <c r="C97" t="s">
        <v>460</v>
      </c>
      <c r="D97" s="7">
        <v>163.00441599999999</v>
      </c>
    </row>
    <row r="98" spans="1:4" x14ac:dyDescent="0.25">
      <c r="A98" t="s">
        <v>1243</v>
      </c>
      <c r="B98" t="s">
        <v>1244</v>
      </c>
      <c r="C98" t="s">
        <v>225</v>
      </c>
      <c r="D98" s="7">
        <v>3.0720000000000001</v>
      </c>
    </row>
    <row r="99" spans="1:4" x14ac:dyDescent="0.25">
      <c r="A99" t="s">
        <v>1041</v>
      </c>
      <c r="B99" t="s">
        <v>1042</v>
      </c>
      <c r="C99" t="s">
        <v>462</v>
      </c>
      <c r="D99" s="7">
        <v>0.63692800000000005</v>
      </c>
    </row>
    <row r="100" spans="1:4" x14ac:dyDescent="0.25">
      <c r="A100" t="s">
        <v>1319</v>
      </c>
      <c r="B100" t="s">
        <v>1320</v>
      </c>
      <c r="C100" t="s">
        <v>290</v>
      </c>
      <c r="D100" s="7">
        <v>1.024</v>
      </c>
    </row>
    <row r="101" spans="1:4" x14ac:dyDescent="0.25">
      <c r="A101" t="s">
        <v>1035</v>
      </c>
      <c r="B101" t="s">
        <v>1036</v>
      </c>
      <c r="C101" t="s">
        <v>190</v>
      </c>
      <c r="D101" s="7">
        <v>2.204672</v>
      </c>
    </row>
    <row r="102" spans="1:4" x14ac:dyDescent="0.25">
      <c r="A102" t="s">
        <v>1044</v>
      </c>
      <c r="B102" t="s">
        <v>1045</v>
      </c>
      <c r="C102" t="s">
        <v>76</v>
      </c>
      <c r="D102" s="7">
        <v>0.20480000000000001</v>
      </c>
    </row>
    <row r="103" spans="1:4" x14ac:dyDescent="0.25">
      <c r="A103" t="s">
        <v>1047</v>
      </c>
      <c r="B103" t="s">
        <v>1048</v>
      </c>
      <c r="C103" t="s">
        <v>177</v>
      </c>
      <c r="D103" s="7">
        <v>0.42188799999999999</v>
      </c>
    </row>
    <row r="104" spans="1:4" x14ac:dyDescent="0.25">
      <c r="A104" t="s">
        <v>1025</v>
      </c>
      <c r="B104" t="s">
        <v>1026</v>
      </c>
      <c r="C104" t="s">
        <v>173</v>
      </c>
      <c r="D104" s="7">
        <v>0.20480000000000001</v>
      </c>
    </row>
    <row r="105" spans="1:4" x14ac:dyDescent="0.25">
      <c r="A105" t="s">
        <v>1038</v>
      </c>
      <c r="B105" t="s">
        <v>1039</v>
      </c>
      <c r="C105" t="s">
        <v>372</v>
      </c>
      <c r="D105" s="7">
        <v>19.438592</v>
      </c>
    </row>
    <row r="106" spans="1:4" x14ac:dyDescent="0.25">
      <c r="A106" t="s">
        <v>1113</v>
      </c>
      <c r="B106" t="s">
        <v>1114</v>
      </c>
      <c r="C106" t="s">
        <v>148</v>
      </c>
      <c r="D106" s="7">
        <v>1.024</v>
      </c>
    </row>
    <row r="107" spans="1:4" x14ac:dyDescent="0.25">
      <c r="A107" t="s">
        <v>1101</v>
      </c>
      <c r="B107" t="s">
        <v>1102</v>
      </c>
      <c r="C107" t="s">
        <v>480</v>
      </c>
      <c r="D107" s="7">
        <v>8.4797440000000002</v>
      </c>
    </row>
    <row r="108" spans="1:4" x14ac:dyDescent="0.25">
      <c r="A108" t="s">
        <v>1098</v>
      </c>
      <c r="B108" t="s">
        <v>1099</v>
      </c>
      <c r="C108" t="s">
        <v>88</v>
      </c>
      <c r="D108" s="7">
        <v>0.71679999999999999</v>
      </c>
    </row>
    <row r="109" spans="1:4" x14ac:dyDescent="0.25">
      <c r="A109" t="s">
        <v>1107</v>
      </c>
      <c r="B109" t="s">
        <v>1108</v>
      </c>
      <c r="C109" t="s">
        <v>211</v>
      </c>
      <c r="D109" s="7">
        <v>0.76800000000000002</v>
      </c>
    </row>
    <row r="110" spans="1:4" x14ac:dyDescent="0.25">
      <c r="A110" t="s">
        <v>1053</v>
      </c>
      <c r="B110" t="s">
        <v>1054</v>
      </c>
      <c r="C110" t="s">
        <v>537</v>
      </c>
      <c r="D110" s="7">
        <v>2.048</v>
      </c>
    </row>
    <row r="111" spans="1:4" x14ac:dyDescent="0.25">
      <c r="A111" t="s">
        <v>1215</v>
      </c>
      <c r="B111" t="s">
        <v>1216</v>
      </c>
      <c r="C111" t="s">
        <v>239</v>
      </c>
      <c r="D111" s="7">
        <v>0.63692800000000005</v>
      </c>
    </row>
    <row r="112" spans="1:4" x14ac:dyDescent="0.25">
      <c r="A112" t="s">
        <v>1066</v>
      </c>
      <c r="B112" t="s">
        <v>1067</v>
      </c>
      <c r="C112" t="s">
        <v>15</v>
      </c>
      <c r="D112" s="7">
        <v>1.995776</v>
      </c>
    </row>
    <row r="113" spans="1:4" x14ac:dyDescent="0.25">
      <c r="A113" t="s">
        <v>1104</v>
      </c>
      <c r="B113" t="s">
        <v>1105</v>
      </c>
      <c r="C113" t="s">
        <v>506</v>
      </c>
      <c r="D113" s="7">
        <v>3.075072</v>
      </c>
    </row>
    <row r="114" spans="1:4" x14ac:dyDescent="0.25">
      <c r="A114" t="s">
        <v>1050</v>
      </c>
      <c r="B114" t="s">
        <v>1051</v>
      </c>
      <c r="C114" t="s">
        <v>550</v>
      </c>
      <c r="D114" s="7">
        <v>3.0720000000000001</v>
      </c>
    </row>
    <row r="115" spans="1:4" x14ac:dyDescent="0.25">
      <c r="A115" t="s">
        <v>1080</v>
      </c>
      <c r="B115" t="s">
        <v>1081</v>
      </c>
      <c r="C115" t="s">
        <v>219</v>
      </c>
      <c r="D115" s="7">
        <v>4.0960000000000001</v>
      </c>
    </row>
    <row r="116" spans="1:4" x14ac:dyDescent="0.25">
      <c r="A116" t="s">
        <v>1110</v>
      </c>
      <c r="B116" t="s">
        <v>1111</v>
      </c>
      <c r="C116" t="s">
        <v>235</v>
      </c>
      <c r="D116" s="7">
        <v>3.0720000000000001</v>
      </c>
    </row>
    <row r="117" spans="1:4" x14ac:dyDescent="0.25">
      <c r="A117" t="s">
        <v>1069</v>
      </c>
      <c r="B117" t="s">
        <v>1070</v>
      </c>
      <c r="C117" t="s">
        <v>260</v>
      </c>
      <c r="D117" s="7">
        <v>0.19456000000000001</v>
      </c>
    </row>
    <row r="118" spans="1:4" x14ac:dyDescent="0.25">
      <c r="A118" t="s">
        <v>1083</v>
      </c>
      <c r="B118" t="s">
        <v>1084</v>
      </c>
      <c r="C118" t="s">
        <v>257</v>
      </c>
      <c r="D118" s="7">
        <v>2.0490240000000002</v>
      </c>
    </row>
    <row r="119" spans="1:4" x14ac:dyDescent="0.25">
      <c r="A119" t="s">
        <v>1063</v>
      </c>
      <c r="B119" t="s">
        <v>1064</v>
      </c>
      <c r="C119" t="s">
        <v>565</v>
      </c>
      <c r="D119" s="7">
        <v>437.30329599999999</v>
      </c>
    </row>
    <row r="120" spans="1:4" x14ac:dyDescent="0.25">
      <c r="A120" t="s">
        <v>1090</v>
      </c>
      <c r="B120" t="s">
        <v>1091</v>
      </c>
      <c r="C120" t="s">
        <v>17</v>
      </c>
      <c r="D120" s="7">
        <v>1.024</v>
      </c>
    </row>
    <row r="121" spans="1:4" x14ac:dyDescent="0.25">
      <c r="A121" t="s">
        <v>1060</v>
      </c>
      <c r="B121" t="s">
        <v>1061</v>
      </c>
      <c r="C121" t="s">
        <v>322</v>
      </c>
      <c r="D121" s="7">
        <v>0.28671999999999997</v>
      </c>
    </row>
    <row r="122" spans="1:4" x14ac:dyDescent="0.25">
      <c r="A122" t="s">
        <v>1116</v>
      </c>
      <c r="B122" t="s">
        <v>1117</v>
      </c>
      <c r="C122" t="s">
        <v>298</v>
      </c>
      <c r="D122" s="7">
        <v>9.5754239999999999</v>
      </c>
    </row>
    <row r="123" spans="1:4" x14ac:dyDescent="0.25">
      <c r="A123" t="s">
        <v>1123</v>
      </c>
      <c r="B123" t="s">
        <v>1124</v>
      </c>
      <c r="C123" t="s">
        <v>447</v>
      </c>
      <c r="D123" s="7">
        <v>5.1230719999999996</v>
      </c>
    </row>
    <row r="124" spans="1:4" x14ac:dyDescent="0.25">
      <c r="A124" t="s">
        <v>1151</v>
      </c>
      <c r="B124" t="s">
        <v>1152</v>
      </c>
      <c r="C124" t="s">
        <v>453</v>
      </c>
      <c r="D124" s="7">
        <v>2.048</v>
      </c>
    </row>
    <row r="125" spans="1:4" x14ac:dyDescent="0.25">
      <c r="A125" t="s">
        <v>1144</v>
      </c>
      <c r="B125" t="s">
        <v>1145</v>
      </c>
      <c r="C125" t="s">
        <v>308</v>
      </c>
      <c r="D125" s="7">
        <v>1.024</v>
      </c>
    </row>
    <row r="126" spans="1:4" x14ac:dyDescent="0.25">
      <c r="A126" t="s">
        <v>1134</v>
      </c>
      <c r="B126" t="s">
        <v>1135</v>
      </c>
      <c r="C126" t="s">
        <v>86</v>
      </c>
      <c r="D126" s="7">
        <v>0.40960000000000002</v>
      </c>
    </row>
    <row r="127" spans="1:4" x14ac:dyDescent="0.25">
      <c r="A127" t="s">
        <v>1166</v>
      </c>
      <c r="B127" t="s">
        <v>1167</v>
      </c>
      <c r="C127" t="s">
        <v>403</v>
      </c>
      <c r="D127" s="7">
        <v>0.26112000000000002</v>
      </c>
    </row>
    <row r="128" spans="1:4" x14ac:dyDescent="0.25">
      <c r="A128" t="s">
        <v>1130</v>
      </c>
      <c r="B128" t="s">
        <v>1131</v>
      </c>
      <c r="C128" t="s">
        <v>334</v>
      </c>
      <c r="D128" s="7">
        <v>10.24</v>
      </c>
    </row>
    <row r="129" spans="1:4" x14ac:dyDescent="0.25">
      <c r="A129" t="s">
        <v>1141</v>
      </c>
      <c r="B129" t="s">
        <v>1142</v>
      </c>
      <c r="C129" t="s">
        <v>34</v>
      </c>
      <c r="D129" s="7">
        <v>0.49152000000000001</v>
      </c>
    </row>
    <row r="130" spans="1:4" x14ac:dyDescent="0.25">
      <c r="A130" t="s">
        <v>1169</v>
      </c>
      <c r="B130" t="s">
        <v>1170</v>
      </c>
      <c r="C130" t="s">
        <v>277</v>
      </c>
      <c r="D130" s="7">
        <v>2.0899839999999998</v>
      </c>
    </row>
    <row r="131" spans="1:4" x14ac:dyDescent="0.25">
      <c r="A131" t="s">
        <v>1182</v>
      </c>
      <c r="B131" t="s">
        <v>1183</v>
      </c>
      <c r="C131" t="s">
        <v>292</v>
      </c>
      <c r="D131" s="7">
        <v>3.0720000000000001</v>
      </c>
    </row>
    <row r="132" spans="1:4" x14ac:dyDescent="0.25">
      <c r="A132" t="s">
        <v>1191</v>
      </c>
      <c r="B132" t="s">
        <v>1192</v>
      </c>
      <c r="C132" t="s">
        <v>125</v>
      </c>
      <c r="D132" s="7">
        <v>1.024</v>
      </c>
    </row>
    <row r="133" spans="1:4" x14ac:dyDescent="0.25">
      <c r="A133" t="s">
        <v>874</v>
      </c>
      <c r="B133" t="s">
        <v>875</v>
      </c>
      <c r="C133" t="s">
        <v>84</v>
      </c>
      <c r="D133" s="7">
        <v>4.1850880000000004</v>
      </c>
    </row>
    <row r="134" spans="1:4" x14ac:dyDescent="0.25">
      <c r="A134" t="s">
        <v>1185</v>
      </c>
      <c r="B134" t="s">
        <v>1186</v>
      </c>
      <c r="C134" t="s">
        <v>493</v>
      </c>
      <c r="D134" s="7">
        <v>5.12</v>
      </c>
    </row>
    <row r="135" spans="1:4" x14ac:dyDescent="0.25">
      <c r="A135" t="s">
        <v>1195</v>
      </c>
      <c r="B135" t="s">
        <v>1196</v>
      </c>
      <c r="C135" t="s">
        <v>13</v>
      </c>
      <c r="D135" s="7">
        <v>0.56832000000000005</v>
      </c>
    </row>
    <row r="136" spans="1:4" x14ac:dyDescent="0.25">
      <c r="A136" t="s">
        <v>1172</v>
      </c>
      <c r="B136" t="s">
        <v>1173</v>
      </c>
      <c r="C136" t="s">
        <v>181</v>
      </c>
      <c r="D136" s="7">
        <v>0.28671999999999997</v>
      </c>
    </row>
    <row r="137" spans="1:4" x14ac:dyDescent="0.25">
      <c r="A137" t="s">
        <v>1202</v>
      </c>
      <c r="B137" t="s">
        <v>1203</v>
      </c>
      <c r="C137" t="s">
        <v>242</v>
      </c>
      <c r="D137" s="7">
        <v>0.55091199999999996</v>
      </c>
    </row>
    <row r="138" spans="1:4" x14ac:dyDescent="0.25">
      <c r="A138" t="s">
        <v>1208</v>
      </c>
      <c r="B138" t="s">
        <v>1209</v>
      </c>
      <c r="C138" t="s">
        <v>7</v>
      </c>
      <c r="D138" s="7">
        <v>1.0260480000000001</v>
      </c>
    </row>
    <row r="139" spans="1:4" x14ac:dyDescent="0.25">
      <c r="A139" t="s">
        <v>1179</v>
      </c>
      <c r="B139" t="s">
        <v>1180</v>
      </c>
      <c r="C139" t="s">
        <v>208</v>
      </c>
      <c r="D139" s="7">
        <v>1.024</v>
      </c>
    </row>
    <row r="140" spans="1:4" x14ac:dyDescent="0.25">
      <c r="A140" t="s">
        <v>1205</v>
      </c>
      <c r="B140" t="s">
        <v>1206</v>
      </c>
      <c r="C140" t="s">
        <v>110</v>
      </c>
      <c r="D140" s="7">
        <v>0.51302400000000004</v>
      </c>
    </row>
    <row r="141" spans="1:4" x14ac:dyDescent="0.25">
      <c r="A141" t="s">
        <v>1175</v>
      </c>
      <c r="B141" t="s">
        <v>1176</v>
      </c>
      <c r="C141" t="s">
        <v>490</v>
      </c>
      <c r="D141" s="7">
        <v>51.2</v>
      </c>
    </row>
    <row r="142" spans="1:4" x14ac:dyDescent="0.25">
      <c r="A142" t="s">
        <v>1188</v>
      </c>
      <c r="B142" t="s">
        <v>1189</v>
      </c>
      <c r="C142" t="s">
        <v>22</v>
      </c>
      <c r="D142" s="7">
        <v>1.0885119999999999</v>
      </c>
    </row>
    <row r="143" spans="1:4" x14ac:dyDescent="0.25">
      <c r="A143" t="s">
        <v>1211</v>
      </c>
      <c r="B143" t="s">
        <v>1212</v>
      </c>
      <c r="C143" t="s">
        <v>396</v>
      </c>
      <c r="D143" s="7">
        <v>1.024</v>
      </c>
    </row>
    <row r="144" spans="1:4" x14ac:dyDescent="0.25">
      <c r="A144" t="s">
        <v>1229</v>
      </c>
      <c r="B144" t="s">
        <v>1230</v>
      </c>
      <c r="C144" t="s">
        <v>296</v>
      </c>
      <c r="D144" s="7">
        <v>0.735232</v>
      </c>
    </row>
    <row r="145" spans="1:4" x14ac:dyDescent="0.25">
      <c r="A145" t="s">
        <v>1218</v>
      </c>
      <c r="B145" t="s">
        <v>1219</v>
      </c>
      <c r="C145" t="s">
        <v>28</v>
      </c>
      <c r="D145" s="7">
        <v>0.23347200000000001</v>
      </c>
    </row>
    <row r="146" spans="1:4" x14ac:dyDescent="0.25">
      <c r="A146" t="s">
        <v>1273</v>
      </c>
      <c r="B146" t="s">
        <v>1274</v>
      </c>
      <c r="C146" t="s">
        <v>30</v>
      </c>
      <c r="D146" s="7">
        <v>0.63692800000000005</v>
      </c>
    </row>
    <row r="147" spans="1:4" x14ac:dyDescent="0.25">
      <c r="A147" t="s">
        <v>1222</v>
      </c>
      <c r="B147" t="s">
        <v>1223</v>
      </c>
      <c r="C147" t="s">
        <v>127</v>
      </c>
      <c r="D147" s="7">
        <v>2.117632</v>
      </c>
    </row>
    <row r="148" spans="1:4" x14ac:dyDescent="0.25">
      <c r="A148" t="s">
        <v>1225</v>
      </c>
      <c r="B148" t="s">
        <v>1226</v>
      </c>
      <c r="C148" t="s">
        <v>69</v>
      </c>
      <c r="D148" s="7">
        <v>2.048</v>
      </c>
    </row>
    <row r="149" spans="1:4" x14ac:dyDescent="0.25">
      <c r="A149" t="s">
        <v>1267</v>
      </c>
      <c r="B149" t="s">
        <v>1268</v>
      </c>
      <c r="C149" t="s">
        <v>288</v>
      </c>
      <c r="D149" s="7">
        <v>2.048</v>
      </c>
    </row>
    <row r="150" spans="1:4" x14ac:dyDescent="0.25">
      <c r="A150" t="s">
        <v>1276</v>
      </c>
      <c r="B150" t="s">
        <v>1277</v>
      </c>
      <c r="C150" t="s">
        <v>332</v>
      </c>
      <c r="D150" s="7">
        <v>2.048</v>
      </c>
    </row>
    <row r="151" spans="1:4" x14ac:dyDescent="0.25">
      <c r="A151" t="s">
        <v>1334</v>
      </c>
      <c r="B151" t="s">
        <v>1335</v>
      </c>
      <c r="C151" t="s">
        <v>279</v>
      </c>
      <c r="D151" s="7">
        <v>0.26112000000000002</v>
      </c>
    </row>
    <row r="152" spans="1:4" x14ac:dyDescent="0.25">
      <c r="A152" t="s">
        <v>1283</v>
      </c>
      <c r="B152" t="s">
        <v>1284</v>
      </c>
      <c r="C152" t="s">
        <v>328</v>
      </c>
      <c r="D152" s="7">
        <v>0.557056</v>
      </c>
    </row>
    <row r="153" spans="1:4" x14ac:dyDescent="0.25">
      <c r="A153" t="s">
        <v>1294</v>
      </c>
      <c r="B153" t="s">
        <v>1295</v>
      </c>
      <c r="C153" t="s">
        <v>80</v>
      </c>
      <c r="D153" s="7">
        <v>0.59596800000000005</v>
      </c>
    </row>
    <row r="154" spans="1:4" x14ac:dyDescent="0.25">
      <c r="A154" t="s">
        <v>1291</v>
      </c>
      <c r="B154" t="s">
        <v>1292</v>
      </c>
      <c r="C154" t="s">
        <v>74</v>
      </c>
      <c r="D154" s="7">
        <v>0.53043200000000001</v>
      </c>
    </row>
    <row r="155" spans="1:4" x14ac:dyDescent="0.25">
      <c r="A155" t="s">
        <v>1270</v>
      </c>
      <c r="B155" t="s">
        <v>1271</v>
      </c>
      <c r="C155" t="s">
        <v>161</v>
      </c>
      <c r="D155" s="7">
        <v>1.069056</v>
      </c>
    </row>
    <row r="156" spans="1:4" x14ac:dyDescent="0.25">
      <c r="A156" t="s">
        <v>1264</v>
      </c>
      <c r="B156" t="s">
        <v>1265</v>
      </c>
      <c r="C156" t="s">
        <v>361</v>
      </c>
      <c r="D156" s="7">
        <v>7.1680000000000001</v>
      </c>
    </row>
    <row r="157" spans="1:4" x14ac:dyDescent="0.25">
      <c r="A157" t="s">
        <v>832</v>
      </c>
      <c r="B157" t="s">
        <v>833</v>
      </c>
      <c r="C157" t="s">
        <v>135</v>
      </c>
      <c r="D157" s="7">
        <v>1.024</v>
      </c>
    </row>
    <row r="158" spans="1:4" x14ac:dyDescent="0.25">
      <c r="A158" t="s">
        <v>1389</v>
      </c>
      <c r="B158" t="s">
        <v>1390</v>
      </c>
      <c r="C158" t="s">
        <v>306</v>
      </c>
      <c r="D158" s="7">
        <v>3.0720000000000001</v>
      </c>
    </row>
    <row r="159" spans="1:4" x14ac:dyDescent="0.25">
      <c r="A159" t="s">
        <v>752</v>
      </c>
      <c r="B159" t="s">
        <v>753</v>
      </c>
      <c r="C159" t="s">
        <v>400</v>
      </c>
      <c r="D159" s="7">
        <v>2.3552</v>
      </c>
    </row>
    <row r="160" spans="1:4" x14ac:dyDescent="0.25">
      <c r="A160" t="s">
        <v>1355</v>
      </c>
      <c r="B160" t="s">
        <v>1356</v>
      </c>
      <c r="C160" t="s">
        <v>167</v>
      </c>
      <c r="D160" s="7">
        <v>0.28671999999999997</v>
      </c>
    </row>
    <row r="161" spans="1:4" x14ac:dyDescent="0.25">
      <c r="A161" t="s">
        <v>1348</v>
      </c>
      <c r="B161" t="s">
        <v>1349</v>
      </c>
      <c r="C161" t="s">
        <v>520</v>
      </c>
      <c r="D161" s="7">
        <v>4.6079999999999997</v>
      </c>
    </row>
    <row r="162" spans="1:4" x14ac:dyDescent="0.25">
      <c r="A162" t="s">
        <v>1359</v>
      </c>
      <c r="B162" t="s">
        <v>1360</v>
      </c>
      <c r="C162" t="s">
        <v>582</v>
      </c>
      <c r="D162" s="7">
        <v>36.734976000000003</v>
      </c>
    </row>
    <row r="163" spans="1:4" x14ac:dyDescent="0.25">
      <c r="A163" t="s">
        <v>1378</v>
      </c>
      <c r="B163" t="s">
        <v>1379</v>
      </c>
      <c r="C163" t="s">
        <v>103</v>
      </c>
      <c r="D163" s="7">
        <v>1.536</v>
      </c>
    </row>
    <row r="164" spans="1:4" x14ac:dyDescent="0.25">
      <c r="A164" t="s">
        <v>1381</v>
      </c>
      <c r="B164" t="s">
        <v>1382</v>
      </c>
      <c r="C164" t="s">
        <v>41</v>
      </c>
      <c r="D164" s="7">
        <v>0.38502399999999998</v>
      </c>
    </row>
    <row r="165" spans="1:4" x14ac:dyDescent="0.25">
      <c r="A165" t="s">
        <v>1345</v>
      </c>
      <c r="B165" t="s">
        <v>1346</v>
      </c>
      <c r="C165" t="s">
        <v>413</v>
      </c>
      <c r="D165" s="7">
        <v>0.74035200000000001</v>
      </c>
    </row>
    <row r="166" spans="1:4" x14ac:dyDescent="0.25">
      <c r="A166" t="s">
        <v>1352</v>
      </c>
      <c r="B166" t="s">
        <v>1353</v>
      </c>
      <c r="C166" t="s">
        <v>200</v>
      </c>
      <c r="D166" s="7">
        <v>2.3552</v>
      </c>
    </row>
    <row r="167" spans="1:4" x14ac:dyDescent="0.25">
      <c r="A167" t="s">
        <v>1399</v>
      </c>
      <c r="B167" t="s">
        <v>1400</v>
      </c>
      <c r="C167" t="s">
        <v>45</v>
      </c>
      <c r="D167" s="7">
        <v>0.100352</v>
      </c>
    </row>
    <row r="168" spans="1:4" x14ac:dyDescent="0.25">
      <c r="A168" t="s">
        <v>1396</v>
      </c>
      <c r="B168" t="s">
        <v>1397</v>
      </c>
      <c r="C168" t="s">
        <v>325</v>
      </c>
      <c r="D168" s="7">
        <v>2.048</v>
      </c>
    </row>
    <row r="169" spans="1:4" x14ac:dyDescent="0.25">
      <c r="A169" t="s">
        <v>1415</v>
      </c>
      <c r="B169" t="s">
        <v>57</v>
      </c>
      <c r="C169" t="s">
        <v>57</v>
      </c>
      <c r="D169" s="7">
        <v>0.33279999999999998</v>
      </c>
    </row>
    <row r="170" spans="1:4" x14ac:dyDescent="0.25">
      <c r="A170" t="s">
        <v>1417</v>
      </c>
      <c r="B170" t="s">
        <v>1418</v>
      </c>
      <c r="C170" t="s">
        <v>93</v>
      </c>
      <c r="D170" s="7">
        <v>1.6537599999999999</v>
      </c>
    </row>
    <row r="171" spans="1:4" x14ac:dyDescent="0.25">
      <c r="A171" t="s">
        <v>1420</v>
      </c>
      <c r="B171" t="s">
        <v>1421</v>
      </c>
      <c r="C171" t="s">
        <v>91</v>
      </c>
      <c r="D171" s="7">
        <v>1.536</v>
      </c>
    </row>
    <row r="172" spans="1:4" x14ac:dyDescent="0.25">
      <c r="A172" t="s">
        <v>1254</v>
      </c>
      <c r="B172" t="s">
        <v>1255</v>
      </c>
      <c r="C172" t="s">
        <v>155</v>
      </c>
      <c r="D172" s="7">
        <v>3.0720000000000001</v>
      </c>
    </row>
    <row r="173" spans="1:4" x14ac:dyDescent="0.25">
      <c r="A173" t="s">
        <v>1428</v>
      </c>
      <c r="B173" t="s">
        <v>1429</v>
      </c>
      <c r="C173" t="s">
        <v>503</v>
      </c>
      <c r="D173" s="7">
        <v>3.5840000000000001</v>
      </c>
    </row>
    <row r="174" spans="1:4" x14ac:dyDescent="0.25">
      <c r="A174" t="s">
        <v>1436</v>
      </c>
      <c r="B174" t="s">
        <v>1437</v>
      </c>
      <c r="C174" t="s">
        <v>270</v>
      </c>
      <c r="D174" s="7">
        <v>3.0720000000000001</v>
      </c>
    </row>
    <row r="175" spans="1:4" x14ac:dyDescent="0.25">
      <c r="A175" t="s">
        <v>1432</v>
      </c>
      <c r="B175" t="s">
        <v>1433</v>
      </c>
      <c r="C175" t="s">
        <v>146</v>
      </c>
      <c r="D175" s="7">
        <v>0.58060800000000001</v>
      </c>
    </row>
    <row r="176" spans="1:4" x14ac:dyDescent="0.25">
      <c r="A176" t="s">
        <v>1257</v>
      </c>
      <c r="B176" t="s">
        <v>1258</v>
      </c>
      <c r="C176" t="s">
        <v>129</v>
      </c>
      <c r="D176" s="7">
        <v>4.0960000000000001</v>
      </c>
    </row>
    <row r="177" spans="1:4" x14ac:dyDescent="0.25">
      <c r="A177" t="s">
        <v>1466</v>
      </c>
      <c r="B177" t="s">
        <v>1467</v>
      </c>
      <c r="C177" t="s">
        <v>545</v>
      </c>
      <c r="D177" s="7">
        <v>0.73216000000000003</v>
      </c>
    </row>
    <row r="178" spans="1:4" x14ac:dyDescent="0.25">
      <c r="A178" t="s">
        <v>1305</v>
      </c>
      <c r="B178" t="s">
        <v>1306</v>
      </c>
      <c r="C178" t="s">
        <v>63</v>
      </c>
      <c r="D178" s="7">
        <v>1.4336</v>
      </c>
    </row>
    <row r="179" spans="1:4" x14ac:dyDescent="0.25">
      <c r="A179" t="s">
        <v>1459</v>
      </c>
      <c r="B179" t="s">
        <v>1460</v>
      </c>
      <c r="C179" t="s">
        <v>548</v>
      </c>
      <c r="D179" s="7">
        <v>5.1558400000000004</v>
      </c>
    </row>
    <row r="180" spans="1:4" x14ac:dyDescent="0.25">
      <c r="A180" t="s">
        <v>1468</v>
      </c>
      <c r="D180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72ABD-33E2-48FE-8B50-366A37A6E035}">
  <dimension ref="A1:O15"/>
  <sheetViews>
    <sheetView workbookViewId="0"/>
  </sheetViews>
  <sheetFormatPr defaultRowHeight="15" x14ac:dyDescent="0.25"/>
  <cols>
    <col min="1" max="1" width="4.140625" customWidth="1"/>
    <col min="2" max="2" width="12.7109375" bestFit="1" customWidth="1"/>
    <col min="3" max="3" width="12.7109375" customWidth="1"/>
    <col min="4" max="4" width="22" customWidth="1"/>
    <col min="5" max="5" width="15" bestFit="1" customWidth="1"/>
    <col min="6" max="6" width="13.7109375" customWidth="1"/>
    <col min="7" max="7" width="12.5703125" bestFit="1" customWidth="1"/>
    <col min="8" max="8" width="14.7109375" customWidth="1"/>
    <col min="9" max="9" width="20.28515625" customWidth="1"/>
    <col min="10" max="12" width="10.28515625" customWidth="1"/>
    <col min="13" max="13" width="7.5703125" bestFit="1" customWidth="1"/>
    <col min="14" max="14" width="24.140625" bestFit="1" customWidth="1"/>
  </cols>
  <sheetData>
    <row r="1" spans="1:15" x14ac:dyDescent="0.25">
      <c r="A1" s="10" t="s">
        <v>1475</v>
      </c>
      <c r="B1" s="10" t="s">
        <v>1471</v>
      </c>
      <c r="C1" s="10" t="s">
        <v>1484</v>
      </c>
      <c r="D1" s="10" t="s">
        <v>1485</v>
      </c>
      <c r="E1" s="10" t="s">
        <v>1490</v>
      </c>
      <c r="F1" s="10" t="s">
        <v>1491</v>
      </c>
      <c r="G1" s="10" t="s">
        <v>1492</v>
      </c>
      <c r="H1" s="10" t="s">
        <v>1484</v>
      </c>
      <c r="I1" s="10" t="s">
        <v>1485</v>
      </c>
      <c r="J1" s="10" t="s">
        <v>1486</v>
      </c>
      <c r="K1" s="10" t="s">
        <v>1487</v>
      </c>
      <c r="L1" s="10" t="s">
        <v>1488</v>
      </c>
      <c r="M1" s="10" t="s">
        <v>1489</v>
      </c>
      <c r="N1" s="10" t="s">
        <v>1494</v>
      </c>
      <c r="O1" s="10" t="s">
        <v>1493</v>
      </c>
    </row>
    <row r="2" spans="1:15" x14ac:dyDescent="0.25">
      <c r="A2" s="11">
        <v>1</v>
      </c>
      <c r="B2" s="11" t="s">
        <v>1472</v>
      </c>
      <c r="C2" s="11" t="str">
        <f>+H2</f>
        <v>ESPPRT</v>
      </c>
      <c r="D2" s="11" t="str">
        <f>+I2</f>
        <v>["ESP", "PRT"]</v>
      </c>
      <c r="E2" s="11" t="s">
        <v>363</v>
      </c>
      <c r="F2" s="11" t="s">
        <v>110</v>
      </c>
      <c r="G2" s="11"/>
      <c r="H2" s="10" t="str">
        <f>_xlfn.CONCAT(_xlfn.XLOOKUP(TRIM(E2),'min per Codes'!C:C,'min per Codes'!B:B,"",0),_xlfn.XLOOKUP(TRIM(F2),'min per Codes'!C:C,'min per Codes'!B:B,""),_xlfn.XLOOKUP(TRIM(G2),'min per Codes'!C:C,'min per Codes'!B:B,""))</f>
        <v>ESPPRT</v>
      </c>
      <c r="I2" s="10" t="str">
        <f>+"["""&amp;_xlfn.CONCAT(_xlfn.XLOOKUP(TRIM(E2),'min per Codes'!C:C,'min per Codes'!B:B,"",0),""", """,_xlfn.XLOOKUP(TRIM(F2),'min per Codes'!C:C,'min per Codes'!B:B,""),IF(G2="",_xlfn.XLOOKUP(TRIM(G2),'min per Codes'!C:C,'min per Codes'!B:B,"")&amp;"""]",""", """&amp;_xlfn.XLOOKUP(TRIM(G2),'min per Codes'!C:C,'min per Codes'!B:B,"")&amp;"""]"))</f>
        <v>["ESP", "PRT"]</v>
      </c>
      <c r="J2" s="10">
        <f>+_xlfn.XLOOKUP(E2,'min per Codes'!$C:$C,'min per Codes'!$D:$D,0,)</f>
        <v>0.71679999999999999</v>
      </c>
      <c r="K2" s="10">
        <f>+_xlfn.XLOOKUP(F2,'min per Codes'!$C:$C,'min per Codes'!$D:$D,0,)</f>
        <v>0.51302400000000004</v>
      </c>
      <c r="L2" s="10">
        <f>+_xlfn.XLOOKUP(G2,'min per Codes'!$C:$C,'min per Codes'!$D:$D,0,)</f>
        <v>0</v>
      </c>
      <c r="M2" s="12" cm="1">
        <f t="array" ref="M2">+_xlfn.STDEV.S(_xlfn._xlws.FILTER(J2:L2,J2:L2&lt;&gt;0))</f>
        <v>0.14409139144306998</v>
      </c>
      <c r="N2" s="13" cm="1">
        <f t="array" ref="N2">+M2/AVERAGE(_xlfn._xlws.FILTER(J2:L2,J2:L2&lt;&gt;0))</f>
        <v>0.23432847536406831</v>
      </c>
      <c r="O2" s="14" cm="1">
        <f t="array" ref="O2">+MAX(_xlfn._xlws.FILTER(J2:L2,J2:L2&lt;&gt;0))/MIN(_xlfn._xlws.FILTER(J2:L2,J2:L2&lt;&gt;0))</f>
        <v>1.3972055888223551</v>
      </c>
    </row>
    <row r="3" spans="1:15" x14ac:dyDescent="0.25">
      <c r="A3" s="10">
        <v>2</v>
      </c>
      <c r="B3" s="10" t="s">
        <v>1473</v>
      </c>
      <c r="C3" s="10" t="str">
        <f t="shared" ref="C3:C14" si="0">+H3</f>
        <v>BELNLDLUX</v>
      </c>
      <c r="D3" s="10" t="str">
        <f t="shared" ref="D3:D14" si="1">+I3</f>
        <v>["BEL", "NLD", "LUX"]</v>
      </c>
      <c r="E3" s="10" t="s">
        <v>284</v>
      </c>
      <c r="F3" s="10" t="s">
        <v>86</v>
      </c>
      <c r="G3" s="10" t="s">
        <v>177</v>
      </c>
      <c r="H3" s="10" t="str">
        <f>_xlfn.CONCAT(_xlfn.XLOOKUP(TRIM(E3),'min per Codes'!C:C,'min per Codes'!B:B,"",0),_xlfn.XLOOKUP(TRIM(F3),'min per Codes'!C:C,'min per Codes'!B:B,""),_xlfn.XLOOKUP(TRIM(G3),'min per Codes'!C:C,'min per Codes'!B:B,""))</f>
        <v>BELNLDLUX</v>
      </c>
      <c r="I3" s="10" t="str">
        <f>+"["""&amp;_xlfn.CONCAT(_xlfn.XLOOKUP(TRIM(E3),'min per Codes'!C:C,'min per Codes'!B:B,"",0),""", """,_xlfn.XLOOKUP(TRIM(F3),'min per Codes'!C:C,'min per Codes'!B:B,""),IF(G3="",_xlfn.XLOOKUP(TRIM(G3),'min per Codes'!C:C,'min per Codes'!B:B,"")&amp;"""]",""", """&amp;_xlfn.XLOOKUP(TRIM(G3),'min per Codes'!C:C,'min per Codes'!B:B,"")&amp;"""]"))</f>
        <v>["BEL", "NLD", "LUX"]</v>
      </c>
      <c r="J3" s="10">
        <f>+_xlfn.XLOOKUP(E3,'min per Codes'!$C:$C,'min per Codes'!$D:$D,0,)</f>
        <v>0.42188799999999999</v>
      </c>
      <c r="K3" s="10">
        <f>+_xlfn.XLOOKUP(F3,'min per Codes'!$C:$C,'min per Codes'!$D:$D,0,)</f>
        <v>0.40960000000000002</v>
      </c>
      <c r="L3" s="10">
        <f>+_xlfn.XLOOKUP(G3,'min per Codes'!$C:$C,'min per Codes'!$D:$D,0,)</f>
        <v>0.42188799999999999</v>
      </c>
      <c r="M3" s="12" cm="1">
        <f t="array" ref="M3">+_xlfn.STDEV.S(_xlfn._xlws.FILTER(J3:L3,J3:L3&lt;&gt;0))</f>
        <v>7.0944801078021008E-3</v>
      </c>
      <c r="N3" s="13" cm="1">
        <f t="array" ref="N3">+M3/AVERAGE(_xlfn._xlws.FILTER(J3:L3,J3:L3&lt;&gt;0))</f>
        <v>1.6980890270283062E-2</v>
      </c>
      <c r="O3" s="14" cm="1">
        <f t="array" ref="O3">+MAX(_xlfn._xlws.FILTER(J3:L3,J3:L3&lt;&gt;0))/MIN(_xlfn._xlws.FILTER(J3:L3,J3:L3&lt;&gt;0))</f>
        <v>1.0299999999999998</v>
      </c>
    </row>
    <row r="4" spans="1:15" x14ac:dyDescent="0.25">
      <c r="A4" s="10">
        <v>3</v>
      </c>
      <c r="B4" s="10" t="s">
        <v>1474</v>
      </c>
      <c r="C4" s="10" t="str">
        <f t="shared" si="0"/>
        <v>DNKNORSWE</v>
      </c>
      <c r="D4" s="10" t="str">
        <f t="shared" si="1"/>
        <v>["DNK", "NOR", "SWE"]</v>
      </c>
      <c r="E4" s="10" t="s">
        <v>112</v>
      </c>
      <c r="F4" s="10" t="s">
        <v>403</v>
      </c>
      <c r="G4" s="10" t="s">
        <v>279</v>
      </c>
      <c r="H4" s="10" t="str">
        <f>_xlfn.CONCAT(_xlfn.XLOOKUP(TRIM(E4),'min per Codes'!C:C,'min per Codes'!B:B,"",0),_xlfn.XLOOKUP(TRIM(F4),'min per Codes'!C:C,'min per Codes'!B:B,""),_xlfn.XLOOKUP(TRIM(G4),'min per Codes'!C:C,'min per Codes'!B:B,""))</f>
        <v>DNKNORSWE</v>
      </c>
      <c r="I4" s="10" t="str">
        <f>+"["""&amp;_xlfn.CONCAT(_xlfn.XLOOKUP(TRIM(E4),'min per Codes'!C:C,'min per Codes'!B:B,"",0),""", """,_xlfn.XLOOKUP(TRIM(F4),'min per Codes'!C:C,'min per Codes'!B:B,""),IF(G4="",_xlfn.XLOOKUP(TRIM(G4),'min per Codes'!C:C,'min per Codes'!B:B,"")&amp;"""]",""", """&amp;_xlfn.XLOOKUP(TRIM(G4),'min per Codes'!C:C,'min per Codes'!B:B,"")&amp;"""]"))</f>
        <v>["DNK", "NOR", "SWE"]</v>
      </c>
      <c r="J4" s="10">
        <f>+_xlfn.XLOOKUP(E4,'min per Codes'!$C:$C,'min per Codes'!$D:$D,0,)</f>
        <v>0.26112000000000002</v>
      </c>
      <c r="K4" s="10">
        <f>+_xlfn.XLOOKUP(F4,'min per Codes'!$C:$C,'min per Codes'!$D:$D,0,)</f>
        <v>0.26112000000000002</v>
      </c>
      <c r="L4" s="10">
        <f>+_xlfn.XLOOKUP(G4,'min per Codes'!$C:$C,'min per Codes'!$D:$D,0,)</f>
        <v>0.26112000000000002</v>
      </c>
      <c r="M4" s="12" cm="1">
        <f t="array" ref="M4">+_xlfn.STDEV.S(_xlfn._xlws.FILTER(J4:L4,J4:L4&lt;&gt;0))</f>
        <v>0</v>
      </c>
      <c r="N4" s="13" cm="1">
        <f t="array" ref="N4">+M4/AVERAGE(_xlfn._xlws.FILTER(J4:L4,J4:L4&lt;&gt;0))</f>
        <v>0</v>
      </c>
      <c r="O4" s="14" cm="1">
        <f t="array" ref="O4">+MAX(_xlfn._xlws.FILTER(J4:L4,J4:L4&lt;&gt;0))/MIN(_xlfn._xlws.FILTER(J4:L4,J4:L4&lt;&gt;0))</f>
        <v>1</v>
      </c>
    </row>
    <row r="5" spans="1:15" x14ac:dyDescent="0.25">
      <c r="A5" s="10">
        <v>4</v>
      </c>
      <c r="B5" s="10" t="s">
        <v>1476</v>
      </c>
      <c r="C5" s="10" t="str">
        <f t="shared" si="0"/>
        <v>FINEST</v>
      </c>
      <c r="D5" s="10" t="str">
        <f t="shared" si="1"/>
        <v>["FIN", "EST"]</v>
      </c>
      <c r="E5" s="10" t="s">
        <v>105</v>
      </c>
      <c r="F5" s="10" t="s">
        <v>383</v>
      </c>
      <c r="G5" s="10"/>
      <c r="H5" s="10" t="str">
        <f>_xlfn.CONCAT(_xlfn.XLOOKUP(TRIM(E5),'min per Codes'!C:C,'min per Codes'!B:B,"",0),_xlfn.XLOOKUP(TRIM(F5),'min per Codes'!C:C,'min per Codes'!B:B,""),_xlfn.XLOOKUP(TRIM(G5),'min per Codes'!C:C,'min per Codes'!B:B,""))</f>
        <v>FINEST</v>
      </c>
      <c r="I5" s="10" t="str">
        <f>+"["""&amp;_xlfn.CONCAT(_xlfn.XLOOKUP(TRIM(E5),'min per Codes'!C:C,'min per Codes'!B:B,"",0),""", """,_xlfn.XLOOKUP(TRIM(F5),'min per Codes'!C:C,'min per Codes'!B:B,""),IF(G5="",_xlfn.XLOOKUP(TRIM(G5),'min per Codes'!C:C,'min per Codes'!B:B,"")&amp;"""]",""", """&amp;_xlfn.XLOOKUP(TRIM(G5),'min per Codes'!C:C,'min per Codes'!B:B,"")&amp;"""]"))</f>
        <v>["FIN", "EST"]</v>
      </c>
      <c r="J5" s="10">
        <f>+_xlfn.XLOOKUP(E5,'min per Codes'!$C:$C,'min per Codes'!$D:$D,0,)</f>
        <v>0.26112000000000002</v>
      </c>
      <c r="K5" s="10">
        <f>+_xlfn.XLOOKUP(F5,'min per Codes'!$C:$C,'min per Codes'!$D:$D,0,)</f>
        <v>0.30719999999999997</v>
      </c>
      <c r="L5" s="10">
        <f>+_xlfn.XLOOKUP(G5,'min per Codes'!$C:$C,'min per Codes'!$D:$D,0,)</f>
        <v>0</v>
      </c>
      <c r="M5" s="12" cm="1">
        <f t="array" ref="M5">+_xlfn.STDEV.S(_xlfn._xlws.FILTER(J5:L5,J5:L5&lt;&gt;0))</f>
        <v>3.2583480477076078E-2</v>
      </c>
      <c r="N5" s="13" cm="1">
        <f t="array" ref="N5">+M5/AVERAGE(_xlfn._xlws.FILTER(J5:L5,J5:L5&lt;&gt;0))</f>
        <v>0.11466596451673734</v>
      </c>
      <c r="O5" s="14" cm="1">
        <f t="array" ref="O5">+MAX(_xlfn._xlws.FILTER(J5:L5,J5:L5&lt;&gt;0))/MIN(_xlfn._xlws.FILTER(J5:L5,J5:L5&lt;&gt;0))</f>
        <v>1.1764705882352939</v>
      </c>
    </row>
    <row r="6" spans="1:15" x14ac:dyDescent="0.25">
      <c r="A6" s="10">
        <v>5</v>
      </c>
      <c r="B6" s="10" t="s">
        <v>1477</v>
      </c>
      <c r="C6" s="10" t="str">
        <f t="shared" si="0"/>
        <v>LVALTU</v>
      </c>
      <c r="D6" s="10" t="str">
        <f t="shared" si="1"/>
        <v>["LVA", "LTU"]</v>
      </c>
      <c r="E6" s="10" t="s">
        <v>173</v>
      </c>
      <c r="F6" s="10" t="s">
        <v>76</v>
      </c>
      <c r="G6" s="10"/>
      <c r="H6" s="10" t="str">
        <f>_xlfn.CONCAT(_xlfn.XLOOKUP(TRIM(E6),'min per Codes'!C:C,'min per Codes'!B:B,"",0),_xlfn.XLOOKUP(TRIM(F6),'min per Codes'!C:C,'min per Codes'!B:B,""),_xlfn.XLOOKUP(TRIM(G6),'min per Codes'!C:C,'min per Codes'!B:B,""))</f>
        <v>LVALTU</v>
      </c>
      <c r="I6" s="10" t="str">
        <f>+"["""&amp;_xlfn.CONCAT(_xlfn.XLOOKUP(TRIM(E6),'min per Codes'!C:C,'min per Codes'!B:B,"",0),""", """,_xlfn.XLOOKUP(TRIM(F6),'min per Codes'!C:C,'min per Codes'!B:B,""),IF(G6="",_xlfn.XLOOKUP(TRIM(G6),'min per Codes'!C:C,'min per Codes'!B:B,"")&amp;"""]",""", """&amp;_xlfn.XLOOKUP(TRIM(G6),'min per Codes'!C:C,'min per Codes'!B:B,"")&amp;"""]"))</f>
        <v>["LVA", "LTU"]</v>
      </c>
      <c r="J6" s="10">
        <f>+_xlfn.XLOOKUP(E6,'min per Codes'!$C:$C,'min per Codes'!$D:$D,0,)</f>
        <v>0.20480000000000001</v>
      </c>
      <c r="K6" s="10">
        <f>+_xlfn.XLOOKUP(F6,'min per Codes'!$C:$C,'min per Codes'!$D:$D,0,)</f>
        <v>0.20480000000000001</v>
      </c>
      <c r="L6" s="10">
        <f>+_xlfn.XLOOKUP(G6,'min per Codes'!$C:$C,'min per Codes'!$D:$D,0,)</f>
        <v>0</v>
      </c>
      <c r="M6" s="12" cm="1">
        <f t="array" ref="M6">+_xlfn.STDEV.S(_xlfn._xlws.FILTER(J6:L6,J6:L6&lt;&gt;0))</f>
        <v>0</v>
      </c>
      <c r="N6" s="13" cm="1">
        <f t="array" ref="N6">+M6/AVERAGE(_xlfn._xlws.FILTER(J6:L6,J6:L6&lt;&gt;0))</f>
        <v>0</v>
      </c>
      <c r="O6" s="14" cm="1">
        <f t="array" ref="O6">+MAX(_xlfn._xlws.FILTER(J6:L6,J6:L6&lt;&gt;0))/MIN(_xlfn._xlws.FILTER(J6:L6,J6:L6&lt;&gt;0))</f>
        <v>1</v>
      </c>
    </row>
    <row r="7" spans="1:15" x14ac:dyDescent="0.25">
      <c r="A7" s="15">
        <v>6</v>
      </c>
      <c r="B7" s="15" t="s">
        <v>1478</v>
      </c>
      <c r="C7" s="15" t="str">
        <f t="shared" si="0"/>
        <v>GRCCYP</v>
      </c>
      <c r="D7" s="15" t="str">
        <f t="shared" si="1"/>
        <v>["GRC", "CYP"]</v>
      </c>
      <c r="E7" s="15" t="s">
        <v>351</v>
      </c>
      <c r="F7" s="15" t="s">
        <v>71</v>
      </c>
      <c r="G7" s="15"/>
      <c r="H7" s="10" t="str">
        <f>_xlfn.CONCAT(_xlfn.XLOOKUP(TRIM(E7),'min per Codes'!C:C,'min per Codes'!B:B,"",0),_xlfn.XLOOKUP(TRIM(F7),'min per Codes'!C:C,'min per Codes'!B:B,""),_xlfn.XLOOKUP(TRIM(G7),'min per Codes'!C:C,'min per Codes'!B:B,""))</f>
        <v>GRCCYP</v>
      </c>
      <c r="I7" s="10" t="str">
        <f>+"["""&amp;_xlfn.CONCAT(_xlfn.XLOOKUP(TRIM(E7),'min per Codes'!C:C,'min per Codes'!B:B,"",0),""", """,_xlfn.XLOOKUP(TRIM(F7),'min per Codes'!C:C,'min per Codes'!B:B,""),IF(G7="",_xlfn.XLOOKUP(TRIM(G7),'min per Codes'!C:C,'min per Codes'!B:B,"")&amp;"""]",""", """&amp;_xlfn.XLOOKUP(TRIM(G7),'min per Codes'!C:C,'min per Codes'!B:B,"")&amp;"""]"))</f>
        <v>["GRC", "CYP"]</v>
      </c>
      <c r="J7" s="10">
        <f>+_xlfn.XLOOKUP(E7,'min per Codes'!$C:$C,'min per Codes'!$D:$D,0,)</f>
        <v>0.78438399999999997</v>
      </c>
      <c r="K7" s="10">
        <f>+_xlfn.XLOOKUP(F7,'min per Codes'!$C:$C,'min per Codes'!$D:$D,0,)</f>
        <v>0.25600000000000001</v>
      </c>
      <c r="L7" s="10">
        <f>+_xlfn.XLOOKUP(G7,'min per Codes'!$C:$C,'min per Codes'!$D:$D,0,)</f>
        <v>0</v>
      </c>
      <c r="M7" s="12" cm="1">
        <f t="array" ref="M7">+_xlfn.STDEV.S(_xlfn._xlws.FILTER(J7:L7,J7:L7&lt;&gt;0))</f>
        <v>0.37362390947047286</v>
      </c>
      <c r="N7" s="13" cm="1">
        <f t="array" ref="N7">+M7/AVERAGE(_xlfn._xlws.FILTER(J7:L7,J7:L7&lt;&gt;0))</f>
        <v>0.71824232104775332</v>
      </c>
      <c r="O7" s="14" cm="1">
        <f t="array" ref="O7">+MAX(_xlfn._xlws.FILTER(J7:L7,J7:L7&lt;&gt;0))/MIN(_xlfn._xlws.FILTER(J7:L7,J7:L7&lt;&gt;0))</f>
        <v>3.0639999999999996</v>
      </c>
    </row>
    <row r="8" spans="1:15" x14ac:dyDescent="0.25">
      <c r="A8" s="15">
        <v>7</v>
      </c>
      <c r="B8" s="15" t="s">
        <v>1479</v>
      </c>
      <c r="C8" s="15" t="str">
        <f t="shared" si="0"/>
        <v>ROUBGR</v>
      </c>
      <c r="D8" s="15" t="str">
        <f t="shared" si="1"/>
        <v>["ROU", "BGR"]</v>
      </c>
      <c r="E8" s="15" t="s">
        <v>28</v>
      </c>
      <c r="F8" s="15" t="s">
        <v>353</v>
      </c>
      <c r="G8" s="15"/>
      <c r="H8" s="10" t="str">
        <f>_xlfn.CONCAT(_xlfn.XLOOKUP(TRIM(E8),'min per Codes'!C:C,'min per Codes'!B:B,"",0),_xlfn.XLOOKUP(TRIM(F8),'min per Codes'!C:C,'min per Codes'!B:B,""),_xlfn.XLOOKUP(TRIM(G8),'min per Codes'!C:C,'min per Codes'!B:B,""))</f>
        <v>ROUBGR</v>
      </c>
      <c r="I8" s="10" t="str">
        <f>+"["""&amp;_xlfn.CONCAT(_xlfn.XLOOKUP(TRIM(E8),'min per Codes'!C:C,'min per Codes'!B:B,"",0),""", """,_xlfn.XLOOKUP(TRIM(F8),'min per Codes'!C:C,'min per Codes'!B:B,""),IF(G8="",_xlfn.XLOOKUP(TRIM(G8),'min per Codes'!C:C,'min per Codes'!B:B,"")&amp;"""]",""", """&amp;_xlfn.XLOOKUP(TRIM(G8),'min per Codes'!C:C,'min per Codes'!B:B,"")&amp;"""]"))</f>
        <v>["ROU", "BGR"]</v>
      </c>
      <c r="J8" s="10">
        <f>+_xlfn.XLOOKUP(E8,'min per Codes'!$C:$C,'min per Codes'!$D:$D,0,)</f>
        <v>0.23347200000000001</v>
      </c>
      <c r="K8" s="10">
        <f>+_xlfn.XLOOKUP(F8,'min per Codes'!$C:$C,'min per Codes'!$D:$D,0,)</f>
        <v>0.53043200000000001</v>
      </c>
      <c r="L8" s="10">
        <f>+_xlfn.XLOOKUP(G8,'min per Codes'!$C:$C,'min per Codes'!$D:$D,0,)</f>
        <v>0</v>
      </c>
      <c r="M8" s="12" cm="1">
        <f t="array" ref="M8">+_xlfn.STDEV.S(_xlfn._xlws.FILTER(J8:L8,J8:L8&lt;&gt;0))</f>
        <v>0.20998242974115724</v>
      </c>
      <c r="N8" s="13" cm="1">
        <f t="array" ref="N8">+M8/AVERAGE(_xlfn._xlws.FILTER(J8:L8,J8:L8&lt;&gt;0))</f>
        <v>0.54976130440777171</v>
      </c>
      <c r="O8" s="14" cm="1">
        <f t="array" ref="O8">+MAX(_xlfn._xlws.FILTER(J8:L8,J8:L8&lt;&gt;0))/MIN(_xlfn._xlws.FILTER(J8:L8,J8:L8&lt;&gt;0))</f>
        <v>2.2719298245614032</v>
      </c>
    </row>
    <row r="9" spans="1:15" x14ac:dyDescent="0.25">
      <c r="A9" s="10">
        <v>8</v>
      </c>
      <c r="B9" s="10" t="s">
        <v>1480</v>
      </c>
      <c r="C9" s="10" t="str">
        <f t="shared" si="0"/>
        <v>AUTHRVSVN</v>
      </c>
      <c r="D9" s="10" t="str">
        <f t="shared" si="1"/>
        <v>["AUT", "HRV", "SVN"]</v>
      </c>
      <c r="E9" s="10" t="s">
        <v>47</v>
      </c>
      <c r="F9" s="10" t="s">
        <v>477</v>
      </c>
      <c r="G9" s="10" t="s">
        <v>80</v>
      </c>
      <c r="H9" s="10" t="str">
        <f>_xlfn.CONCAT(_xlfn.XLOOKUP(TRIM(E9),'min per Codes'!C:C,'min per Codes'!B:B,"",0),_xlfn.XLOOKUP(TRIM(F9),'min per Codes'!C:C,'min per Codes'!B:B,""),_xlfn.XLOOKUP(TRIM(G9),'min per Codes'!C:C,'min per Codes'!B:B,""))</f>
        <v>AUTHRVSVN</v>
      </c>
      <c r="I9" s="10" t="str">
        <f>+"["""&amp;_xlfn.CONCAT(_xlfn.XLOOKUP(TRIM(E9),'min per Codes'!C:C,'min per Codes'!B:B,"",0),""", """,_xlfn.XLOOKUP(TRIM(F9),'min per Codes'!C:C,'min per Codes'!B:B,""),IF(G9="",_xlfn.XLOOKUP(TRIM(G9),'min per Codes'!C:C,'min per Codes'!B:B,"")&amp;"""]",""", """&amp;_xlfn.XLOOKUP(TRIM(G9),'min per Codes'!C:C,'min per Codes'!B:B,"")&amp;"""]"))</f>
        <v>["AUT", "HRV", "SVN"]</v>
      </c>
      <c r="J9" s="10">
        <f>+_xlfn.XLOOKUP(E9,'min per Codes'!$C:$C,'min per Codes'!$D:$D,0,)</f>
        <v>0.63692800000000005</v>
      </c>
      <c r="K9" s="10">
        <v>0</v>
      </c>
      <c r="L9" s="10">
        <f>+_xlfn.XLOOKUP(G9,'min per Codes'!$C:$C,'min per Codes'!$D:$D,0,)</f>
        <v>0.59596800000000005</v>
      </c>
      <c r="M9" s="12" cm="1">
        <f t="array" ref="M9">+_xlfn.STDEV.S(_xlfn._xlws.FILTER(J9:L9,J9:L9&lt;&gt;0))</f>
        <v>2.8963093757400984E-2</v>
      </c>
      <c r="N9" s="13" cm="1">
        <f t="array" ref="N9">+M9/AVERAGE(_xlfn._xlws.FILTER(J9:L9,J9:L9&lt;&gt;0))</f>
        <v>4.6983839281498165E-2</v>
      </c>
      <c r="O9" s="14" cm="1">
        <f t="array" ref="O9">+MAX(_xlfn._xlws.FILTER(J9:L9,J9:L9&lt;&gt;0))/MIN(_xlfn._xlws.FILTER(J9:L9,J9:L9&lt;&gt;0))</f>
        <v>1.0687285223367697</v>
      </c>
    </row>
    <row r="10" spans="1:15" x14ac:dyDescent="0.25">
      <c r="A10" s="10">
        <v>9</v>
      </c>
      <c r="B10" s="10" t="s">
        <v>1496</v>
      </c>
      <c r="C10" s="10" t="str">
        <f t="shared" si="0"/>
        <v>DEULIE</v>
      </c>
      <c r="D10" s="10" t="str">
        <f t="shared" si="1"/>
        <v>["DEU", "LIE"]</v>
      </c>
      <c r="E10" s="10" t="s">
        <v>346</v>
      </c>
      <c r="F10" s="10" t="s">
        <v>462</v>
      </c>
      <c r="G10" s="10"/>
      <c r="H10" s="10" t="str">
        <f>_xlfn.CONCAT(_xlfn.XLOOKUP(TRIM(E10),'min per Codes'!C:C,'min per Codes'!B:B,"",0),_xlfn.XLOOKUP(TRIM(F10),'min per Codes'!C:C,'min per Codes'!B:B,""),_xlfn.XLOOKUP(TRIM(G10),'min per Codes'!C:C,'min per Codes'!B:B,""))</f>
        <v>DEULIE</v>
      </c>
      <c r="I10" s="10" t="str">
        <f>+"["""&amp;_xlfn.CONCAT(_xlfn.XLOOKUP(TRIM(E10),'min per Codes'!C:C,'min per Codes'!B:B,"",0),""", """,_xlfn.XLOOKUP(TRIM(F10),'min per Codes'!C:C,'min per Codes'!B:B,""),IF(G10="",_xlfn.XLOOKUP(TRIM(G10),'min per Codes'!C:C,'min per Codes'!B:B,"")&amp;"""]",""", """&amp;_xlfn.XLOOKUP(TRIM(G10),'min per Codes'!C:C,'min per Codes'!B:B,"")&amp;"""]"))</f>
        <v>["DEU", "LIE"]</v>
      </c>
      <c r="J10" s="10">
        <f>+_xlfn.XLOOKUP(E10,'min per Codes'!$C:$C,'min per Codes'!$D:$D,0,)</f>
        <v>0.71679999999999999</v>
      </c>
      <c r="K10" s="10">
        <f>+_xlfn.XLOOKUP(F10,'min per Codes'!$C:$C,'min per Codes'!$D:$D,0,)</f>
        <v>0.63692800000000005</v>
      </c>
      <c r="L10" s="10">
        <f>+_xlfn.XLOOKUP(G10,'min per Codes'!$C:$C,'min per Codes'!$D:$D,0,)</f>
        <v>0</v>
      </c>
      <c r="M10" s="12" cm="1">
        <f t="array" ref="M10">+_xlfn.STDEV.S(_xlfn._xlws.FILTER(J10:L10,J10:L10&lt;&gt;0))</f>
        <v>5.6478032826931882E-2</v>
      </c>
      <c r="N10" s="13" cm="1">
        <f t="array" ref="N10">+M10/AVERAGE(_xlfn._xlws.FILTER(J10:L10,J10:L10&lt;&gt;0))</f>
        <v>8.3440739686158338E-2</v>
      </c>
      <c r="O10" s="14" cm="1">
        <f t="array" ref="O10">+MAX(_xlfn._xlws.FILTER(J10:L10,J10:L10&lt;&gt;0))/MIN(_xlfn._xlws.FILTER(J10:L10,J10:L10&lt;&gt;0))</f>
        <v>1.12540192926045</v>
      </c>
    </row>
    <row r="11" spans="1:15" x14ac:dyDescent="0.25">
      <c r="A11" s="15">
        <v>10</v>
      </c>
      <c r="B11" s="15" t="s">
        <v>1481</v>
      </c>
      <c r="C11" s="15" t="str">
        <f t="shared" si="0"/>
        <v>ITAMLT</v>
      </c>
      <c r="D11" s="15" t="str">
        <f t="shared" si="1"/>
        <v>["ITA", "MLT"]</v>
      </c>
      <c r="E11" s="15" t="s">
        <v>388</v>
      </c>
      <c r="F11" s="15" t="s">
        <v>260</v>
      </c>
      <c r="G11" s="15"/>
      <c r="H11" s="10" t="str">
        <f>_xlfn.CONCAT(_xlfn.XLOOKUP(TRIM(E11),'min per Codes'!C:C,'min per Codes'!B:B,"",0),_xlfn.XLOOKUP(TRIM(F11),'min per Codes'!C:C,'min per Codes'!B:B,""),_xlfn.XLOOKUP(TRIM(G11),'min per Codes'!C:C,'min per Codes'!B:B,""))</f>
        <v>ITAMLT</v>
      </c>
      <c r="I11" s="10" t="str">
        <f>+"["""&amp;_xlfn.CONCAT(_xlfn.XLOOKUP(TRIM(E11),'min per Codes'!C:C,'min per Codes'!B:B,"",0),""", """,_xlfn.XLOOKUP(TRIM(F11),'min per Codes'!C:C,'min per Codes'!B:B,""),IF(G11="",_xlfn.XLOOKUP(TRIM(G11),'min per Codes'!C:C,'min per Codes'!B:B,"")&amp;"""]",""", """&amp;_xlfn.XLOOKUP(TRIM(G11),'min per Codes'!C:C,'min per Codes'!B:B,"")&amp;"""]"))</f>
        <v>["ITA", "MLT"]</v>
      </c>
      <c r="J11" s="10">
        <f>+_xlfn.XLOOKUP(E11,'min per Codes'!$C:$C,'min per Codes'!$D:$D,0,)</f>
        <v>0.55091199999999996</v>
      </c>
      <c r="K11" s="10">
        <f>+_xlfn.XLOOKUP(F11,'min per Codes'!$C:$C,'min per Codes'!$D:$D,0,)</f>
        <v>0.19456000000000001</v>
      </c>
      <c r="L11" s="10">
        <f>+_xlfn.XLOOKUP(G11,'min per Codes'!$C:$C,'min per Codes'!$D:$D,0,)</f>
        <v>0</v>
      </c>
      <c r="M11" s="12" cm="1">
        <f t="array" ref="M11">+_xlfn.STDEV.S(_xlfn._xlws.FILTER(J11:L11,J11:L11&lt;&gt;0))</f>
        <v>0.25197891568938868</v>
      </c>
      <c r="N11" s="13" cm="1">
        <f t="array" ref="N11">+M11/AVERAGE(_xlfn._xlws.FILTER(J11:L11,J11:L11&lt;&gt;0))</f>
        <v>0.67602516443109528</v>
      </c>
      <c r="O11" s="14" cm="1">
        <f t="array" ref="O11">+MAX(_xlfn._xlws.FILTER(J11:L11,J11:L11&lt;&gt;0))/MIN(_xlfn._xlws.FILTER(J11:L11,J11:L11&lt;&gt;0))</f>
        <v>2.8315789473684205</v>
      </c>
    </row>
    <row r="12" spans="1:15" x14ac:dyDescent="0.25">
      <c r="A12" s="10">
        <v>11</v>
      </c>
      <c r="B12" s="10" t="s">
        <v>1482</v>
      </c>
      <c r="C12" s="10" t="str">
        <f t="shared" si="0"/>
        <v>POLCZE</v>
      </c>
      <c r="D12" s="10" t="str">
        <f t="shared" si="1"/>
        <v>["POL", "CZE"]</v>
      </c>
      <c r="E12" s="10" t="s">
        <v>242</v>
      </c>
      <c r="F12" s="10" t="s">
        <v>99</v>
      </c>
      <c r="G12" s="10"/>
      <c r="H12" s="10" t="str">
        <f>_xlfn.CONCAT(_xlfn.XLOOKUP(TRIM(E12),'min per Codes'!C:C,'min per Codes'!B:B,"",0),_xlfn.XLOOKUP(TRIM(F12),'min per Codes'!C:C,'min per Codes'!B:B,""),_xlfn.XLOOKUP(TRIM(G12),'min per Codes'!C:C,'min per Codes'!B:B,""))</f>
        <v>POLCZE</v>
      </c>
      <c r="I12" s="10" t="str">
        <f>+"["""&amp;_xlfn.CONCAT(_xlfn.XLOOKUP(TRIM(E12),'min per Codes'!C:C,'min per Codes'!B:B,"",0),""", """,_xlfn.XLOOKUP(TRIM(F12),'min per Codes'!C:C,'min per Codes'!B:B,""),IF(G12="",_xlfn.XLOOKUP(TRIM(G12),'min per Codes'!C:C,'min per Codes'!B:B,"")&amp;"""]",""", """&amp;_xlfn.XLOOKUP(TRIM(G12),'min per Codes'!C:C,'min per Codes'!B:B,"")&amp;"""]"))</f>
        <v>["POL", "CZE"]</v>
      </c>
      <c r="J12" s="10">
        <f>+_xlfn.XLOOKUP(E12,'min per Codes'!$C:$C,'min per Codes'!$D:$D,0,)</f>
        <v>0.55091199999999996</v>
      </c>
      <c r="K12" s="10">
        <f>+_xlfn.XLOOKUP(F12,'min per Codes'!$C:$C,'min per Codes'!$D:$D,0,)</f>
        <v>0.53043200000000001</v>
      </c>
      <c r="L12" s="10">
        <f>+_xlfn.XLOOKUP(G12,'min per Codes'!$C:$C,'min per Codes'!$D:$D,0,)</f>
        <v>0</v>
      </c>
      <c r="M12" s="12" cm="1">
        <f t="array" ref="M12">+_xlfn.STDEV.S(_xlfn._xlws.FILTER(J12:L12,J12:L12&lt;&gt;0))</f>
        <v>1.4481546878700454E-2</v>
      </c>
      <c r="N12" s="13" cm="1">
        <f t="array" ref="N12">+M12/AVERAGE(_xlfn._xlws.FILTER(J12:L12,J12:L12&lt;&gt;0))</f>
        <v>2.6784347772217634E-2</v>
      </c>
      <c r="O12" s="14" cm="1">
        <f t="array" ref="O12">+MAX(_xlfn._xlws.FILTER(J12:L12,J12:L12&lt;&gt;0))/MIN(_xlfn._xlws.FILTER(J12:L12,J12:L12&lt;&gt;0))</f>
        <v>1.0386100386100385</v>
      </c>
    </row>
    <row r="13" spans="1:15" x14ac:dyDescent="0.25">
      <c r="A13" s="10">
        <v>12</v>
      </c>
      <c r="B13" s="10" t="s">
        <v>1483</v>
      </c>
      <c r="C13" s="10" t="str">
        <f t="shared" si="0"/>
        <v>SVKHUN</v>
      </c>
      <c r="D13" s="10" t="str">
        <f t="shared" si="1"/>
        <v>["SVK", "HUN"]</v>
      </c>
      <c r="E13" s="10" t="s">
        <v>74</v>
      </c>
      <c r="F13" s="10" t="s">
        <v>9</v>
      </c>
      <c r="G13" s="10"/>
      <c r="H13" s="10" t="str">
        <f>_xlfn.CONCAT(_xlfn.XLOOKUP(TRIM(E13),'min per Codes'!C:C,'min per Codes'!B:B,"",0),_xlfn.XLOOKUP(TRIM(F13),'min per Codes'!C:C,'min per Codes'!B:B,""),_xlfn.XLOOKUP(TRIM(G13),'min per Codes'!C:C,'min per Codes'!B:B,""))</f>
        <v>SVKHUN</v>
      </c>
      <c r="I13" s="10" t="str">
        <f>+"["""&amp;_xlfn.CONCAT(_xlfn.XLOOKUP(TRIM(E13),'min per Codes'!C:C,'min per Codes'!B:B,"",0),""", """,_xlfn.XLOOKUP(TRIM(F13),'min per Codes'!C:C,'min per Codes'!B:B,""),IF(G13="",_xlfn.XLOOKUP(TRIM(G13),'min per Codes'!C:C,'min per Codes'!B:B,"")&amp;"""]",""", """&amp;_xlfn.XLOOKUP(TRIM(G13),'min per Codes'!C:C,'min per Codes'!B:B,"")&amp;"""]"))</f>
        <v>["SVK", "HUN"]</v>
      </c>
      <c r="J13" s="10">
        <f>+_xlfn.XLOOKUP(E13,'min per Codes'!$C:$C,'min per Codes'!$D:$D,0,)</f>
        <v>0.53043200000000001</v>
      </c>
      <c r="K13" s="10">
        <f>+_xlfn.XLOOKUP(F13,'min per Codes'!$C:$C,'min per Codes'!$D:$D,0,)</f>
        <v>0.53043200000000001</v>
      </c>
      <c r="L13" s="10">
        <f>+_xlfn.XLOOKUP(G13,'min per Codes'!$C:$C,'min per Codes'!$D:$D,0,)</f>
        <v>0</v>
      </c>
      <c r="M13" s="12" cm="1">
        <f t="array" ref="M13">+_xlfn.STDEV.S(_xlfn._xlws.FILTER(J13:L13,J13:L13&lt;&gt;0))</f>
        <v>0</v>
      </c>
      <c r="N13" s="13" cm="1">
        <f t="array" ref="N13">+M13/AVERAGE(_xlfn._xlws.FILTER(J13:L13,J13:L13&lt;&gt;0))</f>
        <v>0</v>
      </c>
      <c r="O13" s="14" cm="1">
        <f t="array" ref="O13">+MAX(_xlfn._xlws.FILTER(J13:L13,J13:L13&lt;&gt;0))/MIN(_xlfn._xlws.FILTER(J13:L13,J13:L13&lt;&gt;0))</f>
        <v>1</v>
      </c>
    </row>
    <row r="14" spans="1:15" x14ac:dyDescent="0.25">
      <c r="A14" s="11">
        <v>13</v>
      </c>
      <c r="B14" s="11" t="s">
        <v>1497</v>
      </c>
      <c r="C14" s="11" t="str">
        <f t="shared" si="0"/>
        <v>GBRIRLISL</v>
      </c>
      <c r="D14" s="11" t="str">
        <f t="shared" si="1"/>
        <v>["GBR", "IRL", "ISL"]</v>
      </c>
      <c r="E14" s="11" t="s">
        <v>203</v>
      </c>
      <c r="F14" s="11" t="s">
        <v>184</v>
      </c>
      <c r="G14" s="11" t="s">
        <v>139</v>
      </c>
      <c r="H14" s="10" t="str">
        <f>_xlfn.CONCAT(_xlfn.XLOOKUP(TRIM(E14),'min per Codes'!C:C,'min per Codes'!B:B,"",0),_xlfn.XLOOKUP(TRIM(F14),'min per Codes'!C:C,'min per Codes'!B:B,""),_xlfn.XLOOKUP(TRIM(G14),'min per Codes'!C:C,'min per Codes'!B:B,""))</f>
        <v>GBRIRLISL</v>
      </c>
      <c r="I14" s="10" t="str">
        <f>+"["""&amp;_xlfn.CONCAT(_xlfn.XLOOKUP(TRIM(E14),'min per Codes'!C:C,'min per Codes'!B:B,"",0),""", """,_xlfn.XLOOKUP(TRIM(F14),'min per Codes'!C:C,'min per Codes'!B:B,""),IF(G14="",_xlfn.XLOOKUP(TRIM(G14),'min per Codes'!C:C,'min per Codes'!B:B,"")&amp;"""]",""", """&amp;_xlfn.XLOOKUP(TRIM(G14),'min per Codes'!C:C,'min per Codes'!B:B,"")&amp;"""]"))</f>
        <v>["GBR", "IRL", "ISL"]</v>
      </c>
      <c r="J14" s="10">
        <f>+_xlfn.XLOOKUP(E14,'min per Codes'!$C:$C,'min per Codes'!$D:$D,0,)</f>
        <v>0.41881600000000002</v>
      </c>
      <c r="K14" s="10">
        <f>+_xlfn.XLOOKUP(F14,'min per Codes'!$C:$C,'min per Codes'!$D:$D,0,)</f>
        <v>0.57343999999999995</v>
      </c>
      <c r="L14" s="10">
        <f>+_xlfn.XLOOKUP(G14,'min per Codes'!$C:$C,'min per Codes'!$D:$D,0,)</f>
        <v>0.31846400000000002</v>
      </c>
      <c r="M14" s="12" cm="1">
        <f t="array" ref="M14">+_xlfn.STDEV.S(_xlfn._xlws.FILTER(J14:L14,J14:L14&lt;&gt;0))</f>
        <v>0.12844704865948958</v>
      </c>
      <c r="N14" s="13" cm="1">
        <f t="array" ref="N14">+M14/AVERAGE(_xlfn._xlws.FILTER(J14:L14,J14:L14&lt;&gt;0))</f>
        <v>0.29399196317937371</v>
      </c>
      <c r="O14" s="14" cm="1">
        <f t="array" ref="O14">+MAX(_xlfn._xlws.FILTER(J14:L14,J14:L14&lt;&gt;0))/MIN(_xlfn._xlws.FILTER(J14:L14,J14:L14&lt;&gt;0))</f>
        <v>1.80064308681672</v>
      </c>
    </row>
    <row r="15" spans="1:15" x14ac:dyDescent="0.25">
      <c r="A15" s="10">
        <v>14</v>
      </c>
      <c r="B15" s="10" t="s">
        <v>1495</v>
      </c>
      <c r="C15" s="10" t="str">
        <f t="shared" ref="C15" si="2">+H15</f>
        <v>FRACHE</v>
      </c>
      <c r="D15" s="10" t="str">
        <f t="shared" ref="D15" si="3">+I15</f>
        <v>["FRA", "CHE"]</v>
      </c>
      <c r="E15" s="10" t="s">
        <v>43</v>
      </c>
      <c r="F15" s="10" t="s">
        <v>233</v>
      </c>
      <c r="G15" s="10"/>
      <c r="H15" s="10" t="str">
        <f>_xlfn.CONCAT(_xlfn.XLOOKUP(TRIM(E15),'min per Codes'!C:C,'min per Codes'!B:B,"",0),_xlfn.XLOOKUP(TRIM(F15),'min per Codes'!C:C,'min per Codes'!B:B,""),_xlfn.XLOOKUP(TRIM(G15),'min per Codes'!C:C,'min per Codes'!B:B,""))</f>
        <v>FRACHE</v>
      </c>
      <c r="I15" s="10" t="str">
        <f>+"["""&amp;_xlfn.CONCAT(_xlfn.XLOOKUP(TRIM(E15),'min per Codes'!C:C,'min per Codes'!B:B,"",0),""", """,_xlfn.XLOOKUP(TRIM(F15),'min per Codes'!C:C,'min per Codes'!B:B,""),IF(G15="",_xlfn.XLOOKUP(TRIM(G15),'min per Codes'!C:C,'min per Codes'!B:B,"")&amp;"""]",""", """&amp;_xlfn.XLOOKUP(TRIM(G15),'min per Codes'!C:C,'min per Codes'!B:B,"")&amp;"""]"))</f>
        <v>["FRA", "CHE"]</v>
      </c>
      <c r="J15" s="10">
        <f>+_xlfn.XLOOKUP(E15,'min per Codes'!$C:$C,'min per Codes'!$D:$D,0,)</f>
        <v>0.44646400000000003</v>
      </c>
      <c r="K15" s="10">
        <f>+_xlfn.XLOOKUP(F15,'min per Codes'!$C:$C,'min per Codes'!$D:$D,0,)</f>
        <v>0.53043200000000001</v>
      </c>
      <c r="L15" s="10">
        <f>+_xlfn.XLOOKUP(G15,'min per Codes'!$C:$C,'min per Codes'!$D:$D,0,)</f>
        <v>0</v>
      </c>
      <c r="M15" s="12" cm="1">
        <f t="array" ref="M15">+_xlfn.STDEV.S(_xlfn._xlws.FILTER(J15:L15,J15:L15&lt;&gt;0))</f>
        <v>5.9374342202672015E-2</v>
      </c>
      <c r="N15" s="13" cm="1">
        <f t="array" ref="N15">+M15/AVERAGE(_xlfn._xlws.FILTER(J15:L15,J15:L15&lt;&gt;0))</f>
        <v>0.1215571405813352</v>
      </c>
      <c r="O15" s="14" cm="1">
        <f t="array" ref="O15">+MAX(_xlfn._xlws.FILTER(J15:L15,J15:L15&lt;&gt;0))/MIN(_xlfn._xlws.FILTER(J15:L15,J15:L15&lt;&gt;0))</f>
        <v>1.1880733944954127</v>
      </c>
    </row>
  </sheetData>
  <phoneticPr fontId="3" type="noConversion"/>
  <conditionalFormatting sqref="J2:L15">
    <cfRule type="colorScale" priority="1">
      <colorScale>
        <cfvo type="min"/>
        <cfvo type="max"/>
        <color rgb="FFFCFCFF"/>
        <color rgb="FF63BE7B"/>
      </colorScale>
    </cfRule>
  </conditionalFormatting>
  <conditionalFormatting sqref="N2:N15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9"/>
  <sheetViews>
    <sheetView workbookViewId="0">
      <pane ySplit="1" topLeftCell="A318" activePane="bottomLeft" state="frozen"/>
      <selection pane="bottomLeft" activeCell="H331" sqref="H331"/>
    </sheetView>
  </sheetViews>
  <sheetFormatPr defaultRowHeight="15" x14ac:dyDescent="0.25"/>
  <cols>
    <col min="1" max="1" width="8.42578125" bestFit="1" customWidth="1"/>
    <col min="2" max="2" width="10" bestFit="1" customWidth="1"/>
    <col min="3" max="3" width="24.140625" bestFit="1" customWidth="1"/>
    <col min="4" max="4" width="26.7109375" bestFit="1" customWidth="1"/>
    <col min="5" max="5" width="11.7109375" style="1" bestFit="1" customWidth="1"/>
    <col min="6" max="6" width="1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602</v>
      </c>
      <c r="F1" s="2" t="s">
        <v>603</v>
      </c>
      <c r="G1" s="2" t="s">
        <v>604</v>
      </c>
      <c r="H1" s="2" t="s">
        <v>605</v>
      </c>
      <c r="I1" s="2" t="s">
        <v>606</v>
      </c>
      <c r="J1" s="2" t="s">
        <v>607</v>
      </c>
    </row>
    <row r="2" spans="1:10" x14ac:dyDescent="0.25">
      <c r="A2" t="s">
        <v>4</v>
      </c>
      <c r="B2" t="s">
        <v>5</v>
      </c>
      <c r="C2" t="s">
        <v>343</v>
      </c>
      <c r="D2" t="s">
        <v>344</v>
      </c>
      <c r="E2" s="1">
        <v>0.58950199999999997</v>
      </c>
      <c r="F2" s="3">
        <f>E2*1024</f>
        <v>603.65004799999997</v>
      </c>
      <c r="G2" s="3">
        <f>_xlfn.MINIFS(F:F,D:D,D2,F:F,"&lt;&gt;0")</f>
        <v>603.65004799999997</v>
      </c>
      <c r="H2" t="str">
        <f>_xlfn.TEXTBEFORE(_xlfn.TEXTAFTER(C2,"("),")")</f>
        <v>AAA</v>
      </c>
      <c r="I2" t="s">
        <v>1470</v>
      </c>
      <c r="J2" t="str">
        <f>+_xlfn.XLOOKUP(H2,Sheet1!C:C,Sheet1!D:D,"N/A",0)</f>
        <v>N/A</v>
      </c>
    </row>
    <row r="3" spans="1:10" x14ac:dyDescent="0.25">
      <c r="A3" t="s">
        <v>4</v>
      </c>
      <c r="B3" t="s">
        <v>5</v>
      </c>
      <c r="C3" t="s">
        <v>25</v>
      </c>
      <c r="D3" t="s">
        <v>26</v>
      </c>
      <c r="E3" s="1">
        <v>4.0000000000000001E-3</v>
      </c>
      <c r="F3" s="3">
        <f t="shared" ref="F3:F66" si="0">E3*1024</f>
        <v>4.0960000000000001</v>
      </c>
      <c r="G3" s="3">
        <f t="shared" ref="G3:G18" si="1">_xlfn.MINIFS(F:F,D:D,D3,F:F,"&lt;&gt;0")</f>
        <v>2.56</v>
      </c>
      <c r="H3" t="str">
        <f t="shared" ref="H3:H4" si="2">_xlfn.TEXTBEFORE(_xlfn.TEXTAFTER(C3,"("),")")</f>
        <v>AFG</v>
      </c>
      <c r="I3" t="str">
        <f>+_xlfn.XLOOKUP(H3,Sheet1!C:C,Sheet1!B:B,"N/A",0)</f>
        <v>AF</v>
      </c>
      <c r="J3" t="str">
        <f>+_xlfn.XLOOKUP(H3,Sheet1!C:C,Sheet1!D:D,"N/A",0)</f>
        <v>004</v>
      </c>
    </row>
    <row r="4" spans="1:10" x14ac:dyDescent="0.25">
      <c r="A4" t="s">
        <v>4</v>
      </c>
      <c r="B4" t="s">
        <v>5</v>
      </c>
      <c r="C4" t="s">
        <v>157</v>
      </c>
      <c r="D4" t="s">
        <v>26</v>
      </c>
      <c r="E4" s="1">
        <v>2.5000000000000001E-3</v>
      </c>
      <c r="F4" s="3">
        <f t="shared" si="0"/>
        <v>2.56</v>
      </c>
      <c r="G4" s="3">
        <f t="shared" si="1"/>
        <v>2.56</v>
      </c>
      <c r="H4" t="str">
        <f t="shared" si="2"/>
        <v>AFG</v>
      </c>
      <c r="I4" t="str">
        <f>+_xlfn.XLOOKUP(H4,Sheet1!C:C,Sheet1!B:B,"N/A",0)</f>
        <v>AF</v>
      </c>
      <c r="J4" t="str">
        <f>+_xlfn.XLOOKUP(H4,Sheet1!C:C,Sheet1!D:D,"N/A",0)</f>
        <v>004</v>
      </c>
    </row>
    <row r="5" spans="1:10" x14ac:dyDescent="0.25">
      <c r="A5" t="s">
        <v>4</v>
      </c>
      <c r="B5" t="s">
        <v>5</v>
      </c>
      <c r="C5" t="s">
        <v>195</v>
      </c>
      <c r="D5" t="s">
        <v>196</v>
      </c>
      <c r="E5" s="1">
        <v>1.116E-3</v>
      </c>
      <c r="F5" s="3">
        <f t="shared" si="0"/>
        <v>1.142784</v>
      </c>
      <c r="G5" s="3">
        <f t="shared" si="1"/>
        <v>1.040384</v>
      </c>
      <c r="H5" t="str">
        <f t="shared" ref="H5:H18" si="3">_xlfn.TEXTBEFORE(_xlfn.TEXTAFTER(C5,"("),")")</f>
        <v>ALB</v>
      </c>
      <c r="I5" t="str">
        <f>+_xlfn.XLOOKUP(H5,Sheet1!C:C,Sheet1!B:B,"N/A",0)</f>
        <v>AL</v>
      </c>
      <c r="J5" t="str">
        <f>+_xlfn.XLOOKUP(H5,Sheet1!C:C,Sheet1!D:D,"N/A",0)</f>
        <v>008</v>
      </c>
    </row>
    <row r="6" spans="1:10" x14ac:dyDescent="0.25">
      <c r="A6" t="s">
        <v>4</v>
      </c>
      <c r="B6" t="s">
        <v>5</v>
      </c>
      <c r="C6" t="s">
        <v>272</v>
      </c>
      <c r="D6" t="s">
        <v>196</v>
      </c>
      <c r="E6" s="1">
        <v>1.016E-3</v>
      </c>
      <c r="F6" s="3">
        <f t="shared" si="0"/>
        <v>1.040384</v>
      </c>
      <c r="G6" s="3">
        <f t="shared" si="1"/>
        <v>1.040384</v>
      </c>
      <c r="H6" t="str">
        <f t="shared" si="3"/>
        <v>ALB</v>
      </c>
      <c r="I6" t="str">
        <f>+_xlfn.XLOOKUP(H6,Sheet1!C:C,Sheet1!B:B,"N/A",0)</f>
        <v>AL</v>
      </c>
      <c r="J6" t="str">
        <f>+_xlfn.XLOOKUP(H6,Sheet1!C:C,Sheet1!D:D,"N/A",0)</f>
        <v>008</v>
      </c>
    </row>
    <row r="7" spans="1:10" x14ac:dyDescent="0.25">
      <c r="A7" t="s">
        <v>4</v>
      </c>
      <c r="B7" t="s">
        <v>5</v>
      </c>
      <c r="C7" t="s">
        <v>60</v>
      </c>
      <c r="D7" t="s">
        <v>61</v>
      </c>
      <c r="E7" s="1">
        <v>1E-3</v>
      </c>
      <c r="F7" s="3">
        <f t="shared" si="0"/>
        <v>1.024</v>
      </c>
      <c r="G7" s="3">
        <f t="shared" si="1"/>
        <v>1.024</v>
      </c>
      <c r="H7" t="str">
        <f t="shared" si="3"/>
        <v>DZA</v>
      </c>
      <c r="I7" t="str">
        <f>+_xlfn.XLOOKUP(H7,Sheet1!C:C,Sheet1!B:B,"N/A",0)</f>
        <v>DZ</v>
      </c>
      <c r="J7" t="str">
        <f>+_xlfn.XLOOKUP(H7,Sheet1!C:C,Sheet1!D:D,"N/A",0)</f>
        <v>012</v>
      </c>
    </row>
    <row r="8" spans="1:10" x14ac:dyDescent="0.25">
      <c r="A8" t="s">
        <v>4</v>
      </c>
      <c r="B8" t="s">
        <v>5</v>
      </c>
      <c r="C8" t="s">
        <v>156</v>
      </c>
      <c r="D8" t="s">
        <v>61</v>
      </c>
      <c r="E8" s="1">
        <v>2.2620000000000001E-3</v>
      </c>
      <c r="F8" s="3">
        <f t="shared" si="0"/>
        <v>2.3162880000000001</v>
      </c>
      <c r="G8" s="3">
        <f t="shared" si="1"/>
        <v>1.024</v>
      </c>
      <c r="H8" t="str">
        <f t="shared" si="3"/>
        <v>DZA</v>
      </c>
      <c r="I8" t="str">
        <f>+_xlfn.XLOOKUP(H8,Sheet1!C:C,Sheet1!B:B,"N/A",0)</f>
        <v>DZ</v>
      </c>
      <c r="J8" t="str">
        <f>+_xlfn.XLOOKUP(H8,Sheet1!C:C,Sheet1!D:D,"N/A",0)</f>
        <v>012</v>
      </c>
    </row>
    <row r="9" spans="1:10" x14ac:dyDescent="0.25">
      <c r="A9" t="s">
        <v>4</v>
      </c>
      <c r="B9" t="s">
        <v>5</v>
      </c>
      <c r="C9" t="s">
        <v>485</v>
      </c>
      <c r="D9" t="s">
        <v>61</v>
      </c>
      <c r="E9" s="1">
        <v>8.9999999999999993E-3</v>
      </c>
      <c r="F9" s="3">
        <f t="shared" si="0"/>
        <v>9.2159999999999993</v>
      </c>
      <c r="G9" s="3">
        <f t="shared" si="1"/>
        <v>1.024</v>
      </c>
      <c r="H9" t="str">
        <f t="shared" si="3"/>
        <v>DZA</v>
      </c>
      <c r="I9" t="str">
        <f>+_xlfn.XLOOKUP(H9,Sheet1!C:C,Sheet1!B:B,"N/A",0)</f>
        <v>DZ</v>
      </c>
      <c r="J9" t="str">
        <f>+_xlfn.XLOOKUP(H9,Sheet1!C:C,Sheet1!D:D,"N/A",0)</f>
        <v>012</v>
      </c>
    </row>
    <row r="10" spans="1:10" x14ac:dyDescent="0.25">
      <c r="A10" t="s">
        <v>4</v>
      </c>
      <c r="B10" t="s">
        <v>5</v>
      </c>
      <c r="C10" t="s">
        <v>163</v>
      </c>
      <c r="D10" t="s">
        <v>164</v>
      </c>
      <c r="E10" s="1">
        <v>7.6620000000000004E-3</v>
      </c>
      <c r="F10" s="3">
        <f t="shared" si="0"/>
        <v>7.8458880000000004</v>
      </c>
      <c r="G10" s="3">
        <f t="shared" si="1"/>
        <v>7.8458880000000004</v>
      </c>
      <c r="H10" t="str">
        <f t="shared" si="3"/>
        <v>AND</v>
      </c>
      <c r="I10" t="str">
        <f>+_xlfn.XLOOKUP(H10,Sheet1!C:C,Sheet1!B:B,"N/A",0)</f>
        <v>AD</v>
      </c>
      <c r="J10" t="str">
        <f>+_xlfn.XLOOKUP(H10,Sheet1!C:C,Sheet1!D:D,"N/A",0)</f>
        <v>020</v>
      </c>
    </row>
    <row r="11" spans="1:10" x14ac:dyDescent="0.25">
      <c r="A11" t="s">
        <v>4</v>
      </c>
      <c r="B11" t="s">
        <v>5</v>
      </c>
      <c r="C11" t="s">
        <v>393</v>
      </c>
      <c r="D11" t="s">
        <v>394</v>
      </c>
      <c r="E11" s="1">
        <v>6.0004000000000002E-2</v>
      </c>
      <c r="F11" s="3">
        <f t="shared" si="0"/>
        <v>61.444096000000002</v>
      </c>
      <c r="G11" s="3">
        <f t="shared" si="1"/>
        <v>1.9681280000000001</v>
      </c>
      <c r="H11" t="str">
        <f t="shared" si="3"/>
        <v>AGO</v>
      </c>
      <c r="I11" t="str">
        <f>+_xlfn.XLOOKUP(H11,Sheet1!C:C,Sheet1!B:B,"N/A",0)</f>
        <v>AO</v>
      </c>
      <c r="J11" t="str">
        <f>+_xlfn.XLOOKUP(H11,Sheet1!C:C,Sheet1!D:D,"N/A",0)</f>
        <v>024</v>
      </c>
    </row>
    <row r="12" spans="1:10" x14ac:dyDescent="0.25">
      <c r="A12" t="s">
        <v>4</v>
      </c>
      <c r="B12" t="s">
        <v>5</v>
      </c>
      <c r="C12" t="s">
        <v>457</v>
      </c>
      <c r="D12" t="s">
        <v>394</v>
      </c>
      <c r="E12" s="1">
        <v>1.9220000000000001E-3</v>
      </c>
      <c r="F12" s="3">
        <f t="shared" si="0"/>
        <v>1.9681280000000001</v>
      </c>
      <c r="G12" s="3">
        <f t="shared" si="1"/>
        <v>1.9681280000000001</v>
      </c>
      <c r="H12" t="str">
        <f t="shared" si="3"/>
        <v>AGO</v>
      </c>
      <c r="I12" t="str">
        <f>+_xlfn.XLOOKUP(H12,Sheet1!C:C,Sheet1!B:B,"N/A",0)</f>
        <v>AO</v>
      </c>
      <c r="J12" t="str">
        <f>+_xlfn.XLOOKUP(H12,Sheet1!C:C,Sheet1!D:D,"N/A",0)</f>
        <v>024</v>
      </c>
    </row>
    <row r="13" spans="1:10" x14ac:dyDescent="0.25">
      <c r="A13" t="s">
        <v>4</v>
      </c>
      <c r="B13" t="s">
        <v>5</v>
      </c>
      <c r="C13" t="s">
        <v>375</v>
      </c>
      <c r="D13" t="s">
        <v>376</v>
      </c>
      <c r="E13" s="1">
        <v>3.0000000000000001E-3</v>
      </c>
      <c r="F13" s="3">
        <f t="shared" si="0"/>
        <v>3.0720000000000001</v>
      </c>
      <c r="G13" s="3">
        <f t="shared" si="1"/>
        <v>3.0720000000000001</v>
      </c>
      <c r="H13" t="str">
        <f t="shared" si="3"/>
        <v>AIA</v>
      </c>
      <c r="I13" t="str">
        <f>+_xlfn.XLOOKUP(H13,Sheet1!C:C,Sheet1!B:B,"N/A",0)</f>
        <v>AI</v>
      </c>
      <c r="J13" t="str">
        <f>+_xlfn.XLOOKUP(H13,Sheet1!C:C,Sheet1!D:D,"N/A",0)</f>
        <v>660</v>
      </c>
    </row>
    <row r="14" spans="1:10" x14ac:dyDescent="0.25">
      <c r="A14" t="s">
        <v>4</v>
      </c>
      <c r="B14" t="s">
        <v>5</v>
      </c>
      <c r="C14" t="s">
        <v>18</v>
      </c>
      <c r="D14" t="s">
        <v>19</v>
      </c>
      <c r="E14" s="1">
        <v>3.0000000000000001E-3</v>
      </c>
      <c r="F14" s="3">
        <f t="shared" si="0"/>
        <v>3.0720000000000001</v>
      </c>
      <c r="G14" s="3">
        <f t="shared" si="1"/>
        <v>3.0720000000000001</v>
      </c>
      <c r="H14" t="str">
        <f t="shared" si="3"/>
        <v>ATG</v>
      </c>
      <c r="I14" t="str">
        <f>+_xlfn.XLOOKUP(H14,Sheet1!C:C,Sheet1!B:B,"N/A",0)</f>
        <v>AG</v>
      </c>
      <c r="J14" t="str">
        <f>+_xlfn.XLOOKUP(H14,Sheet1!C:C,Sheet1!D:D,"N/A",0)</f>
        <v>028</v>
      </c>
    </row>
    <row r="15" spans="1:10" x14ac:dyDescent="0.25">
      <c r="A15" t="s">
        <v>4</v>
      </c>
      <c r="B15" t="s">
        <v>5</v>
      </c>
      <c r="C15" t="s">
        <v>158</v>
      </c>
      <c r="D15" t="s">
        <v>159</v>
      </c>
      <c r="E15" s="1">
        <v>1E-3</v>
      </c>
      <c r="F15" s="3">
        <f t="shared" si="0"/>
        <v>1.024</v>
      </c>
      <c r="G15" s="3">
        <f t="shared" si="1"/>
        <v>1.024</v>
      </c>
      <c r="H15" t="str">
        <f t="shared" si="3"/>
        <v>ARG</v>
      </c>
      <c r="I15" t="str">
        <f>+_xlfn.XLOOKUP(H15,Sheet1!C:C,Sheet1!B:B,"N/A",0)</f>
        <v>AR</v>
      </c>
      <c r="J15" t="str">
        <f>+_xlfn.XLOOKUP(H15,Sheet1!C:C,Sheet1!D:D,"N/A",0)</f>
        <v>032</v>
      </c>
    </row>
    <row r="16" spans="1:10" x14ac:dyDescent="0.25">
      <c r="A16" t="s">
        <v>4</v>
      </c>
      <c r="B16" t="s">
        <v>5</v>
      </c>
      <c r="C16" t="s">
        <v>271</v>
      </c>
      <c r="D16" t="s">
        <v>159</v>
      </c>
      <c r="E16" s="1">
        <v>1.0009999999999999E-3</v>
      </c>
      <c r="F16" s="3">
        <f t="shared" si="0"/>
        <v>1.0250239999999999</v>
      </c>
      <c r="G16" s="3">
        <f t="shared" si="1"/>
        <v>1.024</v>
      </c>
      <c r="H16" t="str">
        <f t="shared" si="3"/>
        <v>ARG</v>
      </c>
      <c r="I16" t="str">
        <f>+_xlfn.XLOOKUP(H16,Sheet1!C:C,Sheet1!B:B,"N/A",0)</f>
        <v>AR</v>
      </c>
      <c r="J16" t="str">
        <f>+_xlfn.XLOOKUP(H16,Sheet1!C:C,Sheet1!D:D,"N/A",0)</f>
        <v>032</v>
      </c>
    </row>
    <row r="17" spans="1:10" x14ac:dyDescent="0.25">
      <c r="A17" t="s">
        <v>4</v>
      </c>
      <c r="B17" t="s">
        <v>5</v>
      </c>
      <c r="C17" t="s">
        <v>316</v>
      </c>
      <c r="D17" t="s">
        <v>317</v>
      </c>
      <c r="E17" s="1">
        <v>1E-3</v>
      </c>
      <c r="F17" s="3">
        <f t="shared" si="0"/>
        <v>1.024</v>
      </c>
      <c r="G17" s="3">
        <f t="shared" si="1"/>
        <v>1.024</v>
      </c>
      <c r="H17" t="str">
        <f t="shared" si="3"/>
        <v>ARM</v>
      </c>
      <c r="I17" t="str">
        <f>+_xlfn.XLOOKUP(H17,Sheet1!C:C,Sheet1!B:B,"N/A",0)</f>
        <v>AM</v>
      </c>
      <c r="J17" t="str">
        <f>+_xlfn.XLOOKUP(H17,Sheet1!C:C,Sheet1!D:D,"N/A",0)</f>
        <v>051</v>
      </c>
    </row>
    <row r="18" spans="1:10" x14ac:dyDescent="0.25">
      <c r="A18" t="s">
        <v>4</v>
      </c>
      <c r="B18" t="s">
        <v>5</v>
      </c>
      <c r="C18" t="s">
        <v>586</v>
      </c>
      <c r="D18" t="s">
        <v>317</v>
      </c>
      <c r="E18" s="1">
        <v>1E-3</v>
      </c>
      <c r="F18" s="3">
        <f t="shared" si="0"/>
        <v>1.024</v>
      </c>
      <c r="G18" s="3">
        <f t="shared" si="1"/>
        <v>1.024</v>
      </c>
      <c r="H18" t="str">
        <f t="shared" si="3"/>
        <v>ARM</v>
      </c>
      <c r="I18" t="str">
        <f>+_xlfn.XLOOKUP(H18,Sheet1!C:C,Sheet1!B:B,"N/A",0)</f>
        <v>AM</v>
      </c>
      <c r="J18" t="str">
        <f>+_xlfn.XLOOKUP(H18,Sheet1!C:C,Sheet1!D:D,"N/A",0)</f>
        <v>051</v>
      </c>
    </row>
    <row r="19" spans="1:10" x14ac:dyDescent="0.25">
      <c r="A19" t="s">
        <v>4</v>
      </c>
      <c r="B19" t="s">
        <v>5</v>
      </c>
      <c r="C19" t="s">
        <v>496</v>
      </c>
      <c r="D19" t="s">
        <v>497</v>
      </c>
      <c r="E19" s="1">
        <v>8.0000000000000002E-3</v>
      </c>
      <c r="F19" s="3">
        <f t="shared" si="0"/>
        <v>8.1920000000000002</v>
      </c>
      <c r="G19" s="3">
        <f t="shared" ref="G19:G82" si="4">_xlfn.MINIFS(F:F,D:D,D19,F:F,"&lt;&gt;0")</f>
        <v>8.1920000000000002</v>
      </c>
      <c r="H19" t="str">
        <f t="shared" ref="H19:H82" si="5">_xlfn.TEXTBEFORE(_xlfn.TEXTAFTER(C19,"("),")")</f>
        <v>ABW</v>
      </c>
      <c r="I19" t="str">
        <f>+_xlfn.XLOOKUP(H19,Sheet1!C:C,Sheet1!B:B,"N/A",0)</f>
        <v>AW</v>
      </c>
      <c r="J19" t="str">
        <f>+_xlfn.XLOOKUP(H19,Sheet1!C:C,Sheet1!D:D,"N/A",0)</f>
        <v>533</v>
      </c>
    </row>
    <row r="20" spans="1:10" x14ac:dyDescent="0.25">
      <c r="A20" t="s">
        <v>4</v>
      </c>
      <c r="B20" t="s">
        <v>5</v>
      </c>
      <c r="C20" t="s">
        <v>117</v>
      </c>
      <c r="D20" t="s">
        <v>118</v>
      </c>
      <c r="E20" s="1">
        <v>8.0000000000000004E-4</v>
      </c>
      <c r="F20" s="3">
        <f t="shared" si="0"/>
        <v>0.81920000000000004</v>
      </c>
      <c r="G20" s="3">
        <f t="shared" si="4"/>
        <v>0.51200000000000001</v>
      </c>
      <c r="H20" t="str">
        <f t="shared" si="5"/>
        <v>AUS</v>
      </c>
      <c r="I20" t="str">
        <f>+_xlfn.XLOOKUP(H20,Sheet1!C:C,Sheet1!B:B,"N/A",0)</f>
        <v>AU</v>
      </c>
      <c r="J20" t="str">
        <f>+_xlfn.XLOOKUP(H20,Sheet1!C:C,Sheet1!D:D,"N/A",0)</f>
        <v>036</v>
      </c>
    </row>
    <row r="21" spans="1:10" x14ac:dyDescent="0.25">
      <c r="A21" t="s">
        <v>4</v>
      </c>
      <c r="B21" t="s">
        <v>5</v>
      </c>
      <c r="C21" t="s">
        <v>424</v>
      </c>
      <c r="D21" t="s">
        <v>118</v>
      </c>
      <c r="E21" s="1">
        <v>5.0000000000000001E-4</v>
      </c>
      <c r="F21" s="3">
        <f t="shared" si="0"/>
        <v>0.51200000000000001</v>
      </c>
      <c r="G21" s="3">
        <f t="shared" si="4"/>
        <v>0.51200000000000001</v>
      </c>
      <c r="H21" t="str">
        <f t="shared" si="5"/>
        <v>AUS</v>
      </c>
      <c r="I21" t="str">
        <f>+_xlfn.XLOOKUP(H21,Sheet1!C:C,Sheet1!B:B,"N/A",0)</f>
        <v>AU</v>
      </c>
      <c r="J21" t="str">
        <f>+_xlfn.XLOOKUP(H21,Sheet1!C:C,Sheet1!D:D,"N/A",0)</f>
        <v>036</v>
      </c>
    </row>
    <row r="22" spans="1:10" x14ac:dyDescent="0.25">
      <c r="A22" t="s">
        <v>4</v>
      </c>
      <c r="B22" t="s">
        <v>5</v>
      </c>
      <c r="C22" t="s">
        <v>543</v>
      </c>
      <c r="D22" t="s">
        <v>118</v>
      </c>
      <c r="E22" s="1">
        <v>8.9800000000000004E-4</v>
      </c>
      <c r="F22" s="3">
        <f t="shared" si="0"/>
        <v>0.91955200000000004</v>
      </c>
      <c r="G22" s="3">
        <f t="shared" si="4"/>
        <v>0.51200000000000001</v>
      </c>
      <c r="H22" t="str">
        <f t="shared" si="5"/>
        <v>AUS</v>
      </c>
      <c r="I22" t="str">
        <f>+_xlfn.XLOOKUP(H22,Sheet1!C:C,Sheet1!B:B,"N/A",0)</f>
        <v>AU</v>
      </c>
      <c r="J22" t="str">
        <f>+_xlfn.XLOOKUP(H22,Sheet1!C:C,Sheet1!D:D,"N/A",0)</f>
        <v>036</v>
      </c>
    </row>
    <row r="23" spans="1:10" x14ac:dyDescent="0.25">
      <c r="A23" t="s">
        <v>4</v>
      </c>
      <c r="B23" t="s">
        <v>5</v>
      </c>
      <c r="C23" t="s">
        <v>46</v>
      </c>
      <c r="D23" t="s">
        <v>47</v>
      </c>
      <c r="E23" s="1">
        <v>8.1400000000000005E-4</v>
      </c>
      <c r="F23" s="3">
        <f t="shared" si="0"/>
        <v>0.83353600000000005</v>
      </c>
      <c r="G23" s="3">
        <f t="shared" si="4"/>
        <v>0.63692800000000005</v>
      </c>
      <c r="H23" t="str">
        <f t="shared" si="5"/>
        <v>AUT</v>
      </c>
      <c r="I23" t="str">
        <f>+_xlfn.XLOOKUP(H23,Sheet1!C:C,Sheet1!B:B,"N/A",0)</f>
        <v>AT</v>
      </c>
      <c r="J23" t="str">
        <f>+_xlfn.XLOOKUP(H23,Sheet1!C:C,Sheet1!D:D,"N/A",0)</f>
        <v>040</v>
      </c>
    </row>
    <row r="24" spans="1:10" x14ac:dyDescent="0.25">
      <c r="A24" t="s">
        <v>4</v>
      </c>
      <c r="B24" t="s">
        <v>5</v>
      </c>
      <c r="C24" t="s">
        <v>341</v>
      </c>
      <c r="D24" t="s">
        <v>47</v>
      </c>
      <c r="E24" s="1">
        <v>8.5999999999999998E-4</v>
      </c>
      <c r="F24" s="3">
        <f t="shared" si="0"/>
        <v>0.88063999999999998</v>
      </c>
      <c r="G24" s="3">
        <f t="shared" si="4"/>
        <v>0.63692800000000005</v>
      </c>
      <c r="H24" t="str">
        <f t="shared" si="5"/>
        <v>AUT</v>
      </c>
      <c r="I24" t="str">
        <f>+_xlfn.XLOOKUP(H24,Sheet1!C:C,Sheet1!B:B,"N/A",0)</f>
        <v>AT</v>
      </c>
      <c r="J24" t="str">
        <f>+_xlfn.XLOOKUP(H24,Sheet1!C:C,Sheet1!D:D,"N/A",0)</f>
        <v>040</v>
      </c>
    </row>
    <row r="25" spans="1:10" x14ac:dyDescent="0.25">
      <c r="A25" t="s">
        <v>4</v>
      </c>
      <c r="B25" t="s">
        <v>5</v>
      </c>
      <c r="C25" t="s">
        <v>522</v>
      </c>
      <c r="D25" t="s">
        <v>47</v>
      </c>
      <c r="E25" s="1">
        <v>6.2200000000000005E-4</v>
      </c>
      <c r="F25" s="3">
        <f t="shared" si="0"/>
        <v>0.63692800000000005</v>
      </c>
      <c r="G25" s="3">
        <f t="shared" si="4"/>
        <v>0.63692800000000005</v>
      </c>
      <c r="H25" t="str">
        <f t="shared" si="5"/>
        <v>AUT</v>
      </c>
      <c r="I25" t="str">
        <f>+_xlfn.XLOOKUP(H25,Sheet1!C:C,Sheet1!B:B,"N/A",0)</f>
        <v>AT</v>
      </c>
      <c r="J25" t="str">
        <f>+_xlfn.XLOOKUP(H25,Sheet1!C:C,Sheet1!D:D,"N/A",0)</f>
        <v>040</v>
      </c>
    </row>
    <row r="26" spans="1:10" x14ac:dyDescent="0.25">
      <c r="A26" t="s">
        <v>4</v>
      </c>
      <c r="B26" t="s">
        <v>5</v>
      </c>
      <c r="C26" t="s">
        <v>136</v>
      </c>
      <c r="D26" t="s">
        <v>137</v>
      </c>
      <c r="E26" s="1">
        <v>2.3999999999999998E-3</v>
      </c>
      <c r="F26" s="3">
        <f t="shared" si="0"/>
        <v>2.4575999999999998</v>
      </c>
      <c r="G26" s="3">
        <f t="shared" si="4"/>
        <v>2.3552</v>
      </c>
      <c r="H26" t="str">
        <f t="shared" si="5"/>
        <v>AZE</v>
      </c>
      <c r="I26" t="str">
        <f>+_xlfn.XLOOKUP(H26,Sheet1!C:C,Sheet1!B:B,"N/A",0)</f>
        <v>AZ</v>
      </c>
      <c r="J26" t="str">
        <f>+_xlfn.XLOOKUP(H26,Sheet1!C:C,Sheet1!D:D,"N/A",0)</f>
        <v>031</v>
      </c>
    </row>
    <row r="27" spans="1:10" x14ac:dyDescent="0.25">
      <c r="A27" t="s">
        <v>4</v>
      </c>
      <c r="B27" t="s">
        <v>5</v>
      </c>
      <c r="C27" t="s">
        <v>552</v>
      </c>
      <c r="D27" t="s">
        <v>137</v>
      </c>
      <c r="E27" s="1">
        <v>2.3E-3</v>
      </c>
      <c r="F27" s="3">
        <f t="shared" si="0"/>
        <v>2.3552</v>
      </c>
      <c r="G27" s="3">
        <f t="shared" si="4"/>
        <v>2.3552</v>
      </c>
      <c r="H27" t="str">
        <f t="shared" si="5"/>
        <v>AZE</v>
      </c>
      <c r="I27" t="str">
        <f>+_xlfn.XLOOKUP(H27,Sheet1!C:C,Sheet1!B:B,"N/A",0)</f>
        <v>AZ</v>
      </c>
      <c r="J27" t="str">
        <f>+_xlfn.XLOOKUP(H27,Sheet1!C:C,Sheet1!D:D,"N/A",0)</f>
        <v>031</v>
      </c>
    </row>
    <row r="28" spans="1:10" x14ac:dyDescent="0.25">
      <c r="A28" t="s">
        <v>4</v>
      </c>
      <c r="B28" t="s">
        <v>5</v>
      </c>
      <c r="C28" t="s">
        <v>560</v>
      </c>
      <c r="D28" t="s">
        <v>561</v>
      </c>
      <c r="E28" s="1">
        <v>1E-3</v>
      </c>
      <c r="F28" s="3">
        <f t="shared" si="0"/>
        <v>1.024</v>
      </c>
      <c r="G28" s="3">
        <f t="shared" si="4"/>
        <v>1.024</v>
      </c>
      <c r="H28" t="str">
        <f t="shared" si="5"/>
        <v>BHS</v>
      </c>
      <c r="I28" t="str">
        <f>+_xlfn.XLOOKUP(H28,Sheet1!C:C,Sheet1!B:B,"N/A",0)</f>
        <v>BS</v>
      </c>
      <c r="J28" t="str">
        <f>+_xlfn.XLOOKUP(H28,Sheet1!C:C,Sheet1!D:D,"N/A",0)</f>
        <v>044</v>
      </c>
    </row>
    <row r="29" spans="1:10" x14ac:dyDescent="0.25">
      <c r="A29" t="s">
        <v>4</v>
      </c>
      <c r="B29" t="s">
        <v>5</v>
      </c>
      <c r="C29" t="s">
        <v>571</v>
      </c>
      <c r="D29" t="s">
        <v>561</v>
      </c>
      <c r="E29" s="1">
        <v>2.9970000000000001E-3</v>
      </c>
      <c r="F29" s="3">
        <f t="shared" si="0"/>
        <v>3.0689280000000001</v>
      </c>
      <c r="G29" s="3">
        <f t="shared" si="4"/>
        <v>1.024</v>
      </c>
      <c r="H29" t="str">
        <f t="shared" si="5"/>
        <v>BHS</v>
      </c>
      <c r="I29" t="str">
        <f>+_xlfn.XLOOKUP(H29,Sheet1!C:C,Sheet1!B:B,"N/A",0)</f>
        <v>BS</v>
      </c>
      <c r="J29" t="str">
        <f>+_xlfn.XLOOKUP(H29,Sheet1!C:C,Sheet1!D:D,"N/A",0)</f>
        <v>044</v>
      </c>
    </row>
    <row r="30" spans="1:10" x14ac:dyDescent="0.25">
      <c r="A30" t="s">
        <v>4</v>
      </c>
      <c r="B30" t="s">
        <v>5</v>
      </c>
      <c r="C30" t="s">
        <v>469</v>
      </c>
      <c r="D30" t="s">
        <v>470</v>
      </c>
      <c r="E30" s="1">
        <v>2.1259999999999999E-3</v>
      </c>
      <c r="F30" s="3">
        <f t="shared" si="0"/>
        <v>2.1770239999999998</v>
      </c>
      <c r="G30" s="3">
        <f t="shared" si="4"/>
        <v>1.0250239999999999</v>
      </c>
      <c r="H30" t="str">
        <f t="shared" si="5"/>
        <v>BHR</v>
      </c>
      <c r="I30" t="str">
        <f>+_xlfn.XLOOKUP(H30,Sheet1!C:C,Sheet1!B:B,"N/A",0)</f>
        <v>BH</v>
      </c>
      <c r="J30" t="str">
        <f>+_xlfn.XLOOKUP(H30,Sheet1!C:C,Sheet1!D:D,"N/A",0)</f>
        <v>048</v>
      </c>
    </row>
    <row r="31" spans="1:10" x14ac:dyDescent="0.25">
      <c r="A31" t="s">
        <v>4</v>
      </c>
      <c r="B31" t="s">
        <v>5</v>
      </c>
      <c r="C31" t="s">
        <v>509</v>
      </c>
      <c r="D31" t="s">
        <v>470</v>
      </c>
      <c r="E31" s="1">
        <v>1.0009999999999999E-3</v>
      </c>
      <c r="F31" s="3">
        <f t="shared" si="0"/>
        <v>1.0250239999999999</v>
      </c>
      <c r="G31" s="3">
        <f t="shared" si="4"/>
        <v>1.0250239999999999</v>
      </c>
      <c r="H31" t="str">
        <f t="shared" si="5"/>
        <v>BHR</v>
      </c>
      <c r="I31" t="str">
        <f>+_xlfn.XLOOKUP(H31,Sheet1!C:C,Sheet1!B:B,"N/A",0)</f>
        <v>BH</v>
      </c>
      <c r="J31" t="str">
        <f>+_xlfn.XLOOKUP(H31,Sheet1!C:C,Sheet1!D:D,"N/A",0)</f>
        <v>048</v>
      </c>
    </row>
    <row r="32" spans="1:10" x14ac:dyDescent="0.25">
      <c r="A32" t="s">
        <v>4</v>
      </c>
      <c r="B32" t="s">
        <v>5</v>
      </c>
      <c r="C32" t="s">
        <v>261</v>
      </c>
      <c r="D32" t="s">
        <v>262</v>
      </c>
      <c r="E32" s="1">
        <v>1E-3</v>
      </c>
      <c r="F32" s="3">
        <f t="shared" si="0"/>
        <v>1.024</v>
      </c>
      <c r="G32" s="3">
        <f t="shared" si="4"/>
        <v>1.024</v>
      </c>
      <c r="H32" t="str">
        <f t="shared" si="5"/>
        <v>BGD</v>
      </c>
      <c r="I32" t="str">
        <f>+_xlfn.XLOOKUP(H32,Sheet1!C:C,Sheet1!B:B,"N/A",0)</f>
        <v>BD</v>
      </c>
      <c r="J32" t="str">
        <f>+_xlfn.XLOOKUP(H32,Sheet1!C:C,Sheet1!D:D,"N/A",0)</f>
        <v>050</v>
      </c>
    </row>
    <row r="33" spans="1:10" x14ac:dyDescent="0.25">
      <c r="A33" t="s">
        <v>4</v>
      </c>
      <c r="B33" t="s">
        <v>5</v>
      </c>
      <c r="C33" t="s">
        <v>438</v>
      </c>
      <c r="D33" t="s">
        <v>439</v>
      </c>
      <c r="E33" s="1">
        <v>3.0000000000000001E-3</v>
      </c>
      <c r="F33" s="3">
        <f t="shared" si="0"/>
        <v>3.0720000000000001</v>
      </c>
      <c r="G33" s="3">
        <f t="shared" si="4"/>
        <v>3.0720000000000001</v>
      </c>
      <c r="H33" t="str">
        <f t="shared" si="5"/>
        <v>BRB</v>
      </c>
      <c r="I33" t="str">
        <f>+_xlfn.XLOOKUP(H33,Sheet1!C:C,Sheet1!B:B,"N/A",0)</f>
        <v>BB</v>
      </c>
      <c r="J33" t="str">
        <f>+_xlfn.XLOOKUP(H33,Sheet1!C:C,Sheet1!D:D,"N/A",0)</f>
        <v>052</v>
      </c>
    </row>
    <row r="34" spans="1:10" x14ac:dyDescent="0.25">
      <c r="A34" t="s">
        <v>4</v>
      </c>
      <c r="B34" t="s">
        <v>5</v>
      </c>
      <c r="C34" t="s">
        <v>244</v>
      </c>
      <c r="D34" t="s">
        <v>245</v>
      </c>
      <c r="E34" s="1">
        <v>1.029E-3</v>
      </c>
      <c r="F34" s="3">
        <f t="shared" si="0"/>
        <v>1.053696</v>
      </c>
      <c r="G34" s="3">
        <f t="shared" si="4"/>
        <v>0.63692800000000005</v>
      </c>
      <c r="H34" t="str">
        <f t="shared" si="5"/>
        <v>BLR</v>
      </c>
      <c r="I34" t="str">
        <f>+_xlfn.XLOOKUP(H34,Sheet1!C:C,Sheet1!B:B,"N/A",0)</f>
        <v>BY</v>
      </c>
      <c r="J34" t="str">
        <f>+_xlfn.XLOOKUP(H34,Sheet1!C:C,Sheet1!D:D,"N/A",0)</f>
        <v>112</v>
      </c>
    </row>
    <row r="35" spans="1:10" x14ac:dyDescent="0.25">
      <c r="A35" t="s">
        <v>4</v>
      </c>
      <c r="B35" t="s">
        <v>5</v>
      </c>
      <c r="C35" t="s">
        <v>314</v>
      </c>
      <c r="D35" t="s">
        <v>245</v>
      </c>
      <c r="E35" s="1">
        <v>6.2200000000000005E-4</v>
      </c>
      <c r="F35" s="3">
        <f t="shared" si="0"/>
        <v>0.63692800000000005</v>
      </c>
      <c r="G35" s="3">
        <f t="shared" si="4"/>
        <v>0.63692800000000005</v>
      </c>
      <c r="H35" t="str">
        <f t="shared" si="5"/>
        <v>BLR</v>
      </c>
      <c r="I35" t="str">
        <f>+_xlfn.XLOOKUP(H35,Sheet1!C:C,Sheet1!B:B,"N/A",0)</f>
        <v>BY</v>
      </c>
      <c r="J35" t="str">
        <f>+_xlfn.XLOOKUP(H35,Sheet1!C:C,Sheet1!D:D,"N/A",0)</f>
        <v>112</v>
      </c>
    </row>
    <row r="36" spans="1:10" x14ac:dyDescent="0.25">
      <c r="A36" t="s">
        <v>4</v>
      </c>
      <c r="B36" t="s">
        <v>5</v>
      </c>
      <c r="C36" t="s">
        <v>370</v>
      </c>
      <c r="D36" t="s">
        <v>245</v>
      </c>
      <c r="E36" s="1">
        <v>4.0099999999999997E-3</v>
      </c>
      <c r="F36" s="3">
        <f t="shared" si="0"/>
        <v>4.1062399999999997</v>
      </c>
      <c r="G36" s="3">
        <f t="shared" si="4"/>
        <v>0.63692800000000005</v>
      </c>
      <c r="H36" t="str">
        <f t="shared" si="5"/>
        <v>BLR</v>
      </c>
      <c r="I36" t="str">
        <f>+_xlfn.XLOOKUP(H36,Sheet1!C:C,Sheet1!B:B,"N/A",0)</f>
        <v>BY</v>
      </c>
      <c r="J36" t="str">
        <f>+_xlfn.XLOOKUP(H36,Sheet1!C:C,Sheet1!D:D,"N/A",0)</f>
        <v>112</v>
      </c>
    </row>
    <row r="37" spans="1:10" x14ac:dyDescent="0.25">
      <c r="A37" t="s">
        <v>4</v>
      </c>
      <c r="B37" t="s">
        <v>5</v>
      </c>
      <c r="C37" t="s">
        <v>283</v>
      </c>
      <c r="D37" t="s">
        <v>284</v>
      </c>
      <c r="E37" s="1">
        <v>7.18E-4</v>
      </c>
      <c r="F37" s="3">
        <f t="shared" si="0"/>
        <v>0.735232</v>
      </c>
      <c r="G37" s="3">
        <f t="shared" si="4"/>
        <v>0.42188799999999999</v>
      </c>
      <c r="H37" t="str">
        <f t="shared" si="5"/>
        <v>BEL</v>
      </c>
      <c r="I37" t="str">
        <f>+_xlfn.XLOOKUP(H37,Sheet1!C:C,Sheet1!B:B,"N/A",0)</f>
        <v>BE</v>
      </c>
      <c r="J37" t="str">
        <f>+_xlfn.XLOOKUP(H37,Sheet1!C:C,Sheet1!D:D,"N/A",0)</f>
        <v>056</v>
      </c>
    </row>
    <row r="38" spans="1:10" x14ac:dyDescent="0.25">
      <c r="A38" t="s">
        <v>4</v>
      </c>
      <c r="B38" t="s">
        <v>5</v>
      </c>
      <c r="C38" t="s">
        <v>355</v>
      </c>
      <c r="D38" t="s">
        <v>284</v>
      </c>
      <c r="E38" s="1">
        <v>4.1199999999999999E-4</v>
      </c>
      <c r="F38" s="3">
        <f t="shared" si="0"/>
        <v>0.42188799999999999</v>
      </c>
      <c r="G38" s="3">
        <f t="shared" si="4"/>
        <v>0.42188799999999999</v>
      </c>
      <c r="H38" t="str">
        <f t="shared" si="5"/>
        <v>BEL</v>
      </c>
      <c r="I38" t="str">
        <f>+_xlfn.XLOOKUP(H38,Sheet1!C:C,Sheet1!B:B,"N/A",0)</f>
        <v>BE</v>
      </c>
      <c r="J38" t="str">
        <f>+_xlfn.XLOOKUP(H38,Sheet1!C:C,Sheet1!D:D,"N/A",0)</f>
        <v>056</v>
      </c>
    </row>
    <row r="39" spans="1:10" x14ac:dyDescent="0.25">
      <c r="A39" t="s">
        <v>4</v>
      </c>
      <c r="B39" t="s">
        <v>5</v>
      </c>
      <c r="C39" t="s">
        <v>420</v>
      </c>
      <c r="D39" t="s">
        <v>284</v>
      </c>
      <c r="E39" s="1">
        <v>5.8100000000000003E-4</v>
      </c>
      <c r="F39" s="3">
        <f t="shared" si="0"/>
        <v>0.59494400000000003</v>
      </c>
      <c r="G39" s="3">
        <f t="shared" si="4"/>
        <v>0.42188799999999999</v>
      </c>
      <c r="H39" t="str">
        <f t="shared" si="5"/>
        <v>BEL</v>
      </c>
      <c r="I39" t="str">
        <f>+_xlfn.XLOOKUP(H39,Sheet1!C:C,Sheet1!B:B,"N/A",0)</f>
        <v>BE</v>
      </c>
      <c r="J39" t="str">
        <f>+_xlfn.XLOOKUP(H39,Sheet1!C:C,Sheet1!D:D,"N/A",0)</f>
        <v>056</v>
      </c>
    </row>
    <row r="40" spans="1:10" x14ac:dyDescent="0.25">
      <c r="A40" t="s">
        <v>4</v>
      </c>
      <c r="B40" t="s">
        <v>5</v>
      </c>
      <c r="C40" t="s">
        <v>589</v>
      </c>
      <c r="D40" t="s">
        <v>590</v>
      </c>
      <c r="E40" s="1">
        <v>4.0000000000000001E-3</v>
      </c>
      <c r="F40" s="3">
        <f t="shared" si="0"/>
        <v>4.0960000000000001</v>
      </c>
      <c r="G40" s="3">
        <f t="shared" si="4"/>
        <v>4.0960000000000001</v>
      </c>
      <c r="H40" t="str">
        <f t="shared" si="5"/>
        <v>BEN</v>
      </c>
      <c r="I40" t="str">
        <f>+_xlfn.XLOOKUP(H40,Sheet1!C:C,Sheet1!B:B,"N/A",0)</f>
        <v>BJ</v>
      </c>
      <c r="J40" t="str">
        <f>+_xlfn.XLOOKUP(H40,Sheet1!C:C,Sheet1!D:D,"N/A",0)</f>
        <v>204</v>
      </c>
    </row>
    <row r="41" spans="1:10" x14ac:dyDescent="0.25">
      <c r="A41" t="s">
        <v>4</v>
      </c>
      <c r="B41" t="s">
        <v>5</v>
      </c>
      <c r="C41" t="s">
        <v>500</v>
      </c>
      <c r="D41" t="s">
        <v>501</v>
      </c>
      <c r="E41" s="1">
        <v>3.0000000000000001E-3</v>
      </c>
      <c r="F41" s="3">
        <f t="shared" si="0"/>
        <v>3.0720000000000001</v>
      </c>
      <c r="G41" s="3">
        <f t="shared" si="4"/>
        <v>3.0720000000000001</v>
      </c>
      <c r="H41" t="str">
        <f t="shared" si="5"/>
        <v>BMU</v>
      </c>
      <c r="I41" t="str">
        <f>+_xlfn.XLOOKUP(H41,Sheet1!C:C,Sheet1!B:B,"N/A",0)</f>
        <v>BM</v>
      </c>
      <c r="J41" t="str">
        <f>+_xlfn.XLOOKUP(H41,Sheet1!C:C,Sheet1!D:D,"N/A",0)</f>
        <v>060</v>
      </c>
    </row>
    <row r="42" spans="1:10" x14ac:dyDescent="0.25">
      <c r="A42" t="s">
        <v>4</v>
      </c>
      <c r="B42" t="s">
        <v>5</v>
      </c>
      <c r="C42" t="s">
        <v>576</v>
      </c>
      <c r="D42" t="s">
        <v>577</v>
      </c>
      <c r="E42" s="1">
        <v>2.0929999999999998E-3</v>
      </c>
      <c r="F42" s="3">
        <f t="shared" si="0"/>
        <v>2.1432319999999998</v>
      </c>
      <c r="G42" s="3">
        <f t="shared" si="4"/>
        <v>2.1432319999999998</v>
      </c>
      <c r="H42" t="str">
        <f t="shared" si="5"/>
        <v>BOL</v>
      </c>
      <c r="I42" t="str">
        <f>+_xlfn.XLOOKUP(H42,Sheet1!C:C,Sheet1!B:B,"N/A",0)</f>
        <v>BO</v>
      </c>
      <c r="J42" t="str">
        <f>+_xlfn.XLOOKUP(H42,Sheet1!C:C,Sheet1!D:D,"N/A",0)</f>
        <v>068</v>
      </c>
    </row>
    <row r="43" spans="1:10" x14ac:dyDescent="0.25">
      <c r="A43" t="s">
        <v>4</v>
      </c>
      <c r="B43" t="s">
        <v>5</v>
      </c>
      <c r="C43" t="s">
        <v>168</v>
      </c>
      <c r="D43" t="s">
        <v>169</v>
      </c>
      <c r="E43" s="1">
        <v>7.5000000000000002E-4</v>
      </c>
      <c r="F43" s="3">
        <f t="shared" si="0"/>
        <v>0.76800000000000002</v>
      </c>
      <c r="G43" s="3">
        <f t="shared" si="4"/>
        <v>0.49152000000000001</v>
      </c>
      <c r="H43" t="str">
        <f t="shared" si="5"/>
        <v>BIH</v>
      </c>
      <c r="I43" t="str">
        <f>+_xlfn.XLOOKUP(H43,Sheet1!C:C,Sheet1!B:B,"N/A",0)</f>
        <v>BA</v>
      </c>
      <c r="J43" t="str">
        <f>+_xlfn.XLOOKUP(H43,Sheet1!C:C,Sheet1!D:D,"N/A",0)</f>
        <v>070</v>
      </c>
    </row>
    <row r="44" spans="1:10" x14ac:dyDescent="0.25">
      <c r="A44" t="s">
        <v>4</v>
      </c>
      <c r="B44" t="s">
        <v>5</v>
      </c>
      <c r="C44" t="s">
        <v>368</v>
      </c>
      <c r="D44" t="s">
        <v>169</v>
      </c>
      <c r="E44" s="1">
        <v>4.8000000000000001E-4</v>
      </c>
      <c r="F44" s="3">
        <f t="shared" si="0"/>
        <v>0.49152000000000001</v>
      </c>
      <c r="G44" s="3">
        <f t="shared" si="4"/>
        <v>0.49152000000000001</v>
      </c>
      <c r="H44" t="str">
        <f t="shared" si="5"/>
        <v>BIH</v>
      </c>
      <c r="I44" t="str">
        <f>+_xlfn.XLOOKUP(H44,Sheet1!C:C,Sheet1!B:B,"N/A",0)</f>
        <v>BA</v>
      </c>
      <c r="J44" t="str">
        <f>+_xlfn.XLOOKUP(H44,Sheet1!C:C,Sheet1!D:D,"N/A",0)</f>
        <v>070</v>
      </c>
    </row>
    <row r="45" spans="1:10" x14ac:dyDescent="0.25">
      <c r="A45" t="s">
        <v>4</v>
      </c>
      <c r="B45" t="s">
        <v>5</v>
      </c>
      <c r="C45" t="s">
        <v>385</v>
      </c>
      <c r="D45" t="s">
        <v>169</v>
      </c>
      <c r="E45" s="1">
        <v>7.4299999999999995E-4</v>
      </c>
      <c r="F45" s="3">
        <f t="shared" si="0"/>
        <v>0.76083199999999995</v>
      </c>
      <c r="G45" s="3">
        <f t="shared" si="4"/>
        <v>0.49152000000000001</v>
      </c>
      <c r="H45" t="str">
        <f t="shared" si="5"/>
        <v>BIH</v>
      </c>
      <c r="I45" t="str">
        <f>+_xlfn.XLOOKUP(H45,Sheet1!C:C,Sheet1!B:B,"N/A",0)</f>
        <v>BA</v>
      </c>
      <c r="J45" t="str">
        <f>+_xlfn.XLOOKUP(H45,Sheet1!C:C,Sheet1!D:D,"N/A",0)</f>
        <v>070</v>
      </c>
    </row>
    <row r="46" spans="1:10" x14ac:dyDescent="0.25">
      <c r="A46" t="s">
        <v>4</v>
      </c>
      <c r="B46" t="s">
        <v>5</v>
      </c>
      <c r="C46" t="s">
        <v>529</v>
      </c>
      <c r="D46" t="s">
        <v>530</v>
      </c>
      <c r="E46" s="1">
        <v>4.0000000000000001E-3</v>
      </c>
      <c r="F46" s="3">
        <f t="shared" si="0"/>
        <v>4.0960000000000001</v>
      </c>
      <c r="G46" s="3">
        <f t="shared" si="4"/>
        <v>4.0960000000000001</v>
      </c>
      <c r="H46" t="str">
        <f t="shared" si="5"/>
        <v>BWA</v>
      </c>
      <c r="I46" t="str">
        <f>+_xlfn.XLOOKUP(H46,Sheet1!C:C,Sheet1!B:B,"N/A",0)</f>
        <v>BW</v>
      </c>
      <c r="J46" t="str">
        <f>+_xlfn.XLOOKUP(H46,Sheet1!C:C,Sheet1!D:D,"N/A",0)</f>
        <v>072</v>
      </c>
    </row>
    <row r="47" spans="1:10" x14ac:dyDescent="0.25">
      <c r="A47" t="s">
        <v>4</v>
      </c>
      <c r="B47" t="s">
        <v>5</v>
      </c>
      <c r="C47" t="s">
        <v>348</v>
      </c>
      <c r="D47" t="s">
        <v>349</v>
      </c>
      <c r="E47" s="1">
        <v>1.6169999999999999E-3</v>
      </c>
      <c r="F47" s="3">
        <f t="shared" si="0"/>
        <v>1.6558079999999999</v>
      </c>
      <c r="G47" s="3">
        <f t="shared" si="4"/>
        <v>1.024</v>
      </c>
      <c r="H47" t="str">
        <f t="shared" si="5"/>
        <v>BRA</v>
      </c>
      <c r="I47" t="str">
        <f>+_xlfn.XLOOKUP(H47,Sheet1!C:C,Sheet1!B:B,"N/A",0)</f>
        <v>BR</v>
      </c>
      <c r="J47" t="str">
        <f>+_xlfn.XLOOKUP(H47,Sheet1!C:C,Sheet1!D:D,"N/A",0)</f>
        <v>076</v>
      </c>
    </row>
    <row r="48" spans="1:10" x14ac:dyDescent="0.25">
      <c r="A48" t="s">
        <v>4</v>
      </c>
      <c r="B48" t="s">
        <v>5</v>
      </c>
      <c r="C48" t="s">
        <v>366</v>
      </c>
      <c r="D48" t="s">
        <v>349</v>
      </c>
      <c r="E48" s="1">
        <v>1.616E-3</v>
      </c>
      <c r="F48" s="3">
        <f t="shared" si="0"/>
        <v>1.654784</v>
      </c>
      <c r="G48" s="3">
        <f t="shared" si="4"/>
        <v>1.024</v>
      </c>
      <c r="H48" t="str">
        <f t="shared" si="5"/>
        <v>BRA</v>
      </c>
      <c r="I48" t="str">
        <f>+_xlfn.XLOOKUP(H48,Sheet1!C:C,Sheet1!B:B,"N/A",0)</f>
        <v>BR</v>
      </c>
      <c r="J48" t="str">
        <f>+_xlfn.XLOOKUP(H48,Sheet1!C:C,Sheet1!D:D,"N/A",0)</f>
        <v>076</v>
      </c>
    </row>
    <row r="49" spans="1:10" x14ac:dyDescent="0.25">
      <c r="A49" t="s">
        <v>4</v>
      </c>
      <c r="B49" t="s">
        <v>5</v>
      </c>
      <c r="C49" t="s">
        <v>410</v>
      </c>
      <c r="D49" t="s">
        <v>349</v>
      </c>
      <c r="E49" s="1">
        <v>1E-3</v>
      </c>
      <c r="F49" s="3">
        <f t="shared" si="0"/>
        <v>1.024</v>
      </c>
      <c r="G49" s="3">
        <f t="shared" si="4"/>
        <v>1.024</v>
      </c>
      <c r="H49" t="str">
        <f t="shared" si="5"/>
        <v>BRA</v>
      </c>
      <c r="I49" t="str">
        <f>+_xlfn.XLOOKUP(H49,Sheet1!C:C,Sheet1!B:B,"N/A",0)</f>
        <v>BR</v>
      </c>
      <c r="J49" t="str">
        <f>+_xlfn.XLOOKUP(H49,Sheet1!C:C,Sheet1!D:D,"N/A",0)</f>
        <v>076</v>
      </c>
    </row>
    <row r="50" spans="1:10" x14ac:dyDescent="0.25">
      <c r="A50" t="s">
        <v>4</v>
      </c>
      <c r="B50" t="s">
        <v>5</v>
      </c>
      <c r="C50" t="s">
        <v>463</v>
      </c>
      <c r="D50" t="s">
        <v>349</v>
      </c>
      <c r="E50" s="1">
        <v>1E-3</v>
      </c>
      <c r="F50" s="3">
        <f t="shared" si="0"/>
        <v>1.024</v>
      </c>
      <c r="G50" s="3">
        <f t="shared" si="4"/>
        <v>1.024</v>
      </c>
      <c r="H50" t="str">
        <f t="shared" si="5"/>
        <v>BRA</v>
      </c>
      <c r="I50" t="str">
        <f>+_xlfn.XLOOKUP(H50,Sheet1!C:C,Sheet1!B:B,"N/A",0)</f>
        <v>BR</v>
      </c>
      <c r="J50" t="str">
        <f>+_xlfn.XLOOKUP(H50,Sheet1!C:C,Sheet1!D:D,"N/A",0)</f>
        <v>076</v>
      </c>
    </row>
    <row r="51" spans="1:10" x14ac:dyDescent="0.25">
      <c r="A51" t="s">
        <v>4</v>
      </c>
      <c r="B51" t="s">
        <v>5</v>
      </c>
      <c r="C51" t="s">
        <v>472</v>
      </c>
      <c r="D51" t="s">
        <v>349</v>
      </c>
      <c r="E51" s="1">
        <v>1E-3</v>
      </c>
      <c r="F51" s="3">
        <f t="shared" si="0"/>
        <v>1.024</v>
      </c>
      <c r="G51" s="3">
        <f t="shared" si="4"/>
        <v>1.024</v>
      </c>
      <c r="H51" t="str">
        <f t="shared" si="5"/>
        <v>BRA</v>
      </c>
      <c r="I51" t="str">
        <f>+_xlfn.XLOOKUP(H51,Sheet1!C:C,Sheet1!B:B,"N/A",0)</f>
        <v>BR</v>
      </c>
      <c r="J51" t="str">
        <f>+_xlfn.XLOOKUP(H51,Sheet1!C:C,Sheet1!D:D,"N/A",0)</f>
        <v>076</v>
      </c>
    </row>
    <row r="52" spans="1:10" x14ac:dyDescent="0.25">
      <c r="A52" t="s">
        <v>4</v>
      </c>
      <c r="B52" t="s">
        <v>5</v>
      </c>
      <c r="C52" t="s">
        <v>487</v>
      </c>
      <c r="D52" t="s">
        <v>349</v>
      </c>
      <c r="E52" s="1">
        <v>1E-3</v>
      </c>
      <c r="F52" s="3">
        <f t="shared" si="0"/>
        <v>1.024</v>
      </c>
      <c r="G52" s="3">
        <f t="shared" si="4"/>
        <v>1.024</v>
      </c>
      <c r="H52" t="str">
        <f t="shared" si="5"/>
        <v>BRA</v>
      </c>
      <c r="I52" t="str">
        <f>+_xlfn.XLOOKUP(H52,Sheet1!C:C,Sheet1!B:B,"N/A",0)</f>
        <v>BR</v>
      </c>
      <c r="J52" t="str">
        <f>+_xlfn.XLOOKUP(H52,Sheet1!C:C,Sheet1!D:D,"N/A",0)</f>
        <v>076</v>
      </c>
    </row>
    <row r="53" spans="1:10" x14ac:dyDescent="0.25">
      <c r="A53" t="s">
        <v>4</v>
      </c>
      <c r="B53" t="s">
        <v>5</v>
      </c>
      <c r="C53" t="s">
        <v>533</v>
      </c>
      <c r="D53" t="s">
        <v>349</v>
      </c>
      <c r="E53" s="1">
        <v>1.614E-3</v>
      </c>
      <c r="F53" s="3">
        <f t="shared" si="0"/>
        <v>1.652736</v>
      </c>
      <c r="G53" s="3">
        <f t="shared" si="4"/>
        <v>1.024</v>
      </c>
      <c r="H53" t="str">
        <f t="shared" si="5"/>
        <v>BRA</v>
      </c>
      <c r="I53" t="str">
        <f>+_xlfn.XLOOKUP(H53,Sheet1!C:C,Sheet1!B:B,"N/A",0)</f>
        <v>BR</v>
      </c>
      <c r="J53" t="str">
        <f>+_xlfn.XLOOKUP(H53,Sheet1!C:C,Sheet1!D:D,"N/A",0)</f>
        <v>076</v>
      </c>
    </row>
    <row r="54" spans="1:10" x14ac:dyDescent="0.25">
      <c r="A54" t="s">
        <v>4</v>
      </c>
      <c r="B54" t="s">
        <v>5</v>
      </c>
      <c r="C54" t="s">
        <v>569</v>
      </c>
      <c r="D54" t="s">
        <v>349</v>
      </c>
      <c r="E54" s="1">
        <v>1.668E-3</v>
      </c>
      <c r="F54" s="3">
        <f t="shared" si="0"/>
        <v>1.708032</v>
      </c>
      <c r="G54" s="3">
        <f t="shared" si="4"/>
        <v>1.024</v>
      </c>
      <c r="H54" t="str">
        <f t="shared" si="5"/>
        <v>BRA</v>
      </c>
      <c r="I54" t="str">
        <f>+_xlfn.XLOOKUP(H54,Sheet1!C:C,Sheet1!B:B,"N/A",0)</f>
        <v>BR</v>
      </c>
      <c r="J54" t="str">
        <f>+_xlfn.XLOOKUP(H54,Sheet1!C:C,Sheet1!D:D,"N/A",0)</f>
        <v>076</v>
      </c>
    </row>
    <row r="55" spans="1:10" x14ac:dyDescent="0.25">
      <c r="A55" t="s">
        <v>4</v>
      </c>
      <c r="B55" t="s">
        <v>5</v>
      </c>
      <c r="C55" t="s">
        <v>269</v>
      </c>
      <c r="D55" t="s">
        <v>270</v>
      </c>
      <c r="E55" s="1">
        <v>3.0000000000000001E-3</v>
      </c>
      <c r="F55" s="3">
        <f t="shared" si="0"/>
        <v>3.0720000000000001</v>
      </c>
      <c r="G55" s="3">
        <f t="shared" si="4"/>
        <v>3.0720000000000001</v>
      </c>
      <c r="H55" t="str">
        <f t="shared" si="5"/>
        <v>VGB</v>
      </c>
      <c r="I55" t="str">
        <f>+_xlfn.XLOOKUP(H55,Sheet1!C:C,Sheet1!B:B,"N/A",0)</f>
        <v>VG</v>
      </c>
      <c r="J55" t="str">
        <f>+_xlfn.XLOOKUP(H55,Sheet1!C:C,Sheet1!D:D,"N/A",0)</f>
        <v>092</v>
      </c>
    </row>
    <row r="56" spans="1:10" x14ac:dyDescent="0.25">
      <c r="A56" t="s">
        <v>4</v>
      </c>
      <c r="B56" t="s">
        <v>5</v>
      </c>
      <c r="C56" t="s">
        <v>352</v>
      </c>
      <c r="D56" t="s">
        <v>353</v>
      </c>
      <c r="E56" s="1">
        <v>8.1099999999999998E-4</v>
      </c>
      <c r="F56" s="3">
        <f t="shared" si="0"/>
        <v>0.83046399999999998</v>
      </c>
      <c r="G56" s="3">
        <f t="shared" si="4"/>
        <v>0.53043200000000001</v>
      </c>
      <c r="H56" t="str">
        <f t="shared" si="5"/>
        <v>BGR</v>
      </c>
      <c r="I56" t="str">
        <f>+_xlfn.XLOOKUP(H56,Sheet1!C:C,Sheet1!B:B,"N/A",0)</f>
        <v>BG</v>
      </c>
      <c r="J56" t="str">
        <f>+_xlfn.XLOOKUP(H56,Sheet1!C:C,Sheet1!D:D,"N/A",0)</f>
        <v>100</v>
      </c>
    </row>
    <row r="57" spans="1:10" x14ac:dyDescent="0.25">
      <c r="A57" t="s">
        <v>4</v>
      </c>
      <c r="B57" t="s">
        <v>5</v>
      </c>
      <c r="C57" t="s">
        <v>397</v>
      </c>
      <c r="D57" t="s">
        <v>353</v>
      </c>
      <c r="E57" s="1">
        <v>6.2200000000000005E-4</v>
      </c>
      <c r="F57" s="3">
        <f t="shared" si="0"/>
        <v>0.63692800000000005</v>
      </c>
      <c r="G57" s="3">
        <f t="shared" si="4"/>
        <v>0.53043200000000001</v>
      </c>
      <c r="H57" t="str">
        <f t="shared" si="5"/>
        <v>BGR</v>
      </c>
      <c r="I57" t="str">
        <f>+_xlfn.XLOOKUP(H57,Sheet1!C:C,Sheet1!B:B,"N/A",0)</f>
        <v>BG</v>
      </c>
      <c r="J57" t="str">
        <f>+_xlfn.XLOOKUP(H57,Sheet1!C:C,Sheet1!D:D,"N/A",0)</f>
        <v>100</v>
      </c>
    </row>
    <row r="58" spans="1:10" x14ac:dyDescent="0.25">
      <c r="A58" t="s">
        <v>4</v>
      </c>
      <c r="B58" t="s">
        <v>5</v>
      </c>
      <c r="C58" t="s">
        <v>591</v>
      </c>
      <c r="D58" t="s">
        <v>353</v>
      </c>
      <c r="E58" s="1">
        <v>5.1800000000000001E-4</v>
      </c>
      <c r="F58" s="3">
        <f t="shared" si="0"/>
        <v>0.53043200000000001</v>
      </c>
      <c r="G58" s="3">
        <f t="shared" si="4"/>
        <v>0.53043200000000001</v>
      </c>
      <c r="H58" t="str">
        <f t="shared" si="5"/>
        <v>BGR</v>
      </c>
      <c r="I58" t="str">
        <f>+_xlfn.XLOOKUP(H58,Sheet1!C:C,Sheet1!B:B,"N/A",0)</f>
        <v>BG</v>
      </c>
      <c r="J58" t="str">
        <f>+_xlfn.XLOOKUP(H58,Sheet1!C:C,Sheet1!D:D,"N/A",0)</f>
        <v>100</v>
      </c>
    </row>
    <row r="59" spans="1:10" x14ac:dyDescent="0.25">
      <c r="A59" t="s">
        <v>4</v>
      </c>
      <c r="B59" t="s">
        <v>5</v>
      </c>
      <c r="C59" t="s">
        <v>50</v>
      </c>
      <c r="D59" t="s">
        <v>51</v>
      </c>
      <c r="E59" s="1">
        <v>8.0000000000000002E-3</v>
      </c>
      <c r="F59" s="3">
        <f t="shared" si="0"/>
        <v>8.1920000000000002</v>
      </c>
      <c r="G59" s="3">
        <f t="shared" si="4"/>
        <v>8.1920000000000002</v>
      </c>
      <c r="H59" t="str">
        <f t="shared" si="5"/>
        <v>BFA</v>
      </c>
      <c r="I59" t="str">
        <f>+_xlfn.XLOOKUP(H59,Sheet1!C:C,Sheet1!B:B,"N/A",0)</f>
        <v>BF</v>
      </c>
      <c r="J59" t="str">
        <f>+_xlfn.XLOOKUP(H59,Sheet1!C:C,Sheet1!D:D,"N/A",0)</f>
        <v>854</v>
      </c>
    </row>
    <row r="60" spans="1:10" x14ac:dyDescent="0.25">
      <c r="A60" t="s">
        <v>4</v>
      </c>
      <c r="B60" t="s">
        <v>5</v>
      </c>
      <c r="C60" t="s">
        <v>10</v>
      </c>
      <c r="D60" t="s">
        <v>11</v>
      </c>
      <c r="E60" s="1">
        <v>4.999E-3</v>
      </c>
      <c r="F60" s="3">
        <f t="shared" si="0"/>
        <v>5.118976</v>
      </c>
      <c r="G60" s="3">
        <f t="shared" si="4"/>
        <v>5.118976</v>
      </c>
      <c r="H60" t="str">
        <f t="shared" si="5"/>
        <v>KHM</v>
      </c>
      <c r="I60" t="str">
        <f>+_xlfn.XLOOKUP(H60,Sheet1!C:C,Sheet1!B:B,"N/A",0)</f>
        <v>KH</v>
      </c>
      <c r="J60" t="str">
        <f>+_xlfn.XLOOKUP(H60,Sheet1!C:C,Sheet1!D:D,"N/A",0)</f>
        <v>116</v>
      </c>
    </row>
    <row r="61" spans="1:10" x14ac:dyDescent="0.25">
      <c r="A61" t="s">
        <v>4</v>
      </c>
      <c r="B61" t="s">
        <v>5</v>
      </c>
      <c r="C61" t="s">
        <v>285</v>
      </c>
      <c r="D61" t="s">
        <v>11</v>
      </c>
      <c r="E61" s="1">
        <v>5.0140000000000002E-3</v>
      </c>
      <c r="F61" s="3">
        <f t="shared" si="0"/>
        <v>5.1343360000000002</v>
      </c>
      <c r="G61" s="3">
        <f t="shared" si="4"/>
        <v>5.118976</v>
      </c>
      <c r="H61" t="str">
        <f t="shared" si="5"/>
        <v>KHM</v>
      </c>
      <c r="I61" t="str">
        <f>+_xlfn.XLOOKUP(H61,Sheet1!C:C,Sheet1!B:B,"N/A",0)</f>
        <v>KH</v>
      </c>
      <c r="J61" t="str">
        <f>+_xlfn.XLOOKUP(H61,Sheet1!C:C,Sheet1!D:D,"N/A",0)</f>
        <v>116</v>
      </c>
    </row>
    <row r="62" spans="1:10" x14ac:dyDescent="0.25">
      <c r="A62" t="s">
        <v>4</v>
      </c>
      <c r="B62" t="s">
        <v>5</v>
      </c>
      <c r="C62" t="s">
        <v>247</v>
      </c>
      <c r="D62" t="s">
        <v>248</v>
      </c>
      <c r="E62" s="1">
        <v>2E-3</v>
      </c>
      <c r="F62" s="3">
        <f t="shared" si="0"/>
        <v>2.048</v>
      </c>
      <c r="G62" s="3">
        <f t="shared" si="4"/>
        <v>2.048</v>
      </c>
      <c r="H62" t="str">
        <f t="shared" si="5"/>
        <v>CMR</v>
      </c>
      <c r="I62" t="str">
        <f>+_xlfn.XLOOKUP(H62,Sheet1!C:C,Sheet1!B:B,"N/A",0)</f>
        <v>CM</v>
      </c>
      <c r="J62" t="str">
        <f>+_xlfn.XLOOKUP(H62,Sheet1!C:C,Sheet1!D:D,"N/A",0)</f>
        <v>120</v>
      </c>
    </row>
    <row r="63" spans="1:10" x14ac:dyDescent="0.25">
      <c r="A63" t="s">
        <v>4</v>
      </c>
      <c r="B63" t="s">
        <v>5</v>
      </c>
      <c r="C63" t="s">
        <v>52</v>
      </c>
      <c r="D63" t="s">
        <v>53</v>
      </c>
      <c r="E63" s="1">
        <v>2.5100000000000001E-3</v>
      </c>
      <c r="F63" s="3">
        <f t="shared" si="0"/>
        <v>2.5702400000000001</v>
      </c>
      <c r="G63" s="3">
        <f t="shared" si="4"/>
        <v>1.1939839999999999</v>
      </c>
      <c r="H63" t="str">
        <f t="shared" si="5"/>
        <v>CAN</v>
      </c>
      <c r="I63" t="str">
        <f>+_xlfn.XLOOKUP(H63,Sheet1!C:C,Sheet1!B:B,"N/A",0)</f>
        <v>CA</v>
      </c>
      <c r="J63" t="str">
        <f>+_xlfn.XLOOKUP(H63,Sheet1!C:C,Sheet1!D:D,"N/A",0)</f>
        <v>124</v>
      </c>
    </row>
    <row r="64" spans="1:10" x14ac:dyDescent="0.25">
      <c r="A64" t="s">
        <v>4</v>
      </c>
      <c r="B64" t="s">
        <v>5</v>
      </c>
      <c r="C64" t="s">
        <v>187</v>
      </c>
      <c r="D64" t="s">
        <v>53</v>
      </c>
      <c r="E64" s="1">
        <v>1.1659999999999999E-3</v>
      </c>
      <c r="F64" s="3">
        <f t="shared" si="0"/>
        <v>1.1939839999999999</v>
      </c>
      <c r="G64" s="3">
        <f t="shared" si="4"/>
        <v>1.1939839999999999</v>
      </c>
      <c r="H64" t="str">
        <f t="shared" si="5"/>
        <v>CAN</v>
      </c>
      <c r="I64" t="str">
        <f>+_xlfn.XLOOKUP(H64,Sheet1!C:C,Sheet1!B:B,"N/A",0)</f>
        <v>CA</v>
      </c>
      <c r="J64" t="str">
        <f>+_xlfn.XLOOKUP(H64,Sheet1!C:C,Sheet1!D:D,"N/A",0)</f>
        <v>124</v>
      </c>
    </row>
    <row r="65" spans="1:10" x14ac:dyDescent="0.25">
      <c r="A65" t="s">
        <v>4</v>
      </c>
      <c r="B65" t="s">
        <v>5</v>
      </c>
      <c r="C65" t="s">
        <v>253</v>
      </c>
      <c r="D65" t="s">
        <v>53</v>
      </c>
      <c r="E65" s="1">
        <v>2.3999999999999998E-3</v>
      </c>
      <c r="F65" s="3">
        <f t="shared" si="0"/>
        <v>2.4575999999999998</v>
      </c>
      <c r="G65" s="3">
        <f t="shared" si="4"/>
        <v>1.1939839999999999</v>
      </c>
      <c r="H65" t="str">
        <f t="shared" si="5"/>
        <v>CAN</v>
      </c>
      <c r="I65" t="str">
        <f>+_xlfn.XLOOKUP(H65,Sheet1!C:C,Sheet1!B:B,"N/A",0)</f>
        <v>CA</v>
      </c>
      <c r="J65" t="str">
        <f>+_xlfn.XLOOKUP(H65,Sheet1!C:C,Sheet1!D:D,"N/A",0)</f>
        <v>124</v>
      </c>
    </row>
    <row r="66" spans="1:10" x14ac:dyDescent="0.25">
      <c r="A66" t="s">
        <v>4</v>
      </c>
      <c r="B66" t="s">
        <v>5</v>
      </c>
      <c r="C66" t="s">
        <v>281</v>
      </c>
      <c r="D66" t="s">
        <v>53</v>
      </c>
      <c r="E66" s="1">
        <v>1.1659999999999999E-3</v>
      </c>
      <c r="F66" s="3">
        <f t="shared" si="0"/>
        <v>1.1939839999999999</v>
      </c>
      <c r="G66" s="3">
        <f t="shared" si="4"/>
        <v>1.1939839999999999</v>
      </c>
      <c r="H66" t="str">
        <f t="shared" si="5"/>
        <v>CAN</v>
      </c>
      <c r="I66" t="str">
        <f>+_xlfn.XLOOKUP(H66,Sheet1!C:C,Sheet1!B:B,"N/A",0)</f>
        <v>CA</v>
      </c>
      <c r="J66" t="str">
        <f>+_xlfn.XLOOKUP(H66,Sheet1!C:C,Sheet1!D:D,"N/A",0)</f>
        <v>124</v>
      </c>
    </row>
    <row r="67" spans="1:10" x14ac:dyDescent="0.25">
      <c r="A67" t="s">
        <v>4</v>
      </c>
      <c r="B67" t="s">
        <v>5</v>
      </c>
      <c r="C67" t="s">
        <v>559</v>
      </c>
      <c r="D67" t="s">
        <v>53</v>
      </c>
      <c r="E67" s="1">
        <v>1.1659999999999999E-3</v>
      </c>
      <c r="F67" s="3">
        <f t="shared" ref="F67:F130" si="6">E67*1024</f>
        <v>1.1939839999999999</v>
      </c>
      <c r="G67" s="3">
        <f t="shared" si="4"/>
        <v>1.1939839999999999</v>
      </c>
      <c r="H67" t="str">
        <f t="shared" si="5"/>
        <v>CAN</v>
      </c>
      <c r="I67" t="str">
        <f>+_xlfn.XLOOKUP(H67,Sheet1!C:C,Sheet1!B:B,"N/A",0)</f>
        <v>CA</v>
      </c>
      <c r="J67" t="str">
        <f>+_xlfn.XLOOKUP(H67,Sheet1!C:C,Sheet1!D:D,"N/A",0)</f>
        <v>124</v>
      </c>
    </row>
    <row r="68" spans="1:10" x14ac:dyDescent="0.25">
      <c r="A68" t="s">
        <v>4</v>
      </c>
      <c r="B68" t="s">
        <v>5</v>
      </c>
      <c r="C68" t="s">
        <v>106</v>
      </c>
      <c r="D68" t="s">
        <v>107</v>
      </c>
      <c r="E68" s="1">
        <v>3.2529999999999998E-3</v>
      </c>
      <c r="F68" s="3">
        <f t="shared" si="6"/>
        <v>3.3310719999999998</v>
      </c>
      <c r="G68" s="3">
        <f t="shared" si="4"/>
        <v>3.3310719999999998</v>
      </c>
      <c r="H68" t="str">
        <f t="shared" si="5"/>
        <v>CPV</v>
      </c>
      <c r="I68" t="str">
        <f>+_xlfn.XLOOKUP(H68,Sheet1!C:C,Sheet1!B:B,"N/A",0)</f>
        <v>CV</v>
      </c>
      <c r="J68" t="str">
        <f>+_xlfn.XLOOKUP(H68,Sheet1!C:C,Sheet1!D:D,"N/A",0)</f>
        <v>132</v>
      </c>
    </row>
    <row r="69" spans="1:10" x14ac:dyDescent="0.25">
      <c r="A69" t="s">
        <v>4</v>
      </c>
      <c r="B69" t="s">
        <v>5</v>
      </c>
      <c r="C69" t="s">
        <v>499</v>
      </c>
      <c r="D69" t="s">
        <v>107</v>
      </c>
      <c r="E69" s="1">
        <v>6.6030000000000004E-3</v>
      </c>
      <c r="F69" s="3">
        <f t="shared" si="6"/>
        <v>6.7614720000000004</v>
      </c>
      <c r="G69" s="3">
        <f t="shared" si="4"/>
        <v>3.3310719999999998</v>
      </c>
      <c r="H69" t="str">
        <f t="shared" si="5"/>
        <v>CPV</v>
      </c>
      <c r="I69" t="str">
        <f>+_xlfn.XLOOKUP(H69,Sheet1!C:C,Sheet1!B:B,"N/A",0)</f>
        <v>CV</v>
      </c>
      <c r="J69" t="str">
        <f>+_xlfn.XLOOKUP(H69,Sheet1!C:C,Sheet1!D:D,"N/A",0)</f>
        <v>132</v>
      </c>
    </row>
    <row r="70" spans="1:10" x14ac:dyDescent="0.25">
      <c r="A70" t="s">
        <v>4</v>
      </c>
      <c r="B70" t="s">
        <v>5</v>
      </c>
      <c r="C70" t="s">
        <v>599</v>
      </c>
      <c r="D70" t="s">
        <v>600</v>
      </c>
      <c r="E70" s="1">
        <v>3.0000000000000001E-3</v>
      </c>
      <c r="F70" s="3">
        <f t="shared" si="6"/>
        <v>3.0720000000000001</v>
      </c>
      <c r="G70" s="3">
        <f t="shared" si="4"/>
        <v>3.0720000000000001</v>
      </c>
      <c r="H70" t="str">
        <f t="shared" si="5"/>
        <v>CYM</v>
      </c>
      <c r="I70" t="str">
        <f>+_xlfn.XLOOKUP(H70,Sheet1!C:C,Sheet1!B:B,"N/A",0)</f>
        <v>KY</v>
      </c>
      <c r="J70" t="str">
        <f>+_xlfn.XLOOKUP(H70,Sheet1!C:C,Sheet1!D:D,"N/A",0)</f>
        <v>136</v>
      </c>
    </row>
    <row r="71" spans="1:10" x14ac:dyDescent="0.25">
      <c r="A71" t="s">
        <v>4</v>
      </c>
      <c r="B71" t="s">
        <v>5</v>
      </c>
      <c r="C71" t="s">
        <v>399</v>
      </c>
      <c r="D71" t="s">
        <v>400</v>
      </c>
      <c r="E71" s="1">
        <v>2.3E-3</v>
      </c>
      <c r="F71" s="3">
        <f t="shared" si="6"/>
        <v>2.3552</v>
      </c>
      <c r="G71" s="3">
        <f t="shared" si="4"/>
        <v>2.3552</v>
      </c>
      <c r="H71" t="str">
        <f t="shared" si="5"/>
        <v>TCD</v>
      </c>
      <c r="I71" t="str">
        <f>+_xlfn.XLOOKUP(H71,Sheet1!C:C,Sheet1!B:B,"N/A",0)</f>
        <v>TD</v>
      </c>
      <c r="J71" t="str">
        <f>+_xlfn.XLOOKUP(H71,Sheet1!C:C,Sheet1!D:D,"N/A",0)</f>
        <v>148</v>
      </c>
    </row>
    <row r="72" spans="1:10" x14ac:dyDescent="0.25">
      <c r="A72" t="s">
        <v>4</v>
      </c>
      <c r="B72" t="s">
        <v>5</v>
      </c>
      <c r="C72" t="s">
        <v>23</v>
      </c>
      <c r="D72" t="s">
        <v>24</v>
      </c>
      <c r="E72" s="1">
        <v>5.9999999999999995E-4</v>
      </c>
      <c r="F72" s="3">
        <f t="shared" si="6"/>
        <v>0.61439999999999995</v>
      </c>
      <c r="G72" s="3">
        <f t="shared" si="4"/>
        <v>0.61439999999999995</v>
      </c>
      <c r="H72" t="s">
        <v>922</v>
      </c>
      <c r="I72" t="s">
        <v>921</v>
      </c>
      <c r="J72" t="str">
        <f>+_xlfn.XLOOKUP(H72,Sheet1!C:C,Sheet1!D:D,"N/A",0)</f>
        <v>831</v>
      </c>
    </row>
    <row r="73" spans="1:10" x14ac:dyDescent="0.25">
      <c r="A73" t="s">
        <v>4</v>
      </c>
      <c r="B73" t="s">
        <v>5</v>
      </c>
      <c r="C73" t="s">
        <v>243</v>
      </c>
      <c r="D73" t="s">
        <v>24</v>
      </c>
      <c r="E73" s="1">
        <v>1.408E-3</v>
      </c>
      <c r="F73" s="3">
        <f t="shared" si="6"/>
        <v>1.441792</v>
      </c>
      <c r="G73" s="3">
        <f t="shared" si="4"/>
        <v>0.61439999999999995</v>
      </c>
      <c r="H73" t="s">
        <v>992</v>
      </c>
      <c r="I73" t="s">
        <v>991</v>
      </c>
      <c r="J73" t="str">
        <f>+_xlfn.XLOOKUP(H73,Sheet1!C:C,Sheet1!D:D,"N/A",0)</f>
        <v>832</v>
      </c>
    </row>
    <row r="74" spans="1:10" x14ac:dyDescent="0.25">
      <c r="A74" t="s">
        <v>4</v>
      </c>
      <c r="B74" t="s">
        <v>5</v>
      </c>
      <c r="C74" t="s">
        <v>541</v>
      </c>
      <c r="D74" t="s">
        <v>24</v>
      </c>
      <c r="F74" s="3">
        <f t="shared" si="6"/>
        <v>0</v>
      </c>
      <c r="G74" s="3">
        <f t="shared" si="4"/>
        <v>0.61439999999999995</v>
      </c>
      <c r="H74" t="s">
        <v>976</v>
      </c>
      <c r="I74" t="s">
        <v>975</v>
      </c>
      <c r="J74" t="str">
        <f>+_xlfn.XLOOKUP(H74,Sheet1!C:C,Sheet1!D:D,"N/A",0)</f>
        <v>833</v>
      </c>
    </row>
    <row r="75" spans="1:10" x14ac:dyDescent="0.25">
      <c r="A75" t="s">
        <v>4</v>
      </c>
      <c r="B75" t="s">
        <v>5</v>
      </c>
      <c r="C75" t="s">
        <v>115</v>
      </c>
      <c r="D75" t="s">
        <v>116</v>
      </c>
      <c r="E75" s="1">
        <v>5.0000000000000001E-3</v>
      </c>
      <c r="F75" s="3">
        <f t="shared" si="6"/>
        <v>5.12</v>
      </c>
      <c r="G75" s="3">
        <f t="shared" si="4"/>
        <v>1.652736</v>
      </c>
      <c r="H75" t="str">
        <f t="shared" si="5"/>
        <v>CHL</v>
      </c>
      <c r="I75" t="str">
        <f>+_xlfn.XLOOKUP(H75,Sheet1!C:C,Sheet1!B:B,"N/A",0)</f>
        <v>CL</v>
      </c>
      <c r="J75" t="str">
        <f>+_xlfn.XLOOKUP(H75,Sheet1!C:C,Sheet1!D:D,"N/A",0)</f>
        <v>152</v>
      </c>
    </row>
    <row r="76" spans="1:10" x14ac:dyDescent="0.25">
      <c r="A76" t="s">
        <v>4</v>
      </c>
      <c r="B76" t="s">
        <v>5</v>
      </c>
      <c r="C76" t="s">
        <v>432</v>
      </c>
      <c r="D76" t="s">
        <v>116</v>
      </c>
      <c r="E76" s="1">
        <v>2E-3</v>
      </c>
      <c r="F76" s="3">
        <f t="shared" si="6"/>
        <v>2.048</v>
      </c>
      <c r="G76" s="3">
        <f t="shared" si="4"/>
        <v>1.652736</v>
      </c>
      <c r="H76" t="str">
        <f t="shared" si="5"/>
        <v>CHL</v>
      </c>
      <c r="I76" t="str">
        <f>+_xlfn.XLOOKUP(H76,Sheet1!C:C,Sheet1!B:B,"N/A",0)</f>
        <v>CL</v>
      </c>
      <c r="J76" t="str">
        <f>+_xlfn.XLOOKUP(H76,Sheet1!C:C,Sheet1!D:D,"N/A",0)</f>
        <v>152</v>
      </c>
    </row>
    <row r="77" spans="1:10" x14ac:dyDescent="0.25">
      <c r="A77" t="s">
        <v>4</v>
      </c>
      <c r="B77" t="s">
        <v>5</v>
      </c>
      <c r="C77" t="s">
        <v>535</v>
      </c>
      <c r="D77" t="s">
        <v>116</v>
      </c>
      <c r="E77" s="1">
        <v>1.614E-3</v>
      </c>
      <c r="F77" s="3">
        <f t="shared" si="6"/>
        <v>1.652736</v>
      </c>
      <c r="G77" s="3">
        <f t="shared" si="4"/>
        <v>1.652736</v>
      </c>
      <c r="H77" t="str">
        <f t="shared" si="5"/>
        <v>CHL</v>
      </c>
      <c r="I77" t="str">
        <f>+_xlfn.XLOOKUP(H77,Sheet1!C:C,Sheet1!B:B,"N/A",0)</f>
        <v>CL</v>
      </c>
      <c r="J77" t="str">
        <f>+_xlfn.XLOOKUP(H77,Sheet1!C:C,Sheet1!D:D,"N/A",0)</f>
        <v>152</v>
      </c>
    </row>
    <row r="78" spans="1:10" x14ac:dyDescent="0.25">
      <c r="A78" t="s">
        <v>4</v>
      </c>
      <c r="B78" t="s">
        <v>5</v>
      </c>
      <c r="C78" t="s">
        <v>433</v>
      </c>
      <c r="D78" t="s">
        <v>434</v>
      </c>
      <c r="E78" s="1">
        <v>1.8940000000000001E-3</v>
      </c>
      <c r="F78" s="3">
        <f t="shared" si="6"/>
        <v>1.9394560000000001</v>
      </c>
      <c r="G78" s="3">
        <f t="shared" si="4"/>
        <v>1.69472</v>
      </c>
      <c r="H78" t="str">
        <f t="shared" si="5"/>
        <v>CHN</v>
      </c>
      <c r="I78" t="str">
        <f>+_xlfn.XLOOKUP(H78,Sheet1!C:C,Sheet1!B:B,"N/A",0)</f>
        <v>CN</v>
      </c>
      <c r="J78" t="str">
        <f>+_xlfn.XLOOKUP(H78,Sheet1!C:C,Sheet1!D:D,"N/A",0)</f>
        <v>156</v>
      </c>
    </row>
    <row r="79" spans="1:10" x14ac:dyDescent="0.25">
      <c r="A79" t="s">
        <v>4</v>
      </c>
      <c r="B79" t="s">
        <v>5</v>
      </c>
      <c r="C79" t="s">
        <v>542</v>
      </c>
      <c r="D79" t="s">
        <v>434</v>
      </c>
      <c r="E79" s="1">
        <v>1.655E-3</v>
      </c>
      <c r="F79" s="3">
        <f t="shared" si="6"/>
        <v>1.69472</v>
      </c>
      <c r="G79" s="3">
        <f t="shared" si="4"/>
        <v>1.69472</v>
      </c>
      <c r="H79" t="str">
        <f t="shared" si="5"/>
        <v>CHN</v>
      </c>
      <c r="I79" t="str">
        <f>+_xlfn.XLOOKUP(H79,Sheet1!C:C,Sheet1!B:B,"N/A",0)</f>
        <v>CN</v>
      </c>
      <c r="J79" t="str">
        <f>+_xlfn.XLOOKUP(H79,Sheet1!C:C,Sheet1!D:D,"N/A",0)</f>
        <v>156</v>
      </c>
    </row>
    <row r="80" spans="1:10" x14ac:dyDescent="0.25">
      <c r="A80" t="s">
        <v>4</v>
      </c>
      <c r="B80" t="s">
        <v>5</v>
      </c>
      <c r="C80" t="s">
        <v>230</v>
      </c>
      <c r="D80" t="s">
        <v>231</v>
      </c>
      <c r="E80" s="1">
        <v>1E-3</v>
      </c>
      <c r="F80" s="3">
        <f t="shared" si="6"/>
        <v>1.024</v>
      </c>
      <c r="G80" s="3">
        <f t="shared" si="4"/>
        <v>1.024</v>
      </c>
      <c r="H80" t="str">
        <f t="shared" si="5"/>
        <v>COL</v>
      </c>
      <c r="I80" t="str">
        <f>+_xlfn.XLOOKUP(H80,Sheet1!C:C,Sheet1!B:B,"N/A",0)</f>
        <v>CO</v>
      </c>
      <c r="J80" t="str">
        <f>+_xlfn.XLOOKUP(H80,Sheet1!C:C,Sheet1!D:D,"N/A",0)</f>
        <v>170</v>
      </c>
    </row>
    <row r="81" spans="1:10" x14ac:dyDescent="0.25">
      <c r="A81" t="s">
        <v>4</v>
      </c>
      <c r="B81" t="s">
        <v>5</v>
      </c>
      <c r="C81" t="s">
        <v>320</v>
      </c>
      <c r="D81" t="s">
        <v>231</v>
      </c>
      <c r="E81" s="1">
        <v>2.0929999999999998E-3</v>
      </c>
      <c r="F81" s="3">
        <f t="shared" si="6"/>
        <v>2.1432319999999998</v>
      </c>
      <c r="G81" s="3">
        <f t="shared" si="4"/>
        <v>1.024</v>
      </c>
      <c r="H81" t="str">
        <f t="shared" si="5"/>
        <v>COL</v>
      </c>
      <c r="I81" t="str">
        <f>+_xlfn.XLOOKUP(H81,Sheet1!C:C,Sheet1!B:B,"N/A",0)</f>
        <v>CO</v>
      </c>
      <c r="J81" t="str">
        <f>+_xlfn.XLOOKUP(H81,Sheet1!C:C,Sheet1!D:D,"N/A",0)</f>
        <v>170</v>
      </c>
    </row>
    <row r="82" spans="1:10" x14ac:dyDescent="0.25">
      <c r="A82" t="s">
        <v>4</v>
      </c>
      <c r="B82" t="s">
        <v>5</v>
      </c>
      <c r="C82" t="s">
        <v>486</v>
      </c>
      <c r="D82" t="s">
        <v>231</v>
      </c>
      <c r="E82" s="1">
        <v>1.6130000000000001E-3</v>
      </c>
      <c r="F82" s="3">
        <f t="shared" si="6"/>
        <v>1.6517120000000001</v>
      </c>
      <c r="G82" s="3">
        <f t="shared" si="4"/>
        <v>1.024</v>
      </c>
      <c r="H82" t="str">
        <f t="shared" si="5"/>
        <v>COL</v>
      </c>
      <c r="I82" t="str">
        <f>+_xlfn.XLOOKUP(H82,Sheet1!C:C,Sheet1!B:B,"N/A",0)</f>
        <v>CO</v>
      </c>
      <c r="J82" t="str">
        <f>+_xlfn.XLOOKUP(H82,Sheet1!C:C,Sheet1!D:D,"N/A",0)</f>
        <v>170</v>
      </c>
    </row>
    <row r="83" spans="1:10" x14ac:dyDescent="0.25">
      <c r="A83" t="s">
        <v>4</v>
      </c>
      <c r="B83" t="s">
        <v>5</v>
      </c>
      <c r="C83" t="s">
        <v>525</v>
      </c>
      <c r="D83" t="s">
        <v>526</v>
      </c>
      <c r="E83" s="1">
        <v>1.921E-3</v>
      </c>
      <c r="F83" s="3">
        <f t="shared" si="6"/>
        <v>1.967104</v>
      </c>
      <c r="G83" s="3">
        <f t="shared" ref="G83:G146" si="7">_xlfn.MINIFS(F:F,D:D,D83,F:F,"&lt;&gt;0")</f>
        <v>1.967104</v>
      </c>
      <c r="H83" t="str">
        <f t="shared" ref="H83:H146" si="8">_xlfn.TEXTBEFORE(_xlfn.TEXTAFTER(C83,"("),")")</f>
        <v>COD</v>
      </c>
      <c r="I83" t="str">
        <f>+_xlfn.XLOOKUP(H83,Sheet1!C:C,Sheet1!B:B,"N/A",0)</f>
        <v>CD</v>
      </c>
      <c r="J83" t="str">
        <f>+_xlfn.XLOOKUP(H83,Sheet1!C:C,Sheet1!D:D,"N/A",0)</f>
        <v>180</v>
      </c>
    </row>
    <row r="84" spans="1:10" x14ac:dyDescent="0.25">
      <c r="A84" t="s">
        <v>4</v>
      </c>
      <c r="B84" t="s">
        <v>5</v>
      </c>
      <c r="C84" t="s">
        <v>553</v>
      </c>
      <c r="D84" t="s">
        <v>526</v>
      </c>
      <c r="E84" s="1">
        <v>6.6910999999999998E-2</v>
      </c>
      <c r="F84" s="3">
        <f t="shared" si="6"/>
        <v>68.516863999999998</v>
      </c>
      <c r="G84" s="3">
        <f t="shared" si="7"/>
        <v>1.967104</v>
      </c>
      <c r="H84" t="str">
        <f t="shared" si="8"/>
        <v>COD</v>
      </c>
      <c r="I84" t="str">
        <f>+_xlfn.XLOOKUP(H84,Sheet1!C:C,Sheet1!B:B,"N/A",0)</f>
        <v>CD</v>
      </c>
      <c r="J84" t="str">
        <f>+_xlfn.XLOOKUP(H84,Sheet1!C:C,Sheet1!D:D,"N/A",0)</f>
        <v>180</v>
      </c>
    </row>
    <row r="85" spans="1:10" x14ac:dyDescent="0.25">
      <c r="A85" t="s">
        <v>4</v>
      </c>
      <c r="B85" t="s">
        <v>5</v>
      </c>
      <c r="C85" t="s">
        <v>113</v>
      </c>
      <c r="D85" t="s">
        <v>114</v>
      </c>
      <c r="E85" s="1">
        <v>1E-3</v>
      </c>
      <c r="F85" s="3">
        <f t="shared" si="6"/>
        <v>1.024</v>
      </c>
      <c r="G85" s="3">
        <f t="shared" si="7"/>
        <v>1.024</v>
      </c>
      <c r="H85" t="str">
        <f t="shared" si="8"/>
        <v>CRI</v>
      </c>
      <c r="I85" t="str">
        <f>+_xlfn.XLOOKUP(H85,Sheet1!C:C,Sheet1!B:B,"N/A",0)</f>
        <v>CR</v>
      </c>
      <c r="J85" t="str">
        <f>+_xlfn.XLOOKUP(H85,Sheet1!C:C,Sheet1!D:D,"N/A",0)</f>
        <v>188</v>
      </c>
    </row>
    <row r="86" spans="1:10" x14ac:dyDescent="0.25">
      <c r="A86" t="s">
        <v>4</v>
      </c>
      <c r="B86" t="s">
        <v>5</v>
      </c>
      <c r="C86" t="s">
        <v>574</v>
      </c>
      <c r="D86" t="s">
        <v>114</v>
      </c>
      <c r="E86" s="1">
        <v>1.6130000000000001E-3</v>
      </c>
      <c r="F86" s="3">
        <f t="shared" si="6"/>
        <v>1.6517120000000001</v>
      </c>
      <c r="G86" s="3">
        <f t="shared" si="7"/>
        <v>1.024</v>
      </c>
      <c r="H86" t="str">
        <f t="shared" si="8"/>
        <v>CRI</v>
      </c>
      <c r="I86" t="str">
        <f>+_xlfn.XLOOKUP(H86,Sheet1!C:C,Sheet1!B:B,"N/A",0)</f>
        <v>CR</v>
      </c>
      <c r="J86" t="str">
        <f>+_xlfn.XLOOKUP(H86,Sheet1!C:C,Sheet1!D:D,"N/A",0)</f>
        <v>188</v>
      </c>
    </row>
    <row r="87" spans="1:10" x14ac:dyDescent="0.25">
      <c r="A87" t="s">
        <v>4</v>
      </c>
      <c r="B87" t="s">
        <v>5</v>
      </c>
      <c r="C87" t="s">
        <v>476</v>
      </c>
      <c r="D87" t="s">
        <v>477</v>
      </c>
      <c r="F87" s="3">
        <f t="shared" si="6"/>
        <v>0</v>
      </c>
      <c r="G87" s="3">
        <f t="shared" si="7"/>
        <v>0</v>
      </c>
      <c r="H87" t="str">
        <f t="shared" si="8"/>
        <v>HRV</v>
      </c>
      <c r="I87" t="str">
        <f>+_xlfn.XLOOKUP(H87,Sheet1!C:C,Sheet1!B:B,"N/A",0)</f>
        <v>HR</v>
      </c>
      <c r="J87" t="str">
        <f>+_xlfn.XLOOKUP(H87,Sheet1!C:C,Sheet1!D:D,"N/A",0)</f>
        <v>191</v>
      </c>
    </row>
    <row r="88" spans="1:10" x14ac:dyDescent="0.25">
      <c r="A88" t="s">
        <v>4</v>
      </c>
      <c r="B88" t="s">
        <v>5</v>
      </c>
      <c r="C88" t="s">
        <v>466</v>
      </c>
      <c r="D88" t="s">
        <v>467</v>
      </c>
      <c r="E88" s="1">
        <v>5.6094999999999999E-2</v>
      </c>
      <c r="F88" s="3">
        <f t="shared" si="6"/>
        <v>57.441279999999999</v>
      </c>
      <c r="G88" s="3">
        <f t="shared" si="7"/>
        <v>57.441279999999999</v>
      </c>
      <c r="H88" t="str">
        <f t="shared" si="8"/>
        <v>CUB</v>
      </c>
      <c r="I88" t="str">
        <f>+_xlfn.XLOOKUP(H88,Sheet1!C:C,Sheet1!B:B,"N/A",0)</f>
        <v>CU</v>
      </c>
      <c r="J88" t="str">
        <f>+_xlfn.XLOOKUP(H88,Sheet1!C:C,Sheet1!D:D,"N/A",0)</f>
        <v>192</v>
      </c>
    </row>
    <row r="89" spans="1:10" x14ac:dyDescent="0.25">
      <c r="A89" t="s">
        <v>4</v>
      </c>
      <c r="B89" t="s">
        <v>5</v>
      </c>
      <c r="C89" t="s">
        <v>70</v>
      </c>
      <c r="D89" t="s">
        <v>71</v>
      </c>
      <c r="E89" s="1">
        <v>4.75E-4</v>
      </c>
      <c r="F89" s="3">
        <f t="shared" si="6"/>
        <v>0.4864</v>
      </c>
      <c r="G89" s="3">
        <f t="shared" si="7"/>
        <v>0.25600000000000001</v>
      </c>
      <c r="H89" t="str">
        <f t="shared" si="8"/>
        <v>CYP</v>
      </c>
      <c r="I89" t="str">
        <f>+_xlfn.XLOOKUP(H89,Sheet1!C:C,Sheet1!B:B,"N/A",0)</f>
        <v>CY</v>
      </c>
      <c r="J89" t="str">
        <f>+_xlfn.XLOOKUP(H89,Sheet1!C:C,Sheet1!D:D,"N/A",0)</f>
        <v>196</v>
      </c>
    </row>
    <row r="90" spans="1:10" x14ac:dyDescent="0.25">
      <c r="A90" t="s">
        <v>4</v>
      </c>
      <c r="B90" t="s">
        <v>5</v>
      </c>
      <c r="C90" t="s">
        <v>518</v>
      </c>
      <c r="D90" t="s">
        <v>71</v>
      </c>
      <c r="E90" s="1">
        <v>5.7300000000000005E-4</v>
      </c>
      <c r="F90" s="3">
        <f t="shared" si="6"/>
        <v>0.58675200000000005</v>
      </c>
      <c r="G90" s="3">
        <f t="shared" si="7"/>
        <v>0.25600000000000001</v>
      </c>
      <c r="H90" t="str">
        <f t="shared" si="8"/>
        <v>CYP</v>
      </c>
      <c r="I90" t="str">
        <f>+_xlfn.XLOOKUP(H90,Sheet1!C:C,Sheet1!B:B,"N/A",0)</f>
        <v>CY</v>
      </c>
      <c r="J90" t="str">
        <f>+_xlfn.XLOOKUP(H90,Sheet1!C:C,Sheet1!D:D,"N/A",0)</f>
        <v>196</v>
      </c>
    </row>
    <row r="91" spans="1:10" x14ac:dyDescent="0.25">
      <c r="A91" t="s">
        <v>4</v>
      </c>
      <c r="B91" t="s">
        <v>5</v>
      </c>
      <c r="C91" t="s">
        <v>597</v>
      </c>
      <c r="D91" t="s">
        <v>71</v>
      </c>
      <c r="E91" s="1">
        <v>2.5000000000000001E-4</v>
      </c>
      <c r="F91" s="3">
        <f t="shared" si="6"/>
        <v>0.25600000000000001</v>
      </c>
      <c r="G91" s="3">
        <f t="shared" si="7"/>
        <v>0.25600000000000001</v>
      </c>
      <c r="H91" t="str">
        <f t="shared" si="8"/>
        <v>CYP</v>
      </c>
      <c r="I91" t="str">
        <f>+_xlfn.XLOOKUP(H91,Sheet1!C:C,Sheet1!B:B,"N/A",0)</f>
        <v>CY</v>
      </c>
      <c r="J91" t="str">
        <f>+_xlfn.XLOOKUP(H91,Sheet1!C:C,Sheet1!D:D,"N/A",0)</f>
        <v>196</v>
      </c>
    </row>
    <row r="92" spans="1:10" x14ac:dyDescent="0.25">
      <c r="A92" t="s">
        <v>4</v>
      </c>
      <c r="B92" t="s">
        <v>5</v>
      </c>
      <c r="C92" t="s">
        <v>98</v>
      </c>
      <c r="D92" t="s">
        <v>99</v>
      </c>
      <c r="E92" s="1">
        <v>7.6599999999999997E-4</v>
      </c>
      <c r="F92" s="3">
        <f t="shared" si="6"/>
        <v>0.78438399999999997</v>
      </c>
      <c r="G92" s="3">
        <f t="shared" si="7"/>
        <v>0.53043200000000001</v>
      </c>
      <c r="H92" t="str">
        <f t="shared" si="8"/>
        <v>CZE</v>
      </c>
      <c r="I92" t="str">
        <f>+_xlfn.XLOOKUP(H92,Sheet1!C:C,Sheet1!B:B,"N/A",0)</f>
        <v>CZ</v>
      </c>
      <c r="J92" t="str">
        <f>+_xlfn.XLOOKUP(H92,Sheet1!C:C,Sheet1!D:D,"N/A",0)</f>
        <v>203</v>
      </c>
    </row>
    <row r="93" spans="1:10" x14ac:dyDescent="0.25">
      <c r="A93" t="s">
        <v>4</v>
      </c>
      <c r="B93" t="s">
        <v>5</v>
      </c>
      <c r="C93" t="s">
        <v>408</v>
      </c>
      <c r="D93" t="s">
        <v>99</v>
      </c>
      <c r="E93" s="1">
        <v>8.5999999999999998E-4</v>
      </c>
      <c r="F93" s="3">
        <f t="shared" si="6"/>
        <v>0.88063999999999998</v>
      </c>
      <c r="G93" s="3">
        <f t="shared" si="7"/>
        <v>0.53043200000000001</v>
      </c>
      <c r="H93" t="str">
        <f t="shared" si="8"/>
        <v>CZE</v>
      </c>
      <c r="I93" t="str">
        <f>+_xlfn.XLOOKUP(H93,Sheet1!C:C,Sheet1!B:B,"N/A",0)</f>
        <v>CZ</v>
      </c>
      <c r="J93" t="str">
        <f>+_xlfn.XLOOKUP(H93,Sheet1!C:C,Sheet1!D:D,"N/A",0)</f>
        <v>203</v>
      </c>
    </row>
    <row r="94" spans="1:10" x14ac:dyDescent="0.25">
      <c r="A94" t="s">
        <v>4</v>
      </c>
      <c r="B94" t="s">
        <v>5</v>
      </c>
      <c r="C94" t="s">
        <v>484</v>
      </c>
      <c r="D94" t="s">
        <v>99</v>
      </c>
      <c r="E94" s="1">
        <v>5.1800000000000001E-4</v>
      </c>
      <c r="F94" s="3">
        <f t="shared" si="6"/>
        <v>0.53043200000000001</v>
      </c>
      <c r="G94" s="3">
        <f t="shared" si="7"/>
        <v>0.53043200000000001</v>
      </c>
      <c r="H94" t="str">
        <f t="shared" si="8"/>
        <v>CZE</v>
      </c>
      <c r="I94" t="str">
        <f>+_xlfn.XLOOKUP(H94,Sheet1!C:C,Sheet1!B:B,"N/A",0)</f>
        <v>CZ</v>
      </c>
      <c r="J94" t="str">
        <f>+_xlfn.XLOOKUP(H94,Sheet1!C:C,Sheet1!D:D,"N/A",0)</f>
        <v>203</v>
      </c>
    </row>
    <row r="95" spans="1:10" x14ac:dyDescent="0.25">
      <c r="A95" t="s">
        <v>4</v>
      </c>
      <c r="B95" t="s">
        <v>5</v>
      </c>
      <c r="C95" t="s">
        <v>111</v>
      </c>
      <c r="D95" t="s">
        <v>112</v>
      </c>
      <c r="E95" s="1">
        <v>2.5500000000000002E-4</v>
      </c>
      <c r="F95" s="3">
        <f t="shared" si="6"/>
        <v>0.26112000000000002</v>
      </c>
      <c r="G95" s="3">
        <f t="shared" si="7"/>
        <v>0.26112000000000002</v>
      </c>
      <c r="H95" t="str">
        <f t="shared" si="8"/>
        <v>DNK</v>
      </c>
      <c r="I95" t="str">
        <f>+_xlfn.XLOOKUP(H95,Sheet1!C:C,Sheet1!B:B,"N/A",0)</f>
        <v>DK</v>
      </c>
      <c r="J95" t="str">
        <f>+_xlfn.XLOOKUP(H95,Sheet1!C:C,Sheet1!D:D,"N/A",0)</f>
        <v>208</v>
      </c>
    </row>
    <row r="96" spans="1:10" x14ac:dyDescent="0.25">
      <c r="A96" t="s">
        <v>4</v>
      </c>
      <c r="B96" t="s">
        <v>5</v>
      </c>
      <c r="C96" t="s">
        <v>149</v>
      </c>
      <c r="D96" t="s">
        <v>112</v>
      </c>
      <c r="E96" s="1">
        <v>3.1399999999999999E-4</v>
      </c>
      <c r="F96" s="3">
        <f t="shared" si="6"/>
        <v>0.32153599999999999</v>
      </c>
      <c r="G96" s="3">
        <f t="shared" si="7"/>
        <v>0.26112000000000002</v>
      </c>
      <c r="H96" t="str">
        <f t="shared" si="8"/>
        <v>DNK</v>
      </c>
      <c r="I96" t="str">
        <f>+_xlfn.XLOOKUP(H96,Sheet1!C:C,Sheet1!B:B,"N/A",0)</f>
        <v>DK</v>
      </c>
      <c r="J96" t="str">
        <f>+_xlfn.XLOOKUP(H96,Sheet1!C:C,Sheet1!D:D,"N/A",0)</f>
        <v>208</v>
      </c>
    </row>
    <row r="97" spans="1:10" x14ac:dyDescent="0.25">
      <c r="A97" t="s">
        <v>4</v>
      </c>
      <c r="B97" t="s">
        <v>5</v>
      </c>
      <c r="C97" t="s">
        <v>265</v>
      </c>
      <c r="D97" t="s">
        <v>112</v>
      </c>
      <c r="E97" s="1">
        <v>8.1400000000000005E-4</v>
      </c>
      <c r="F97" s="3">
        <f t="shared" si="6"/>
        <v>0.83353600000000005</v>
      </c>
      <c r="G97" s="3">
        <f t="shared" si="7"/>
        <v>0.26112000000000002</v>
      </c>
      <c r="H97" t="str">
        <f t="shared" si="8"/>
        <v>DNK</v>
      </c>
      <c r="I97" t="str">
        <f>+_xlfn.XLOOKUP(H97,Sheet1!C:C,Sheet1!B:B,"N/A",0)</f>
        <v>DK</v>
      </c>
      <c r="J97" t="str">
        <f>+_xlfn.XLOOKUP(H97,Sheet1!C:C,Sheet1!D:D,"N/A",0)</f>
        <v>208</v>
      </c>
    </row>
    <row r="98" spans="1:10" x14ac:dyDescent="0.25">
      <c r="A98" t="s">
        <v>4</v>
      </c>
      <c r="B98" t="s">
        <v>5</v>
      </c>
      <c r="C98" t="s">
        <v>286</v>
      </c>
      <c r="D98" t="s">
        <v>112</v>
      </c>
      <c r="E98" s="1">
        <v>3.3500000000000001E-4</v>
      </c>
      <c r="F98" s="3">
        <f t="shared" si="6"/>
        <v>0.34304000000000001</v>
      </c>
      <c r="G98" s="3">
        <f t="shared" si="7"/>
        <v>0.26112000000000002</v>
      </c>
      <c r="H98" t="str">
        <f t="shared" si="8"/>
        <v>DNK</v>
      </c>
      <c r="I98" t="str">
        <f>+_xlfn.XLOOKUP(H98,Sheet1!C:C,Sheet1!B:B,"N/A",0)</f>
        <v>DK</v>
      </c>
      <c r="J98" t="str">
        <f>+_xlfn.XLOOKUP(H98,Sheet1!C:C,Sheet1!D:D,"N/A",0)</f>
        <v>208</v>
      </c>
    </row>
    <row r="99" spans="1:10" x14ac:dyDescent="0.25">
      <c r="A99" t="s">
        <v>4</v>
      </c>
      <c r="B99" t="s">
        <v>5</v>
      </c>
      <c r="C99" t="s">
        <v>404</v>
      </c>
      <c r="D99" t="s">
        <v>405</v>
      </c>
      <c r="E99" s="1">
        <v>3.0000000000000001E-3</v>
      </c>
      <c r="F99" s="3">
        <f t="shared" si="6"/>
        <v>3.0720000000000001</v>
      </c>
      <c r="G99" s="3">
        <f t="shared" si="7"/>
        <v>3.0720000000000001</v>
      </c>
      <c r="H99" t="str">
        <f t="shared" si="8"/>
        <v>DMA</v>
      </c>
      <c r="I99" t="str">
        <f>+_xlfn.XLOOKUP(H99,Sheet1!C:C,Sheet1!B:B,"N/A",0)</f>
        <v>DM</v>
      </c>
      <c r="J99" t="str">
        <f>+_xlfn.XLOOKUP(H99,Sheet1!C:C,Sheet1!D:D,"N/A",0)</f>
        <v>212</v>
      </c>
    </row>
    <row r="100" spans="1:10" x14ac:dyDescent="0.25">
      <c r="A100" t="s">
        <v>4</v>
      </c>
      <c r="B100" t="s">
        <v>5</v>
      </c>
      <c r="C100" t="s">
        <v>197</v>
      </c>
      <c r="D100" t="s">
        <v>198</v>
      </c>
      <c r="E100" s="1">
        <v>1.6000000000000001E-3</v>
      </c>
      <c r="F100" s="3">
        <f t="shared" si="6"/>
        <v>1.6384000000000001</v>
      </c>
      <c r="G100" s="3">
        <f t="shared" si="7"/>
        <v>1.6384000000000001</v>
      </c>
      <c r="H100" t="str">
        <f t="shared" si="8"/>
        <v>DOM</v>
      </c>
      <c r="I100" t="str">
        <f>+_xlfn.XLOOKUP(H100,Sheet1!C:C,Sheet1!B:B,"N/A",0)</f>
        <v>DO</v>
      </c>
      <c r="J100" t="str">
        <f>+_xlfn.XLOOKUP(H100,Sheet1!C:C,Sheet1!D:D,"N/A",0)</f>
        <v>214</v>
      </c>
    </row>
    <row r="101" spans="1:10" x14ac:dyDescent="0.25">
      <c r="A101" t="s">
        <v>4</v>
      </c>
      <c r="B101" t="s">
        <v>5</v>
      </c>
      <c r="C101" t="s">
        <v>581</v>
      </c>
      <c r="D101" t="s">
        <v>582</v>
      </c>
      <c r="E101" s="1">
        <v>3.5874000000000003E-2</v>
      </c>
      <c r="F101" s="3">
        <f t="shared" si="6"/>
        <v>36.734976000000003</v>
      </c>
      <c r="G101" s="3">
        <f t="shared" si="7"/>
        <v>36.734976000000003</v>
      </c>
      <c r="H101" t="str">
        <f t="shared" si="8"/>
        <v>TLS</v>
      </c>
      <c r="I101" t="str">
        <f>+_xlfn.XLOOKUP(H101,Sheet1!C:C,Sheet1!B:B,"N/A",0)</f>
        <v>TL</v>
      </c>
      <c r="J101" t="str">
        <f>+_xlfn.XLOOKUP(H101,Sheet1!C:C,Sheet1!D:D,"N/A",0)</f>
        <v>626</v>
      </c>
    </row>
    <row r="102" spans="1:10" x14ac:dyDescent="0.25">
      <c r="A102" t="s">
        <v>4</v>
      </c>
      <c r="B102" t="s">
        <v>5</v>
      </c>
      <c r="C102" t="s">
        <v>77</v>
      </c>
      <c r="D102" t="s">
        <v>78</v>
      </c>
      <c r="E102" s="1">
        <v>1.6130000000000001E-3</v>
      </c>
      <c r="F102" s="3">
        <f t="shared" si="6"/>
        <v>1.6517120000000001</v>
      </c>
      <c r="G102" s="3">
        <f t="shared" si="7"/>
        <v>1.6517120000000001</v>
      </c>
      <c r="H102" t="str">
        <f t="shared" si="8"/>
        <v>ECU</v>
      </c>
      <c r="I102" t="str">
        <f>+_xlfn.XLOOKUP(H102,Sheet1!C:C,Sheet1!B:B,"N/A",0)</f>
        <v>EC</v>
      </c>
      <c r="J102" t="str">
        <f>+_xlfn.XLOOKUP(H102,Sheet1!C:C,Sheet1!D:D,"N/A",0)</f>
        <v>218</v>
      </c>
    </row>
    <row r="103" spans="1:10" x14ac:dyDescent="0.25">
      <c r="A103" t="s">
        <v>4</v>
      </c>
      <c r="B103" t="s">
        <v>5</v>
      </c>
      <c r="C103" t="s">
        <v>216</v>
      </c>
      <c r="D103" t="s">
        <v>217</v>
      </c>
      <c r="E103" s="1">
        <v>8.0800000000000002E-4</v>
      </c>
      <c r="F103" s="3">
        <f t="shared" si="6"/>
        <v>0.82739200000000002</v>
      </c>
      <c r="G103" s="3">
        <f t="shared" si="7"/>
        <v>0.82739200000000002</v>
      </c>
      <c r="H103" t="str">
        <f t="shared" si="8"/>
        <v>EGY</v>
      </c>
      <c r="I103" t="str">
        <f>+_xlfn.XLOOKUP(H103,Sheet1!C:C,Sheet1!B:B,"N/A",0)</f>
        <v>EG</v>
      </c>
      <c r="J103" t="str">
        <f>+_xlfn.XLOOKUP(H103,Sheet1!C:C,Sheet1!D:D,"N/A",0)</f>
        <v>818</v>
      </c>
    </row>
    <row r="104" spans="1:10" x14ac:dyDescent="0.25">
      <c r="A104" t="s">
        <v>4</v>
      </c>
      <c r="B104" t="s">
        <v>5</v>
      </c>
      <c r="C104" t="s">
        <v>340</v>
      </c>
      <c r="D104" t="s">
        <v>217</v>
      </c>
      <c r="E104" s="1">
        <v>2.9160000000000002E-3</v>
      </c>
      <c r="F104" s="3">
        <f t="shared" si="6"/>
        <v>2.9859840000000002</v>
      </c>
      <c r="G104" s="3">
        <f t="shared" si="7"/>
        <v>0.82739200000000002</v>
      </c>
      <c r="H104" t="str">
        <f t="shared" si="8"/>
        <v>EGY</v>
      </c>
      <c r="I104" t="str">
        <f>+_xlfn.XLOOKUP(H104,Sheet1!C:C,Sheet1!B:B,"N/A",0)</f>
        <v>EG</v>
      </c>
      <c r="J104" t="str">
        <f>+_xlfn.XLOOKUP(H104,Sheet1!C:C,Sheet1!D:D,"N/A",0)</f>
        <v>818</v>
      </c>
    </row>
    <row r="105" spans="1:10" x14ac:dyDescent="0.25">
      <c r="A105" t="s">
        <v>4</v>
      </c>
      <c r="B105" t="s">
        <v>5</v>
      </c>
      <c r="C105" t="s">
        <v>557</v>
      </c>
      <c r="D105" t="s">
        <v>217</v>
      </c>
      <c r="E105" s="1">
        <v>3.3509999999999998E-3</v>
      </c>
      <c r="F105" s="3">
        <f t="shared" si="6"/>
        <v>3.4314239999999998</v>
      </c>
      <c r="G105" s="3">
        <f t="shared" si="7"/>
        <v>0.82739200000000002</v>
      </c>
      <c r="H105" t="str">
        <f t="shared" si="8"/>
        <v>EGY</v>
      </c>
      <c r="I105" t="str">
        <f>+_xlfn.XLOOKUP(H105,Sheet1!C:C,Sheet1!B:B,"N/A",0)</f>
        <v>EG</v>
      </c>
      <c r="J105" t="str">
        <f>+_xlfn.XLOOKUP(H105,Sheet1!C:C,Sheet1!D:D,"N/A",0)</f>
        <v>818</v>
      </c>
    </row>
    <row r="106" spans="1:10" x14ac:dyDescent="0.25">
      <c r="A106" t="s">
        <v>4</v>
      </c>
      <c r="B106" t="s">
        <v>5</v>
      </c>
      <c r="C106" t="s">
        <v>134</v>
      </c>
      <c r="D106" t="s">
        <v>135</v>
      </c>
      <c r="E106" s="1">
        <v>2.0929999999999998E-3</v>
      </c>
      <c r="F106" s="3">
        <f t="shared" si="6"/>
        <v>2.1432319999999998</v>
      </c>
      <c r="G106" s="3">
        <f t="shared" si="7"/>
        <v>1.024</v>
      </c>
      <c r="H106" t="str">
        <f t="shared" si="8"/>
        <v>SLV</v>
      </c>
      <c r="I106" t="str">
        <f>+_xlfn.XLOOKUP(H106,Sheet1!C:C,Sheet1!B:B,"N/A",0)</f>
        <v>SV</v>
      </c>
      <c r="J106" t="str">
        <f>+_xlfn.XLOOKUP(H106,Sheet1!C:C,Sheet1!D:D,"N/A",0)</f>
        <v>222</v>
      </c>
    </row>
    <row r="107" spans="1:10" x14ac:dyDescent="0.25">
      <c r="A107" t="s">
        <v>4</v>
      </c>
      <c r="B107" t="s">
        <v>5</v>
      </c>
      <c r="C107" t="s">
        <v>450</v>
      </c>
      <c r="D107" t="s">
        <v>135</v>
      </c>
      <c r="E107" s="1">
        <v>1E-3</v>
      </c>
      <c r="F107" s="3">
        <f t="shared" si="6"/>
        <v>1.024</v>
      </c>
      <c r="G107" s="3">
        <f t="shared" si="7"/>
        <v>1.024</v>
      </c>
      <c r="H107" t="str">
        <f t="shared" si="8"/>
        <v>SLV</v>
      </c>
      <c r="I107" t="str">
        <f>+_xlfn.XLOOKUP(H107,Sheet1!C:C,Sheet1!B:B,"N/A",0)</f>
        <v>SV</v>
      </c>
      <c r="J107" t="str">
        <f>+_xlfn.XLOOKUP(H107,Sheet1!C:C,Sheet1!D:D,"N/A",0)</f>
        <v>222</v>
      </c>
    </row>
    <row r="108" spans="1:10" x14ac:dyDescent="0.25">
      <c r="A108" t="s">
        <v>4</v>
      </c>
      <c r="B108" t="s">
        <v>5</v>
      </c>
      <c r="C108" t="s">
        <v>382</v>
      </c>
      <c r="D108" t="s">
        <v>383</v>
      </c>
      <c r="E108" s="1">
        <v>3.3500000000000001E-4</v>
      </c>
      <c r="F108" s="3">
        <f t="shared" si="6"/>
        <v>0.34304000000000001</v>
      </c>
      <c r="G108" s="3">
        <f t="shared" si="7"/>
        <v>0.30719999999999997</v>
      </c>
      <c r="H108" t="str">
        <f t="shared" si="8"/>
        <v>EST</v>
      </c>
      <c r="I108" t="str">
        <f>+_xlfn.XLOOKUP(H108,Sheet1!C:C,Sheet1!B:B,"N/A",0)</f>
        <v>EE</v>
      </c>
      <c r="J108" t="str">
        <f>+_xlfn.XLOOKUP(H108,Sheet1!C:C,Sheet1!D:D,"N/A",0)</f>
        <v>233</v>
      </c>
    </row>
    <row r="109" spans="1:10" x14ac:dyDescent="0.25">
      <c r="A109" t="s">
        <v>4</v>
      </c>
      <c r="B109" t="s">
        <v>5</v>
      </c>
      <c r="C109" t="s">
        <v>551</v>
      </c>
      <c r="D109" t="s">
        <v>383</v>
      </c>
      <c r="E109" s="1">
        <v>5.2400000000000005E-4</v>
      </c>
      <c r="F109" s="3">
        <f t="shared" si="6"/>
        <v>0.53657600000000005</v>
      </c>
      <c r="G109" s="3">
        <f t="shared" si="7"/>
        <v>0.30719999999999997</v>
      </c>
      <c r="H109" t="str">
        <f t="shared" si="8"/>
        <v>EST</v>
      </c>
      <c r="I109" t="str">
        <f>+_xlfn.XLOOKUP(H109,Sheet1!C:C,Sheet1!B:B,"N/A",0)</f>
        <v>EE</v>
      </c>
      <c r="J109" t="str">
        <f>+_xlfn.XLOOKUP(H109,Sheet1!C:C,Sheet1!D:D,"N/A",0)</f>
        <v>233</v>
      </c>
    </row>
    <row r="110" spans="1:10" x14ac:dyDescent="0.25">
      <c r="A110" t="s">
        <v>4</v>
      </c>
      <c r="B110" t="s">
        <v>5</v>
      </c>
      <c r="C110" t="s">
        <v>566</v>
      </c>
      <c r="D110" t="s">
        <v>383</v>
      </c>
      <c r="E110" s="1">
        <v>2.9999999999999997E-4</v>
      </c>
      <c r="F110" s="3">
        <f t="shared" si="6"/>
        <v>0.30719999999999997</v>
      </c>
      <c r="G110" s="3">
        <f t="shared" si="7"/>
        <v>0.30719999999999997</v>
      </c>
      <c r="H110" t="str">
        <f t="shared" si="8"/>
        <v>EST</v>
      </c>
      <c r="I110" t="str">
        <f>+_xlfn.XLOOKUP(H110,Sheet1!C:C,Sheet1!B:B,"N/A",0)</f>
        <v>EE</v>
      </c>
      <c r="J110" t="str">
        <f>+_xlfn.XLOOKUP(H110,Sheet1!C:C,Sheet1!D:D,"N/A",0)</f>
        <v>233</v>
      </c>
    </row>
    <row r="111" spans="1:10" x14ac:dyDescent="0.25">
      <c r="A111" t="s">
        <v>4</v>
      </c>
      <c r="B111" t="s">
        <v>5</v>
      </c>
      <c r="C111" t="s">
        <v>539</v>
      </c>
      <c r="D111" t="s">
        <v>540</v>
      </c>
      <c r="E111" s="1">
        <v>9.4399999999999998E-2</v>
      </c>
      <c r="F111" s="3">
        <f t="shared" si="6"/>
        <v>96.665599999999998</v>
      </c>
      <c r="G111" s="3">
        <f t="shared" si="7"/>
        <v>96.665599999999998</v>
      </c>
      <c r="H111" t="str">
        <f t="shared" si="8"/>
        <v>ETH</v>
      </c>
      <c r="I111" t="str">
        <f>+_xlfn.XLOOKUP(H111,Sheet1!C:C,Sheet1!B:B,"N/A",0)</f>
        <v>ET</v>
      </c>
      <c r="J111" t="str">
        <f>+_xlfn.XLOOKUP(H111,Sheet1!C:C,Sheet1!D:D,"N/A",0)</f>
        <v>231</v>
      </c>
    </row>
    <row r="112" spans="1:10" x14ac:dyDescent="0.25">
      <c r="A112" t="s">
        <v>4</v>
      </c>
      <c r="B112" t="s">
        <v>5</v>
      </c>
      <c r="C112" t="s">
        <v>66</v>
      </c>
      <c r="D112" t="s">
        <v>67</v>
      </c>
      <c r="E112" s="1">
        <v>1.25E-3</v>
      </c>
      <c r="F112" s="3">
        <f t="shared" si="6"/>
        <v>1.28</v>
      </c>
      <c r="G112" s="3">
        <f t="shared" si="7"/>
        <v>1.28</v>
      </c>
      <c r="H112" t="str">
        <f t="shared" si="8"/>
        <v>FRO</v>
      </c>
      <c r="I112" t="str">
        <f>+_xlfn.XLOOKUP(H112,Sheet1!C:C,Sheet1!B:B,"N/A",0)</f>
        <v>FO</v>
      </c>
      <c r="J112" t="str">
        <f>+_xlfn.XLOOKUP(H112,Sheet1!C:C,Sheet1!D:D,"N/A",0)</f>
        <v>234</v>
      </c>
    </row>
    <row r="113" spans="1:10" x14ac:dyDescent="0.25">
      <c r="A113" t="s">
        <v>4</v>
      </c>
      <c r="B113" t="s">
        <v>5</v>
      </c>
      <c r="C113" t="s">
        <v>48</v>
      </c>
      <c r="D113" t="s">
        <v>49</v>
      </c>
      <c r="E113" s="1">
        <v>0.01</v>
      </c>
      <c r="F113" s="3">
        <f t="shared" si="6"/>
        <v>10.24</v>
      </c>
      <c r="G113" s="3">
        <f t="shared" si="7"/>
        <v>10.24</v>
      </c>
      <c r="H113" t="str">
        <f t="shared" si="8"/>
        <v>FJI</v>
      </c>
      <c r="I113" t="str">
        <f>+_xlfn.XLOOKUP(H113,Sheet1!C:C,Sheet1!B:B,"N/A",0)</f>
        <v>FJ</v>
      </c>
      <c r="J113" t="str">
        <f>+_xlfn.XLOOKUP(H113,Sheet1!C:C,Sheet1!D:D,"N/A",0)</f>
        <v>242</v>
      </c>
    </row>
    <row r="114" spans="1:10" x14ac:dyDescent="0.25">
      <c r="A114" t="s">
        <v>4</v>
      </c>
      <c r="B114" t="s">
        <v>5</v>
      </c>
      <c r="C114" t="s">
        <v>104</v>
      </c>
      <c r="D114" t="s">
        <v>105</v>
      </c>
      <c r="E114" s="1">
        <v>2.9999999999999997E-4</v>
      </c>
      <c r="F114" s="3">
        <f t="shared" si="6"/>
        <v>0.30719999999999997</v>
      </c>
      <c r="G114" s="3">
        <f t="shared" si="7"/>
        <v>0.26112000000000002</v>
      </c>
      <c r="H114" t="str">
        <f t="shared" si="8"/>
        <v>FIN</v>
      </c>
      <c r="I114" t="str">
        <f>+_xlfn.XLOOKUP(H114,Sheet1!C:C,Sheet1!B:B,"N/A",0)</f>
        <v>FI</v>
      </c>
      <c r="J114" t="str">
        <f>+_xlfn.XLOOKUP(H114,Sheet1!C:C,Sheet1!D:D,"N/A",0)</f>
        <v>246</v>
      </c>
    </row>
    <row r="115" spans="1:10" x14ac:dyDescent="0.25">
      <c r="A115" t="s">
        <v>4</v>
      </c>
      <c r="B115" t="s">
        <v>5</v>
      </c>
      <c r="C115" t="s">
        <v>378</v>
      </c>
      <c r="D115" t="s">
        <v>105</v>
      </c>
      <c r="E115" s="1">
        <v>2.5500000000000002E-4</v>
      </c>
      <c r="F115" s="3">
        <f t="shared" si="6"/>
        <v>0.26112000000000002</v>
      </c>
      <c r="G115" s="3">
        <f t="shared" si="7"/>
        <v>0.26112000000000002</v>
      </c>
      <c r="H115" t="str">
        <f t="shared" si="8"/>
        <v>FIN</v>
      </c>
      <c r="I115" t="str">
        <f>+_xlfn.XLOOKUP(H115,Sheet1!C:C,Sheet1!B:B,"N/A",0)</f>
        <v>FI</v>
      </c>
      <c r="J115" t="str">
        <f>+_xlfn.XLOOKUP(H115,Sheet1!C:C,Sheet1!D:D,"N/A",0)</f>
        <v>246</v>
      </c>
    </row>
    <row r="116" spans="1:10" x14ac:dyDescent="0.25">
      <c r="A116" t="s">
        <v>4</v>
      </c>
      <c r="B116" t="s">
        <v>5</v>
      </c>
      <c r="C116" t="s">
        <v>391</v>
      </c>
      <c r="D116" t="s">
        <v>105</v>
      </c>
      <c r="E116" s="1">
        <v>3.3500000000000001E-4</v>
      </c>
      <c r="F116" s="3">
        <f t="shared" si="6"/>
        <v>0.34304000000000001</v>
      </c>
      <c r="G116" s="3">
        <f t="shared" si="7"/>
        <v>0.26112000000000002</v>
      </c>
      <c r="H116" t="str">
        <f t="shared" si="8"/>
        <v>FIN</v>
      </c>
      <c r="I116" t="str">
        <f>+_xlfn.XLOOKUP(H116,Sheet1!C:C,Sheet1!B:B,"N/A",0)</f>
        <v>FI</v>
      </c>
      <c r="J116" t="str">
        <f>+_xlfn.XLOOKUP(H116,Sheet1!C:C,Sheet1!D:D,"N/A",0)</f>
        <v>246</v>
      </c>
    </row>
    <row r="117" spans="1:10" x14ac:dyDescent="0.25">
      <c r="A117" t="s">
        <v>4</v>
      </c>
      <c r="B117" t="s">
        <v>5</v>
      </c>
      <c r="C117" t="s">
        <v>42</v>
      </c>
      <c r="D117" t="s">
        <v>43</v>
      </c>
      <c r="E117" s="1">
        <v>5.3799999999999996E-4</v>
      </c>
      <c r="F117" s="3">
        <f t="shared" si="6"/>
        <v>0.55091199999999996</v>
      </c>
      <c r="G117" s="3">
        <f t="shared" si="7"/>
        <v>0.44646400000000003</v>
      </c>
      <c r="H117" t="str">
        <f t="shared" si="8"/>
        <v>FRA</v>
      </c>
      <c r="I117" t="str">
        <f>+_xlfn.XLOOKUP(H117,Sheet1!C:C,Sheet1!B:B,"N/A",0)</f>
        <v>FR</v>
      </c>
      <c r="J117" t="str">
        <f>+_xlfn.XLOOKUP(H117,Sheet1!C:C,Sheet1!D:D,"N/A",0)</f>
        <v>250</v>
      </c>
    </row>
    <row r="118" spans="1:10" x14ac:dyDescent="0.25">
      <c r="A118" t="s">
        <v>4</v>
      </c>
      <c r="B118" t="s">
        <v>5</v>
      </c>
      <c r="C118" t="s">
        <v>471</v>
      </c>
      <c r="D118" t="s">
        <v>43</v>
      </c>
      <c r="E118" s="1">
        <v>5.0799999999999999E-4</v>
      </c>
      <c r="F118" s="3">
        <f t="shared" si="6"/>
        <v>0.52019199999999999</v>
      </c>
      <c r="G118" s="3">
        <f t="shared" si="7"/>
        <v>0.44646400000000003</v>
      </c>
      <c r="H118" t="str">
        <f t="shared" si="8"/>
        <v>FRA</v>
      </c>
      <c r="I118" t="str">
        <f>+_xlfn.XLOOKUP(H118,Sheet1!C:C,Sheet1!B:B,"N/A",0)</f>
        <v>FR</v>
      </c>
      <c r="J118" t="str">
        <f>+_xlfn.XLOOKUP(H118,Sheet1!C:C,Sheet1!D:D,"N/A",0)</f>
        <v>250</v>
      </c>
    </row>
    <row r="119" spans="1:10" x14ac:dyDescent="0.25">
      <c r="A119" t="s">
        <v>4</v>
      </c>
      <c r="B119" t="s">
        <v>5</v>
      </c>
      <c r="C119" t="s">
        <v>554</v>
      </c>
      <c r="D119" t="s">
        <v>43</v>
      </c>
      <c r="E119" s="1">
        <v>7.18E-4</v>
      </c>
      <c r="F119" s="3">
        <f t="shared" si="6"/>
        <v>0.735232</v>
      </c>
      <c r="G119" s="3">
        <f t="shared" si="7"/>
        <v>0.44646400000000003</v>
      </c>
      <c r="H119" t="str">
        <f t="shared" si="8"/>
        <v>FRA</v>
      </c>
      <c r="I119" t="str">
        <f>+_xlfn.XLOOKUP(H119,Sheet1!C:C,Sheet1!B:B,"N/A",0)</f>
        <v>FR</v>
      </c>
      <c r="J119" t="str">
        <f>+_xlfn.XLOOKUP(H119,Sheet1!C:C,Sheet1!D:D,"N/A",0)</f>
        <v>250</v>
      </c>
    </row>
    <row r="120" spans="1:10" x14ac:dyDescent="0.25">
      <c r="A120" t="s">
        <v>4</v>
      </c>
      <c r="B120" t="s">
        <v>5</v>
      </c>
      <c r="C120" t="s">
        <v>580</v>
      </c>
      <c r="D120" t="s">
        <v>43</v>
      </c>
      <c r="E120" s="1">
        <v>4.3600000000000003E-4</v>
      </c>
      <c r="F120" s="3">
        <f t="shared" si="6"/>
        <v>0.44646400000000003</v>
      </c>
      <c r="G120" s="3">
        <f t="shared" si="7"/>
        <v>0.44646400000000003</v>
      </c>
      <c r="H120" t="str">
        <f t="shared" si="8"/>
        <v>FRA</v>
      </c>
      <c r="I120" t="str">
        <f>+_xlfn.XLOOKUP(H120,Sheet1!C:C,Sheet1!B:B,"N/A",0)</f>
        <v>FR</v>
      </c>
      <c r="J120" t="str">
        <f>+_xlfn.XLOOKUP(H120,Sheet1!C:C,Sheet1!D:D,"N/A",0)</f>
        <v>250</v>
      </c>
    </row>
    <row r="121" spans="1:10" x14ac:dyDescent="0.25">
      <c r="A121" t="s">
        <v>4</v>
      </c>
      <c r="B121" t="s">
        <v>5</v>
      </c>
      <c r="C121" t="s">
        <v>83</v>
      </c>
      <c r="D121" t="s">
        <v>84</v>
      </c>
      <c r="E121" s="1">
        <v>4.0870000000000004E-3</v>
      </c>
      <c r="F121" s="3">
        <f t="shared" si="6"/>
        <v>4.1850880000000004</v>
      </c>
      <c r="G121" s="3">
        <f t="shared" si="7"/>
        <v>4.1850880000000004</v>
      </c>
      <c r="H121" t="str">
        <f t="shared" si="8"/>
        <v>PYF</v>
      </c>
      <c r="I121" t="str">
        <f>+_xlfn.XLOOKUP(H121,Sheet1!C:C,Sheet1!B:B,"N/A",0)</f>
        <v>PF</v>
      </c>
      <c r="J121" t="str">
        <f>+_xlfn.XLOOKUP(H121,Sheet1!C:C,Sheet1!D:D,"N/A",0)</f>
        <v>258</v>
      </c>
    </row>
    <row r="122" spans="1:10" x14ac:dyDescent="0.25">
      <c r="A122" t="s">
        <v>4</v>
      </c>
      <c r="B122" t="s">
        <v>5</v>
      </c>
      <c r="C122" t="s">
        <v>188</v>
      </c>
      <c r="D122" t="s">
        <v>84</v>
      </c>
      <c r="E122" s="1">
        <v>2.0188000000000001E-2</v>
      </c>
      <c r="F122" s="3">
        <f t="shared" si="6"/>
        <v>20.672512000000001</v>
      </c>
      <c r="G122" s="3">
        <f t="shared" si="7"/>
        <v>4.1850880000000004</v>
      </c>
      <c r="H122" t="str">
        <f t="shared" si="8"/>
        <v>PYF</v>
      </c>
      <c r="I122" t="str">
        <f>+_xlfn.XLOOKUP(H122,Sheet1!C:C,Sheet1!B:B,"N/A",0)</f>
        <v>PF</v>
      </c>
      <c r="J122" t="str">
        <f>+_xlfn.XLOOKUP(H122,Sheet1!C:C,Sheet1!D:D,"N/A",0)</f>
        <v>258</v>
      </c>
    </row>
    <row r="123" spans="1:10" x14ac:dyDescent="0.25">
      <c r="A123" t="s">
        <v>4</v>
      </c>
      <c r="B123" t="s">
        <v>5</v>
      </c>
      <c r="C123" t="s">
        <v>429</v>
      </c>
      <c r="D123" t="s">
        <v>430</v>
      </c>
      <c r="E123" s="1">
        <v>1.292E-3</v>
      </c>
      <c r="F123" s="3">
        <f t="shared" si="6"/>
        <v>1.323008</v>
      </c>
      <c r="G123" s="3">
        <f t="shared" si="7"/>
        <v>1.323008</v>
      </c>
      <c r="H123" t="str">
        <f t="shared" si="8"/>
        <v>GLP</v>
      </c>
      <c r="I123" t="str">
        <f>+_xlfn.XLOOKUP(H123,Sheet1!C:C,Sheet1!B:B,"N/A",0)</f>
        <v>GP</v>
      </c>
      <c r="J123" t="str">
        <f>+_xlfn.XLOOKUP(H123,Sheet1!C:C,Sheet1!D:D,"N/A",0)</f>
        <v>312</v>
      </c>
    </row>
    <row r="124" spans="1:10" x14ac:dyDescent="0.25">
      <c r="A124" t="s">
        <v>4</v>
      </c>
      <c r="B124" t="s">
        <v>5</v>
      </c>
      <c r="C124" t="s">
        <v>227</v>
      </c>
      <c r="D124" t="s">
        <v>228</v>
      </c>
      <c r="E124" s="1">
        <v>8.0000000000000002E-3</v>
      </c>
      <c r="F124" s="3">
        <f t="shared" si="6"/>
        <v>8.1920000000000002</v>
      </c>
      <c r="G124" s="3">
        <f t="shared" si="7"/>
        <v>8.1920000000000002</v>
      </c>
      <c r="H124" t="str">
        <f t="shared" si="8"/>
        <v>GAB</v>
      </c>
      <c r="I124" t="str">
        <f>+_xlfn.XLOOKUP(H124,Sheet1!C:C,Sheet1!B:B,"N/A",0)</f>
        <v>GA</v>
      </c>
      <c r="J124" t="str">
        <f>+_xlfn.XLOOKUP(H124,Sheet1!C:C,Sheet1!D:D,"N/A",0)</f>
        <v>266</v>
      </c>
    </row>
    <row r="125" spans="1:10" x14ac:dyDescent="0.25">
      <c r="A125" t="s">
        <v>4</v>
      </c>
      <c r="B125" t="s">
        <v>5</v>
      </c>
      <c r="C125" t="s">
        <v>236</v>
      </c>
      <c r="D125" t="s">
        <v>237</v>
      </c>
      <c r="E125" s="1">
        <v>1.921E-3</v>
      </c>
      <c r="F125" s="3">
        <f t="shared" si="6"/>
        <v>1.967104</v>
      </c>
      <c r="G125" s="3">
        <f t="shared" si="7"/>
        <v>1.967104</v>
      </c>
      <c r="H125" t="str">
        <f t="shared" si="8"/>
        <v>GMB</v>
      </c>
      <c r="I125" t="str">
        <f>+_xlfn.XLOOKUP(H125,Sheet1!C:C,Sheet1!B:B,"N/A",0)</f>
        <v>GM</v>
      </c>
      <c r="J125" t="str">
        <f>+_xlfn.XLOOKUP(H125,Sheet1!C:C,Sheet1!D:D,"N/A",0)</f>
        <v>270</v>
      </c>
    </row>
    <row r="126" spans="1:10" x14ac:dyDescent="0.25">
      <c r="A126" t="s">
        <v>4</v>
      </c>
      <c r="B126" t="s">
        <v>5</v>
      </c>
      <c r="C126" t="s">
        <v>152</v>
      </c>
      <c r="D126" t="s">
        <v>153</v>
      </c>
      <c r="E126" s="1">
        <v>6.9999999999999999E-4</v>
      </c>
      <c r="F126" s="3">
        <f t="shared" si="6"/>
        <v>0.71679999999999999</v>
      </c>
      <c r="G126" s="3">
        <f t="shared" si="7"/>
        <v>0.71679999999999999</v>
      </c>
      <c r="H126" t="str">
        <f t="shared" si="8"/>
        <v>GEO</v>
      </c>
      <c r="I126" t="str">
        <f>+_xlfn.XLOOKUP(H126,Sheet1!C:C,Sheet1!B:B,"N/A",0)</f>
        <v>GE</v>
      </c>
      <c r="J126" t="str">
        <f>+_xlfn.XLOOKUP(H126,Sheet1!C:C,Sheet1!D:D,"N/A",0)</f>
        <v>268</v>
      </c>
    </row>
    <row r="127" spans="1:10" x14ac:dyDescent="0.25">
      <c r="A127" t="s">
        <v>4</v>
      </c>
      <c r="B127" t="s">
        <v>5</v>
      </c>
      <c r="C127" t="s">
        <v>475</v>
      </c>
      <c r="D127" t="s">
        <v>153</v>
      </c>
      <c r="E127" s="1">
        <v>1.054E-3</v>
      </c>
      <c r="F127" s="3">
        <f t="shared" si="6"/>
        <v>1.079296</v>
      </c>
      <c r="G127" s="3">
        <f t="shared" si="7"/>
        <v>0.71679999999999999</v>
      </c>
      <c r="H127" t="str">
        <f t="shared" si="8"/>
        <v>GEO</v>
      </c>
      <c r="I127" t="str">
        <f>+_xlfn.XLOOKUP(H127,Sheet1!C:C,Sheet1!B:B,"N/A",0)</f>
        <v>GE</v>
      </c>
      <c r="J127" t="str">
        <f>+_xlfn.XLOOKUP(H127,Sheet1!C:C,Sheet1!D:D,"N/A",0)</f>
        <v>268</v>
      </c>
    </row>
    <row r="128" spans="1:10" x14ac:dyDescent="0.25">
      <c r="A128" t="s">
        <v>4</v>
      </c>
      <c r="B128" t="s">
        <v>5</v>
      </c>
      <c r="C128" t="s">
        <v>345</v>
      </c>
      <c r="D128" t="s">
        <v>346</v>
      </c>
      <c r="E128" s="1">
        <v>7.6599999999999997E-4</v>
      </c>
      <c r="F128" s="3">
        <f t="shared" si="6"/>
        <v>0.78438399999999997</v>
      </c>
      <c r="G128" s="3">
        <f t="shared" si="7"/>
        <v>0.71679999999999999</v>
      </c>
      <c r="H128" t="str">
        <f t="shared" si="8"/>
        <v>DEU</v>
      </c>
      <c r="I128" t="str">
        <f>+_xlfn.XLOOKUP(H128,Sheet1!C:C,Sheet1!B:B,"N/A",0)</f>
        <v>DE</v>
      </c>
      <c r="J128" t="str">
        <f>+_xlfn.XLOOKUP(H128,Sheet1!C:C,Sheet1!D:D,"N/A",0)</f>
        <v>276</v>
      </c>
    </row>
    <row r="129" spans="1:10" x14ac:dyDescent="0.25">
      <c r="A129" t="s">
        <v>4</v>
      </c>
      <c r="B129" t="s">
        <v>5</v>
      </c>
      <c r="C129" t="s">
        <v>415</v>
      </c>
      <c r="D129" t="s">
        <v>346</v>
      </c>
      <c r="E129" s="1">
        <v>6.9999999999999999E-4</v>
      </c>
      <c r="F129" s="3">
        <f t="shared" si="6"/>
        <v>0.71679999999999999</v>
      </c>
      <c r="G129" s="3">
        <f t="shared" si="7"/>
        <v>0.71679999999999999</v>
      </c>
      <c r="H129" t="str">
        <f t="shared" si="8"/>
        <v>DEU</v>
      </c>
      <c r="I129" t="str">
        <f>+_xlfn.XLOOKUP(H129,Sheet1!C:C,Sheet1!B:B,"N/A",0)</f>
        <v>DE</v>
      </c>
      <c r="J129" t="str">
        <f>+_xlfn.XLOOKUP(H129,Sheet1!C:C,Sheet1!D:D,"N/A",0)</f>
        <v>276</v>
      </c>
    </row>
    <row r="130" spans="1:10" x14ac:dyDescent="0.25">
      <c r="A130" t="s">
        <v>4</v>
      </c>
      <c r="B130" t="s">
        <v>5</v>
      </c>
      <c r="C130" t="s">
        <v>444</v>
      </c>
      <c r="D130" t="s">
        <v>346</v>
      </c>
      <c r="E130" s="1">
        <v>8.5999999999999998E-4</v>
      </c>
      <c r="F130" s="3">
        <f t="shared" si="6"/>
        <v>0.88063999999999998</v>
      </c>
      <c r="G130" s="3">
        <f t="shared" si="7"/>
        <v>0.71679999999999999</v>
      </c>
      <c r="H130" t="str">
        <f t="shared" si="8"/>
        <v>DEU</v>
      </c>
      <c r="I130" t="str">
        <f>+_xlfn.XLOOKUP(H130,Sheet1!C:C,Sheet1!B:B,"N/A",0)</f>
        <v>DE</v>
      </c>
      <c r="J130" t="str">
        <f>+_xlfn.XLOOKUP(H130,Sheet1!C:C,Sheet1!D:D,"N/A",0)</f>
        <v>276</v>
      </c>
    </row>
    <row r="131" spans="1:10" x14ac:dyDescent="0.25">
      <c r="A131" t="s">
        <v>4</v>
      </c>
      <c r="B131" t="s">
        <v>5</v>
      </c>
      <c r="C131" t="s">
        <v>58</v>
      </c>
      <c r="D131" t="s">
        <v>59</v>
      </c>
      <c r="E131" s="1">
        <v>6.0000000000000001E-3</v>
      </c>
      <c r="F131" s="3">
        <f t="shared" ref="F131:F194" si="9">E131*1024</f>
        <v>6.1440000000000001</v>
      </c>
      <c r="G131" s="3">
        <f t="shared" si="7"/>
        <v>1.792</v>
      </c>
      <c r="H131" t="str">
        <f t="shared" si="8"/>
        <v>GHA</v>
      </c>
      <c r="I131" t="str">
        <f>+_xlfn.XLOOKUP(H131,Sheet1!C:C,Sheet1!B:B,"N/A",0)</f>
        <v>GH</v>
      </c>
      <c r="J131" t="str">
        <f>+_xlfn.XLOOKUP(H131,Sheet1!C:C,Sheet1!D:D,"N/A",0)</f>
        <v>288</v>
      </c>
    </row>
    <row r="132" spans="1:10" x14ac:dyDescent="0.25">
      <c r="A132" t="s">
        <v>4</v>
      </c>
      <c r="B132" t="s">
        <v>5</v>
      </c>
      <c r="C132" t="s">
        <v>482</v>
      </c>
      <c r="D132" t="s">
        <v>59</v>
      </c>
      <c r="E132" s="1">
        <v>1.75E-3</v>
      </c>
      <c r="F132" s="3">
        <f t="shared" si="9"/>
        <v>1.792</v>
      </c>
      <c r="G132" s="3">
        <f t="shared" si="7"/>
        <v>1.792</v>
      </c>
      <c r="H132" t="str">
        <f t="shared" si="8"/>
        <v>GHA</v>
      </c>
      <c r="I132" t="str">
        <f>+_xlfn.XLOOKUP(H132,Sheet1!C:C,Sheet1!B:B,"N/A",0)</f>
        <v>GH</v>
      </c>
      <c r="J132" t="str">
        <f>+_xlfn.XLOOKUP(H132,Sheet1!C:C,Sheet1!D:D,"N/A",0)</f>
        <v>288</v>
      </c>
    </row>
    <row r="133" spans="1:10" x14ac:dyDescent="0.25">
      <c r="A133" t="s">
        <v>4</v>
      </c>
      <c r="B133" t="s">
        <v>5</v>
      </c>
      <c r="C133" t="s">
        <v>174</v>
      </c>
      <c r="D133" t="s">
        <v>175</v>
      </c>
      <c r="E133" s="1">
        <v>1E-3</v>
      </c>
      <c r="F133" s="3">
        <f t="shared" si="9"/>
        <v>1.024</v>
      </c>
      <c r="G133" s="3">
        <f t="shared" si="7"/>
        <v>1.024</v>
      </c>
      <c r="H133" t="str">
        <f t="shared" si="8"/>
        <v>GIB</v>
      </c>
      <c r="I133" t="str">
        <f>+_xlfn.XLOOKUP(H133,Sheet1!C:C,Sheet1!B:B,"N/A",0)</f>
        <v>GI</v>
      </c>
      <c r="J133" t="str">
        <f>+_xlfn.XLOOKUP(H133,Sheet1!C:C,Sheet1!D:D,"N/A",0)</f>
        <v>292</v>
      </c>
    </row>
    <row r="134" spans="1:10" x14ac:dyDescent="0.25">
      <c r="A134" t="s">
        <v>4</v>
      </c>
      <c r="B134" t="s">
        <v>5</v>
      </c>
      <c r="C134" t="s">
        <v>350</v>
      </c>
      <c r="D134" t="s">
        <v>351</v>
      </c>
      <c r="E134" s="1">
        <v>8.1099999999999998E-4</v>
      </c>
      <c r="F134" s="3">
        <f t="shared" si="9"/>
        <v>0.83046399999999998</v>
      </c>
      <c r="G134" s="3">
        <f t="shared" si="7"/>
        <v>0.78438399999999997</v>
      </c>
      <c r="H134" t="str">
        <f t="shared" si="8"/>
        <v>GRC</v>
      </c>
      <c r="I134" t="str">
        <f>+_xlfn.XLOOKUP(H134,Sheet1!C:C,Sheet1!B:B,"N/A",0)</f>
        <v>GR</v>
      </c>
      <c r="J134" t="str">
        <f>+_xlfn.XLOOKUP(H134,Sheet1!C:C,Sheet1!D:D,"N/A",0)</f>
        <v>300</v>
      </c>
    </row>
    <row r="135" spans="1:10" x14ac:dyDescent="0.25">
      <c r="A135" t="s">
        <v>4</v>
      </c>
      <c r="B135" t="s">
        <v>5</v>
      </c>
      <c r="C135" t="s">
        <v>365</v>
      </c>
      <c r="D135" t="s">
        <v>351</v>
      </c>
      <c r="E135" s="1">
        <v>7.6599999999999997E-4</v>
      </c>
      <c r="F135" s="3">
        <f t="shared" si="9"/>
        <v>0.78438399999999997</v>
      </c>
      <c r="G135" s="3">
        <f t="shared" si="7"/>
        <v>0.78438399999999997</v>
      </c>
      <c r="H135" t="str">
        <f t="shared" si="8"/>
        <v>GRC</v>
      </c>
      <c r="I135" t="str">
        <f>+_xlfn.XLOOKUP(H135,Sheet1!C:C,Sheet1!B:B,"N/A",0)</f>
        <v>GR</v>
      </c>
      <c r="J135" t="str">
        <f>+_xlfn.XLOOKUP(H135,Sheet1!C:C,Sheet1!D:D,"N/A",0)</f>
        <v>300</v>
      </c>
    </row>
    <row r="136" spans="1:10" x14ac:dyDescent="0.25">
      <c r="A136" t="s">
        <v>4</v>
      </c>
      <c r="B136" t="s">
        <v>5</v>
      </c>
      <c r="C136" t="s">
        <v>588</v>
      </c>
      <c r="D136" t="s">
        <v>351</v>
      </c>
      <c r="E136" s="1">
        <v>8.5999999999999998E-4</v>
      </c>
      <c r="F136" s="3">
        <f t="shared" si="9"/>
        <v>0.88063999999999998</v>
      </c>
      <c r="G136" s="3">
        <f t="shared" si="7"/>
        <v>0.78438399999999997</v>
      </c>
      <c r="H136" t="str">
        <f t="shared" si="8"/>
        <v>GRC</v>
      </c>
      <c r="I136" t="str">
        <f>+_xlfn.XLOOKUP(H136,Sheet1!C:C,Sheet1!B:B,"N/A",0)</f>
        <v>GR</v>
      </c>
      <c r="J136" t="str">
        <f>+_xlfn.XLOOKUP(H136,Sheet1!C:C,Sheet1!D:D,"N/A",0)</f>
        <v>300</v>
      </c>
    </row>
    <row r="137" spans="1:10" x14ac:dyDescent="0.25">
      <c r="A137" t="s">
        <v>4</v>
      </c>
      <c r="B137" t="s">
        <v>5</v>
      </c>
      <c r="C137" t="s">
        <v>95</v>
      </c>
      <c r="D137" t="s">
        <v>96</v>
      </c>
      <c r="E137" s="1">
        <v>3.0019999999999999E-3</v>
      </c>
      <c r="F137" s="3">
        <f t="shared" si="9"/>
        <v>3.0740479999999999</v>
      </c>
      <c r="G137" s="3">
        <f t="shared" si="7"/>
        <v>3.0740479999999999</v>
      </c>
      <c r="H137" t="str">
        <f t="shared" si="8"/>
        <v>GRL</v>
      </c>
      <c r="I137" t="str">
        <f>+_xlfn.XLOOKUP(H137,Sheet1!C:C,Sheet1!B:B,"N/A",0)</f>
        <v>GL</v>
      </c>
      <c r="J137" t="str">
        <f>+_xlfn.XLOOKUP(H137,Sheet1!C:C,Sheet1!D:D,"N/A",0)</f>
        <v>304</v>
      </c>
    </row>
    <row r="138" spans="1:10" x14ac:dyDescent="0.25">
      <c r="A138" t="s">
        <v>4</v>
      </c>
      <c r="B138" t="s">
        <v>5</v>
      </c>
      <c r="C138" t="s">
        <v>150</v>
      </c>
      <c r="D138" t="s">
        <v>151</v>
      </c>
      <c r="E138" s="1">
        <v>3.0000000000000001E-3</v>
      </c>
      <c r="F138" s="3">
        <f t="shared" si="9"/>
        <v>3.0720000000000001</v>
      </c>
      <c r="G138" s="3">
        <f t="shared" si="7"/>
        <v>3.0720000000000001</v>
      </c>
      <c r="H138" t="str">
        <f t="shared" si="8"/>
        <v>GRD</v>
      </c>
      <c r="I138" t="str">
        <f>+_xlfn.XLOOKUP(H138,Sheet1!C:C,Sheet1!B:B,"N/A",0)</f>
        <v>GD</v>
      </c>
      <c r="J138" t="str">
        <f>+_xlfn.XLOOKUP(H138,Sheet1!C:C,Sheet1!D:D,"N/A",0)</f>
        <v>308</v>
      </c>
    </row>
    <row r="139" spans="1:10" x14ac:dyDescent="0.25">
      <c r="A139" t="s">
        <v>4</v>
      </c>
      <c r="B139" t="s">
        <v>5</v>
      </c>
      <c r="C139" t="s">
        <v>64</v>
      </c>
      <c r="D139" t="s">
        <v>65</v>
      </c>
      <c r="E139" s="1">
        <v>2.0929999999999998E-3</v>
      </c>
      <c r="F139" s="3">
        <f t="shared" si="9"/>
        <v>2.1432319999999998</v>
      </c>
      <c r="G139" s="3">
        <f t="shared" si="7"/>
        <v>1.0280959999999999</v>
      </c>
      <c r="H139" t="str">
        <f t="shared" si="8"/>
        <v>GTM</v>
      </c>
      <c r="I139" t="str">
        <f>+_xlfn.XLOOKUP(H139,Sheet1!C:C,Sheet1!B:B,"N/A",0)</f>
        <v>GT</v>
      </c>
      <c r="J139" t="str">
        <f>+_xlfn.XLOOKUP(H139,Sheet1!C:C,Sheet1!D:D,"N/A",0)</f>
        <v>320</v>
      </c>
    </row>
    <row r="140" spans="1:10" x14ac:dyDescent="0.25">
      <c r="A140" t="s">
        <v>4</v>
      </c>
      <c r="B140" t="s">
        <v>5</v>
      </c>
      <c r="C140" t="s">
        <v>329</v>
      </c>
      <c r="D140" t="s">
        <v>65</v>
      </c>
      <c r="E140" s="1">
        <v>1.0039999999999999E-3</v>
      </c>
      <c r="F140" s="3">
        <f t="shared" si="9"/>
        <v>1.0280959999999999</v>
      </c>
      <c r="G140" s="3">
        <f t="shared" si="7"/>
        <v>1.0280959999999999</v>
      </c>
      <c r="H140" t="str">
        <f t="shared" si="8"/>
        <v>GTM</v>
      </c>
      <c r="I140" t="str">
        <f>+_xlfn.XLOOKUP(H140,Sheet1!C:C,Sheet1!B:B,"N/A",0)</f>
        <v>GT</v>
      </c>
      <c r="J140" t="str">
        <f>+_xlfn.XLOOKUP(H140,Sheet1!C:C,Sheet1!D:D,"N/A",0)</f>
        <v>320</v>
      </c>
    </row>
    <row r="141" spans="1:10" x14ac:dyDescent="0.25">
      <c r="A141" t="s">
        <v>4</v>
      </c>
      <c r="B141" t="s">
        <v>5</v>
      </c>
      <c r="C141" t="s">
        <v>81</v>
      </c>
      <c r="D141" t="s">
        <v>82</v>
      </c>
      <c r="E141" s="1">
        <v>2.153E-3</v>
      </c>
      <c r="F141" s="3">
        <f t="shared" si="9"/>
        <v>2.204672</v>
      </c>
      <c r="G141" s="3">
        <f t="shared" si="7"/>
        <v>2.204672</v>
      </c>
      <c r="H141" t="str">
        <f t="shared" si="8"/>
        <v>GIN</v>
      </c>
      <c r="I141" t="str">
        <f>+_xlfn.XLOOKUP(H141,Sheet1!C:C,Sheet1!B:B,"N/A",0)</f>
        <v>GN</v>
      </c>
      <c r="J141" t="str">
        <f>+_xlfn.XLOOKUP(H141,Sheet1!C:C,Sheet1!D:D,"N/A",0)</f>
        <v>324</v>
      </c>
    </row>
    <row r="142" spans="1:10" x14ac:dyDescent="0.25">
      <c r="A142" t="s">
        <v>4</v>
      </c>
      <c r="B142" t="s">
        <v>5</v>
      </c>
      <c r="C142" t="s">
        <v>178</v>
      </c>
      <c r="D142" t="s">
        <v>179</v>
      </c>
      <c r="E142" s="1">
        <v>1E-3</v>
      </c>
      <c r="F142" s="3">
        <f t="shared" si="9"/>
        <v>1.024</v>
      </c>
      <c r="G142" s="3">
        <f t="shared" si="7"/>
        <v>1.024</v>
      </c>
      <c r="H142" t="str">
        <f t="shared" si="8"/>
        <v>GUY</v>
      </c>
      <c r="I142" t="str">
        <f>+_xlfn.XLOOKUP(H142,Sheet1!C:C,Sheet1!B:B,"N/A",0)</f>
        <v>GY</v>
      </c>
      <c r="J142" t="str">
        <f>+_xlfn.XLOOKUP(H142,Sheet1!C:C,Sheet1!D:D,"N/A",0)</f>
        <v>328</v>
      </c>
    </row>
    <row r="143" spans="1:10" x14ac:dyDescent="0.25">
      <c r="A143" t="s">
        <v>4</v>
      </c>
      <c r="B143" t="s">
        <v>5</v>
      </c>
      <c r="C143" t="s">
        <v>406</v>
      </c>
      <c r="D143" t="s">
        <v>407</v>
      </c>
      <c r="E143" s="1">
        <v>3.4320999999999997E-2</v>
      </c>
      <c r="F143" s="3">
        <f t="shared" si="9"/>
        <v>35.144703999999997</v>
      </c>
      <c r="G143" s="3">
        <f t="shared" si="7"/>
        <v>35.144703999999997</v>
      </c>
      <c r="H143" t="str">
        <f t="shared" si="8"/>
        <v>HTI</v>
      </c>
      <c r="I143" t="str">
        <f>+_xlfn.XLOOKUP(H143,Sheet1!C:C,Sheet1!B:B,"N/A",0)</f>
        <v>HT</v>
      </c>
      <c r="J143" t="str">
        <f>+_xlfn.XLOOKUP(H143,Sheet1!C:C,Sheet1!D:D,"N/A",0)</f>
        <v>332</v>
      </c>
    </row>
    <row r="144" spans="1:10" x14ac:dyDescent="0.25">
      <c r="A144" t="s">
        <v>4</v>
      </c>
      <c r="B144" t="s">
        <v>5</v>
      </c>
      <c r="C144" t="s">
        <v>193</v>
      </c>
      <c r="D144" t="s">
        <v>194</v>
      </c>
      <c r="E144" s="1">
        <v>3.0000000000000001E-3</v>
      </c>
      <c r="F144" s="3">
        <f t="shared" si="9"/>
        <v>3.0720000000000001</v>
      </c>
      <c r="G144" s="3">
        <f t="shared" si="7"/>
        <v>0.56832000000000005</v>
      </c>
      <c r="H144" t="str">
        <f t="shared" si="8"/>
        <v>HKG</v>
      </c>
      <c r="I144" t="str">
        <f>+_xlfn.XLOOKUP(H144,Sheet1!C:C,Sheet1!B:B,"N/A",0)</f>
        <v>HK</v>
      </c>
      <c r="J144" t="str">
        <f>+_xlfn.XLOOKUP(H144,Sheet1!C:C,Sheet1!D:D,"N/A",0)</f>
        <v>344</v>
      </c>
    </row>
    <row r="145" spans="1:10" x14ac:dyDescent="0.25">
      <c r="A145" t="s">
        <v>4</v>
      </c>
      <c r="B145" t="s">
        <v>5</v>
      </c>
      <c r="C145" t="s">
        <v>206</v>
      </c>
      <c r="D145" t="s">
        <v>194</v>
      </c>
      <c r="E145" s="1">
        <v>3.0000000000000001E-3</v>
      </c>
      <c r="F145" s="3">
        <f t="shared" si="9"/>
        <v>3.0720000000000001</v>
      </c>
      <c r="G145" s="3">
        <f t="shared" si="7"/>
        <v>0.56832000000000005</v>
      </c>
      <c r="H145" t="str">
        <f t="shared" si="8"/>
        <v>HKG</v>
      </c>
      <c r="I145" t="str">
        <f>+_xlfn.XLOOKUP(H145,Sheet1!C:C,Sheet1!B:B,"N/A",0)</f>
        <v>HK</v>
      </c>
      <c r="J145" t="str">
        <f>+_xlfn.XLOOKUP(H145,Sheet1!C:C,Sheet1!D:D,"N/A",0)</f>
        <v>344</v>
      </c>
    </row>
    <row r="146" spans="1:10" x14ac:dyDescent="0.25">
      <c r="A146" t="s">
        <v>4</v>
      </c>
      <c r="B146" t="s">
        <v>5</v>
      </c>
      <c r="C146" t="s">
        <v>392</v>
      </c>
      <c r="D146" t="s">
        <v>194</v>
      </c>
      <c r="E146" s="1">
        <v>5.5500000000000005E-4</v>
      </c>
      <c r="F146" s="3">
        <f t="shared" si="9"/>
        <v>0.56832000000000005</v>
      </c>
      <c r="G146" s="3">
        <f t="shared" si="7"/>
        <v>0.56832000000000005</v>
      </c>
      <c r="H146" t="str">
        <f t="shared" si="8"/>
        <v>HKG</v>
      </c>
      <c r="I146" t="str">
        <f>+_xlfn.XLOOKUP(H146,Sheet1!C:C,Sheet1!B:B,"N/A",0)</f>
        <v>HK</v>
      </c>
      <c r="J146" t="str">
        <f>+_xlfn.XLOOKUP(H146,Sheet1!C:C,Sheet1!D:D,"N/A",0)</f>
        <v>344</v>
      </c>
    </row>
    <row r="147" spans="1:10" x14ac:dyDescent="0.25">
      <c r="A147" t="s">
        <v>4</v>
      </c>
      <c r="B147" t="s">
        <v>5</v>
      </c>
      <c r="C147" t="s">
        <v>8</v>
      </c>
      <c r="D147" t="s">
        <v>9</v>
      </c>
      <c r="E147" s="1">
        <v>5.1800000000000001E-4</v>
      </c>
      <c r="F147" s="3">
        <f t="shared" si="9"/>
        <v>0.53043200000000001</v>
      </c>
      <c r="G147" s="3">
        <f t="shared" ref="G147:G210" si="10">_xlfn.MINIFS(F:F,D:D,D147,F:F,"&lt;&gt;0")</f>
        <v>0.53043200000000001</v>
      </c>
      <c r="H147" t="str">
        <f t="shared" ref="H147:H210" si="11">_xlfn.TEXTBEFORE(_xlfn.TEXTAFTER(C147,"("),")")</f>
        <v>HUN</v>
      </c>
      <c r="I147" t="str">
        <f>+_xlfn.XLOOKUP(H147,Sheet1!C:C,Sheet1!B:B,"N/A",0)</f>
        <v>HU</v>
      </c>
      <c r="J147" t="str">
        <f>+_xlfn.XLOOKUP(H147,Sheet1!C:C,Sheet1!D:D,"N/A",0)</f>
        <v>348</v>
      </c>
    </row>
    <row r="148" spans="1:10" x14ac:dyDescent="0.25">
      <c r="A148" t="s">
        <v>4</v>
      </c>
      <c r="B148" t="s">
        <v>5</v>
      </c>
      <c r="C148" t="s">
        <v>130</v>
      </c>
      <c r="D148" t="s">
        <v>9</v>
      </c>
      <c r="E148" s="1">
        <v>7.6599999999999997E-4</v>
      </c>
      <c r="F148" s="3">
        <f t="shared" si="9"/>
        <v>0.78438399999999997</v>
      </c>
      <c r="G148" s="3">
        <f t="shared" si="10"/>
        <v>0.53043200000000001</v>
      </c>
      <c r="H148" t="str">
        <f t="shared" si="11"/>
        <v>HUN</v>
      </c>
      <c r="I148" t="str">
        <f>+_xlfn.XLOOKUP(H148,Sheet1!C:C,Sheet1!B:B,"N/A",0)</f>
        <v>HU</v>
      </c>
      <c r="J148" t="str">
        <f>+_xlfn.XLOOKUP(H148,Sheet1!C:C,Sheet1!D:D,"N/A",0)</f>
        <v>348</v>
      </c>
    </row>
    <row r="149" spans="1:10" x14ac:dyDescent="0.25">
      <c r="A149" t="s">
        <v>4</v>
      </c>
      <c r="B149" t="s">
        <v>5</v>
      </c>
      <c r="C149" t="s">
        <v>313</v>
      </c>
      <c r="D149" t="s">
        <v>9</v>
      </c>
      <c r="E149" s="1">
        <v>8.5999999999999998E-4</v>
      </c>
      <c r="F149" s="3">
        <f t="shared" si="9"/>
        <v>0.88063999999999998</v>
      </c>
      <c r="G149" s="3">
        <f t="shared" si="10"/>
        <v>0.53043200000000001</v>
      </c>
      <c r="H149" t="str">
        <f t="shared" si="11"/>
        <v>HUN</v>
      </c>
      <c r="I149" t="str">
        <f>+_xlfn.XLOOKUP(H149,Sheet1!C:C,Sheet1!B:B,"N/A",0)</f>
        <v>HU</v>
      </c>
      <c r="J149" t="str">
        <f>+_xlfn.XLOOKUP(H149,Sheet1!C:C,Sheet1!D:D,"N/A",0)</f>
        <v>348</v>
      </c>
    </row>
    <row r="150" spans="1:10" x14ac:dyDescent="0.25">
      <c r="A150" t="s">
        <v>4</v>
      </c>
      <c r="B150" t="s">
        <v>5</v>
      </c>
      <c r="C150" t="s">
        <v>138</v>
      </c>
      <c r="D150" t="s">
        <v>139</v>
      </c>
      <c r="E150" s="1">
        <v>3.1100000000000002E-4</v>
      </c>
      <c r="F150" s="3">
        <f t="shared" si="9"/>
        <v>0.31846400000000002</v>
      </c>
      <c r="G150" s="3">
        <f t="shared" si="10"/>
        <v>0.31846400000000002</v>
      </c>
      <c r="H150" t="str">
        <f t="shared" si="11"/>
        <v>ISL</v>
      </c>
      <c r="I150" t="str">
        <f>+_xlfn.XLOOKUP(H150,Sheet1!C:C,Sheet1!B:B,"N/A",0)</f>
        <v>IS</v>
      </c>
      <c r="J150" t="str">
        <f>+_xlfn.XLOOKUP(H150,Sheet1!C:C,Sheet1!D:D,"N/A",0)</f>
        <v>352</v>
      </c>
    </row>
    <row r="151" spans="1:10" x14ac:dyDescent="0.25">
      <c r="A151" t="s">
        <v>4</v>
      </c>
      <c r="B151" t="s">
        <v>5</v>
      </c>
      <c r="C151" t="s">
        <v>356</v>
      </c>
      <c r="D151" t="s">
        <v>139</v>
      </c>
      <c r="E151" s="1">
        <v>8.0000000000000004E-4</v>
      </c>
      <c r="F151" s="3">
        <f t="shared" si="9"/>
        <v>0.81920000000000004</v>
      </c>
      <c r="G151" s="3">
        <f t="shared" si="10"/>
        <v>0.31846400000000002</v>
      </c>
      <c r="H151" t="str">
        <f t="shared" si="11"/>
        <v>ISL</v>
      </c>
      <c r="I151" t="str">
        <f>+_xlfn.XLOOKUP(H151,Sheet1!C:C,Sheet1!B:B,"N/A",0)</f>
        <v>IS</v>
      </c>
      <c r="J151" t="str">
        <f>+_xlfn.XLOOKUP(H151,Sheet1!C:C,Sheet1!D:D,"N/A",0)</f>
        <v>352</v>
      </c>
    </row>
    <row r="152" spans="1:10" x14ac:dyDescent="0.25">
      <c r="A152" t="s">
        <v>4</v>
      </c>
      <c r="B152" t="s">
        <v>5</v>
      </c>
      <c r="C152" t="s">
        <v>516</v>
      </c>
      <c r="D152" t="s">
        <v>139</v>
      </c>
      <c r="E152" s="1">
        <v>9.5E-4</v>
      </c>
      <c r="F152" s="3">
        <f t="shared" si="9"/>
        <v>0.9728</v>
      </c>
      <c r="G152" s="3">
        <f t="shared" si="10"/>
        <v>0.31846400000000002</v>
      </c>
      <c r="H152" t="str">
        <f t="shared" si="11"/>
        <v>ISL</v>
      </c>
      <c r="I152" t="str">
        <f>+_xlfn.XLOOKUP(H152,Sheet1!C:C,Sheet1!B:B,"N/A",0)</f>
        <v>IS</v>
      </c>
      <c r="J152" t="str">
        <f>+_xlfn.XLOOKUP(H152,Sheet1!C:C,Sheet1!D:D,"N/A",0)</f>
        <v>352</v>
      </c>
    </row>
    <row r="153" spans="1:10" x14ac:dyDescent="0.25">
      <c r="A153" t="s">
        <v>4</v>
      </c>
      <c r="B153" t="s">
        <v>5</v>
      </c>
      <c r="C153" t="s">
        <v>31</v>
      </c>
      <c r="D153" t="s">
        <v>32</v>
      </c>
      <c r="E153" s="1">
        <v>1.2160000000000001E-3</v>
      </c>
      <c r="F153" s="3">
        <f t="shared" si="9"/>
        <v>1.2451840000000001</v>
      </c>
      <c r="G153" s="3">
        <f t="shared" si="10"/>
        <v>1.0199039999999999</v>
      </c>
      <c r="H153" t="str">
        <f t="shared" si="11"/>
        <v>IND</v>
      </c>
      <c r="I153" t="str">
        <f>+_xlfn.XLOOKUP(H153,Sheet1!C:C,Sheet1!B:B,"N/A",0)</f>
        <v>IN</v>
      </c>
      <c r="J153" t="str">
        <f>+_xlfn.XLOOKUP(H153,Sheet1!C:C,Sheet1!D:D,"N/A",0)</f>
        <v>356</v>
      </c>
    </row>
    <row r="154" spans="1:10" x14ac:dyDescent="0.25">
      <c r="A154" t="s">
        <v>4</v>
      </c>
      <c r="B154" t="s">
        <v>5</v>
      </c>
      <c r="C154" t="s">
        <v>37</v>
      </c>
      <c r="D154" t="s">
        <v>32</v>
      </c>
      <c r="E154" s="1">
        <v>1E-3</v>
      </c>
      <c r="F154" s="3">
        <f t="shared" si="9"/>
        <v>1.024</v>
      </c>
      <c r="G154" s="3">
        <f t="shared" si="10"/>
        <v>1.0199039999999999</v>
      </c>
      <c r="H154" t="str">
        <f t="shared" si="11"/>
        <v>IND</v>
      </c>
      <c r="I154" t="str">
        <f>+_xlfn.XLOOKUP(H154,Sheet1!C:C,Sheet1!B:B,"N/A",0)</f>
        <v>IN</v>
      </c>
      <c r="J154" t="str">
        <f>+_xlfn.XLOOKUP(H154,Sheet1!C:C,Sheet1!D:D,"N/A",0)</f>
        <v>356</v>
      </c>
    </row>
    <row r="155" spans="1:10" x14ac:dyDescent="0.25">
      <c r="A155" t="s">
        <v>4</v>
      </c>
      <c r="B155" t="s">
        <v>5</v>
      </c>
      <c r="C155" t="s">
        <v>72</v>
      </c>
      <c r="D155" t="s">
        <v>32</v>
      </c>
      <c r="E155" s="1">
        <v>1.2160000000000001E-3</v>
      </c>
      <c r="F155" s="3">
        <f t="shared" si="9"/>
        <v>1.2451840000000001</v>
      </c>
      <c r="G155" s="3">
        <f t="shared" si="10"/>
        <v>1.0199039999999999</v>
      </c>
      <c r="H155" t="str">
        <f t="shared" si="11"/>
        <v>IND</v>
      </c>
      <c r="I155" t="str">
        <f>+_xlfn.XLOOKUP(H155,Sheet1!C:C,Sheet1!B:B,"N/A",0)</f>
        <v>IN</v>
      </c>
      <c r="J155" t="str">
        <f>+_xlfn.XLOOKUP(H155,Sheet1!C:C,Sheet1!D:D,"N/A",0)</f>
        <v>356</v>
      </c>
    </row>
    <row r="156" spans="1:10" x14ac:dyDescent="0.25">
      <c r="A156" t="s">
        <v>4</v>
      </c>
      <c r="B156" t="s">
        <v>5</v>
      </c>
      <c r="C156" t="s">
        <v>89</v>
      </c>
      <c r="D156" t="s">
        <v>32</v>
      </c>
      <c r="E156" s="1">
        <v>1.2160000000000001E-3</v>
      </c>
      <c r="F156" s="3">
        <f t="shared" si="9"/>
        <v>1.2451840000000001</v>
      </c>
      <c r="G156" s="3">
        <f t="shared" si="10"/>
        <v>1.0199039999999999</v>
      </c>
      <c r="H156" t="str">
        <f t="shared" si="11"/>
        <v>IND</v>
      </c>
      <c r="I156" t="str">
        <f>+_xlfn.XLOOKUP(H156,Sheet1!C:C,Sheet1!B:B,"N/A",0)</f>
        <v>IN</v>
      </c>
      <c r="J156" t="str">
        <f>+_xlfn.XLOOKUP(H156,Sheet1!C:C,Sheet1!D:D,"N/A",0)</f>
        <v>356</v>
      </c>
    </row>
    <row r="157" spans="1:10" x14ac:dyDescent="0.25">
      <c r="A157" t="s">
        <v>4</v>
      </c>
      <c r="B157" t="s">
        <v>5</v>
      </c>
      <c r="C157" t="s">
        <v>119</v>
      </c>
      <c r="D157" t="s">
        <v>32</v>
      </c>
      <c r="E157" s="1">
        <v>1E-3</v>
      </c>
      <c r="F157" s="3">
        <f t="shared" si="9"/>
        <v>1.024</v>
      </c>
      <c r="G157" s="3">
        <f t="shared" si="10"/>
        <v>1.0199039999999999</v>
      </c>
      <c r="H157" t="str">
        <f t="shared" si="11"/>
        <v>IND</v>
      </c>
      <c r="I157" t="str">
        <f>+_xlfn.XLOOKUP(H157,Sheet1!C:C,Sheet1!B:B,"N/A",0)</f>
        <v>IN</v>
      </c>
      <c r="J157" t="str">
        <f>+_xlfn.XLOOKUP(H157,Sheet1!C:C,Sheet1!D:D,"N/A",0)</f>
        <v>356</v>
      </c>
    </row>
    <row r="158" spans="1:10" x14ac:dyDescent="0.25">
      <c r="A158" t="s">
        <v>4</v>
      </c>
      <c r="B158" t="s">
        <v>5</v>
      </c>
      <c r="C158" t="s">
        <v>121</v>
      </c>
      <c r="D158" t="s">
        <v>32</v>
      </c>
      <c r="E158" s="1">
        <v>5.372E-3</v>
      </c>
      <c r="F158" s="3">
        <f t="shared" si="9"/>
        <v>5.500928</v>
      </c>
      <c r="G158" s="3">
        <f t="shared" si="10"/>
        <v>1.0199039999999999</v>
      </c>
      <c r="H158" t="str">
        <f t="shared" si="11"/>
        <v>IND</v>
      </c>
      <c r="I158" t="str">
        <f>+_xlfn.XLOOKUP(H158,Sheet1!C:C,Sheet1!B:B,"N/A",0)</f>
        <v>IN</v>
      </c>
      <c r="J158" t="str">
        <f>+_xlfn.XLOOKUP(H158,Sheet1!C:C,Sheet1!D:D,"N/A",0)</f>
        <v>356</v>
      </c>
    </row>
    <row r="159" spans="1:10" x14ac:dyDescent="0.25">
      <c r="A159" t="s">
        <v>4</v>
      </c>
      <c r="B159" t="s">
        <v>5</v>
      </c>
      <c r="C159" t="s">
        <v>185</v>
      </c>
      <c r="D159" t="s">
        <v>32</v>
      </c>
      <c r="E159" s="1">
        <v>1E-3</v>
      </c>
      <c r="F159" s="3">
        <f t="shared" si="9"/>
        <v>1.024</v>
      </c>
      <c r="G159" s="3">
        <f t="shared" si="10"/>
        <v>1.0199039999999999</v>
      </c>
      <c r="H159" t="str">
        <f t="shared" si="11"/>
        <v>IND</v>
      </c>
      <c r="I159" t="str">
        <f>+_xlfn.XLOOKUP(H159,Sheet1!C:C,Sheet1!B:B,"N/A",0)</f>
        <v>IN</v>
      </c>
      <c r="J159" t="str">
        <f>+_xlfn.XLOOKUP(H159,Sheet1!C:C,Sheet1!D:D,"N/A",0)</f>
        <v>356</v>
      </c>
    </row>
    <row r="160" spans="1:10" x14ac:dyDescent="0.25">
      <c r="A160" t="s">
        <v>4</v>
      </c>
      <c r="B160" t="s">
        <v>5</v>
      </c>
      <c r="C160" t="s">
        <v>209</v>
      </c>
      <c r="D160" t="s">
        <v>32</v>
      </c>
      <c r="E160" s="1">
        <v>1E-3</v>
      </c>
      <c r="F160" s="3">
        <f t="shared" si="9"/>
        <v>1.024</v>
      </c>
      <c r="G160" s="3">
        <f t="shared" si="10"/>
        <v>1.0199039999999999</v>
      </c>
      <c r="H160" t="str">
        <f t="shared" si="11"/>
        <v>IND</v>
      </c>
      <c r="I160" t="str">
        <f>+_xlfn.XLOOKUP(H160,Sheet1!C:C,Sheet1!B:B,"N/A",0)</f>
        <v>IN</v>
      </c>
      <c r="J160" t="str">
        <f>+_xlfn.XLOOKUP(H160,Sheet1!C:C,Sheet1!D:D,"N/A",0)</f>
        <v>356</v>
      </c>
    </row>
    <row r="161" spans="1:10" x14ac:dyDescent="0.25">
      <c r="A161" t="s">
        <v>4</v>
      </c>
      <c r="B161" t="s">
        <v>5</v>
      </c>
      <c r="C161" t="s">
        <v>212</v>
      </c>
      <c r="D161" t="s">
        <v>32</v>
      </c>
      <c r="E161" s="1">
        <v>1.2160000000000001E-3</v>
      </c>
      <c r="F161" s="3">
        <f t="shared" si="9"/>
        <v>1.2451840000000001</v>
      </c>
      <c r="G161" s="3">
        <f t="shared" si="10"/>
        <v>1.0199039999999999</v>
      </c>
      <c r="H161" t="str">
        <f t="shared" si="11"/>
        <v>IND</v>
      </c>
      <c r="I161" t="str">
        <f>+_xlfn.XLOOKUP(H161,Sheet1!C:C,Sheet1!B:B,"N/A",0)</f>
        <v>IN</v>
      </c>
      <c r="J161" t="str">
        <f>+_xlfn.XLOOKUP(H161,Sheet1!C:C,Sheet1!D:D,"N/A",0)</f>
        <v>356</v>
      </c>
    </row>
    <row r="162" spans="1:10" x14ac:dyDescent="0.25">
      <c r="A162" t="s">
        <v>4</v>
      </c>
      <c r="B162" t="s">
        <v>5</v>
      </c>
      <c r="C162" t="s">
        <v>213</v>
      </c>
      <c r="D162" t="s">
        <v>32</v>
      </c>
      <c r="E162" s="1">
        <v>1E-3</v>
      </c>
      <c r="F162" s="3">
        <f t="shared" si="9"/>
        <v>1.024</v>
      </c>
      <c r="G162" s="3">
        <f t="shared" si="10"/>
        <v>1.0199039999999999</v>
      </c>
      <c r="H162" t="str">
        <f t="shared" si="11"/>
        <v>IND</v>
      </c>
      <c r="I162" t="str">
        <f>+_xlfn.XLOOKUP(H162,Sheet1!C:C,Sheet1!B:B,"N/A",0)</f>
        <v>IN</v>
      </c>
      <c r="J162" t="str">
        <f>+_xlfn.XLOOKUP(H162,Sheet1!C:C,Sheet1!D:D,"N/A",0)</f>
        <v>356</v>
      </c>
    </row>
    <row r="163" spans="1:10" x14ac:dyDescent="0.25">
      <c r="A163" t="s">
        <v>4</v>
      </c>
      <c r="B163" t="s">
        <v>5</v>
      </c>
      <c r="C163" t="s">
        <v>250</v>
      </c>
      <c r="D163" t="s">
        <v>32</v>
      </c>
      <c r="E163" s="1">
        <v>1.2160000000000001E-3</v>
      </c>
      <c r="F163" s="3">
        <f t="shared" si="9"/>
        <v>1.2451840000000001</v>
      </c>
      <c r="G163" s="3">
        <f t="shared" si="10"/>
        <v>1.0199039999999999</v>
      </c>
      <c r="H163" t="str">
        <f t="shared" si="11"/>
        <v>IND</v>
      </c>
      <c r="I163" t="str">
        <f>+_xlfn.XLOOKUP(H163,Sheet1!C:C,Sheet1!B:B,"N/A",0)</f>
        <v>IN</v>
      </c>
      <c r="J163" t="str">
        <f>+_xlfn.XLOOKUP(H163,Sheet1!C:C,Sheet1!D:D,"N/A",0)</f>
        <v>356</v>
      </c>
    </row>
    <row r="164" spans="1:10" x14ac:dyDescent="0.25">
      <c r="A164" t="s">
        <v>4</v>
      </c>
      <c r="B164" t="s">
        <v>5</v>
      </c>
      <c r="C164" t="s">
        <v>263</v>
      </c>
      <c r="D164" t="s">
        <v>32</v>
      </c>
      <c r="E164" s="1">
        <v>1.2160000000000001E-3</v>
      </c>
      <c r="F164" s="3">
        <f t="shared" si="9"/>
        <v>1.2451840000000001</v>
      </c>
      <c r="G164" s="3">
        <f t="shared" si="10"/>
        <v>1.0199039999999999</v>
      </c>
      <c r="H164" t="str">
        <f t="shared" si="11"/>
        <v>IND</v>
      </c>
      <c r="I164" t="str">
        <f>+_xlfn.XLOOKUP(H164,Sheet1!C:C,Sheet1!B:B,"N/A",0)</f>
        <v>IN</v>
      </c>
      <c r="J164" t="str">
        <f>+_xlfn.XLOOKUP(H164,Sheet1!C:C,Sheet1!D:D,"N/A",0)</f>
        <v>356</v>
      </c>
    </row>
    <row r="165" spans="1:10" x14ac:dyDescent="0.25">
      <c r="A165" t="s">
        <v>4</v>
      </c>
      <c r="B165" t="s">
        <v>5</v>
      </c>
      <c r="C165" t="s">
        <v>266</v>
      </c>
      <c r="D165" t="s">
        <v>32</v>
      </c>
      <c r="E165" s="1">
        <v>1.2160000000000001E-3</v>
      </c>
      <c r="F165" s="3">
        <f t="shared" si="9"/>
        <v>1.2451840000000001</v>
      </c>
      <c r="G165" s="3">
        <f t="shared" si="10"/>
        <v>1.0199039999999999</v>
      </c>
      <c r="H165" t="str">
        <f t="shared" si="11"/>
        <v>IND</v>
      </c>
      <c r="I165" t="str">
        <f>+_xlfn.XLOOKUP(H165,Sheet1!C:C,Sheet1!B:B,"N/A",0)</f>
        <v>IN</v>
      </c>
      <c r="J165" t="str">
        <f>+_xlfn.XLOOKUP(H165,Sheet1!C:C,Sheet1!D:D,"N/A",0)</f>
        <v>356</v>
      </c>
    </row>
    <row r="166" spans="1:10" x14ac:dyDescent="0.25">
      <c r="A166" t="s">
        <v>4</v>
      </c>
      <c r="B166" t="s">
        <v>5</v>
      </c>
      <c r="C166" t="s">
        <v>311</v>
      </c>
      <c r="D166" t="s">
        <v>32</v>
      </c>
      <c r="E166" s="1">
        <v>1.2179999999999999E-3</v>
      </c>
      <c r="F166" s="3">
        <f t="shared" si="9"/>
        <v>1.2472319999999999</v>
      </c>
      <c r="G166" s="3">
        <f t="shared" si="10"/>
        <v>1.0199039999999999</v>
      </c>
      <c r="H166" t="str">
        <f t="shared" si="11"/>
        <v>IND</v>
      </c>
      <c r="I166" t="str">
        <f>+_xlfn.XLOOKUP(H166,Sheet1!C:C,Sheet1!B:B,"N/A",0)</f>
        <v>IN</v>
      </c>
      <c r="J166" t="str">
        <f>+_xlfn.XLOOKUP(H166,Sheet1!C:C,Sheet1!D:D,"N/A",0)</f>
        <v>356</v>
      </c>
    </row>
    <row r="167" spans="1:10" x14ac:dyDescent="0.25">
      <c r="A167" t="s">
        <v>4</v>
      </c>
      <c r="B167" t="s">
        <v>5</v>
      </c>
      <c r="C167" t="s">
        <v>312</v>
      </c>
      <c r="D167" t="s">
        <v>32</v>
      </c>
      <c r="E167" s="1">
        <v>1.2160000000000001E-3</v>
      </c>
      <c r="F167" s="3">
        <f t="shared" si="9"/>
        <v>1.2451840000000001</v>
      </c>
      <c r="G167" s="3">
        <f t="shared" si="10"/>
        <v>1.0199039999999999</v>
      </c>
      <c r="H167" t="str">
        <f t="shared" si="11"/>
        <v>IND</v>
      </c>
      <c r="I167" t="str">
        <f>+_xlfn.XLOOKUP(H167,Sheet1!C:C,Sheet1!B:B,"N/A",0)</f>
        <v>IN</v>
      </c>
      <c r="J167" t="str">
        <f>+_xlfn.XLOOKUP(H167,Sheet1!C:C,Sheet1!D:D,"N/A",0)</f>
        <v>356</v>
      </c>
    </row>
    <row r="168" spans="1:10" x14ac:dyDescent="0.25">
      <c r="A168" t="s">
        <v>4</v>
      </c>
      <c r="B168" t="s">
        <v>5</v>
      </c>
      <c r="C168" t="s">
        <v>330</v>
      </c>
      <c r="D168" t="s">
        <v>32</v>
      </c>
      <c r="E168" s="1">
        <v>9.9599999999999992E-4</v>
      </c>
      <c r="F168" s="3">
        <f t="shared" si="9"/>
        <v>1.0199039999999999</v>
      </c>
      <c r="G168" s="3">
        <f t="shared" si="10"/>
        <v>1.0199039999999999</v>
      </c>
      <c r="H168" t="str">
        <f t="shared" si="11"/>
        <v>IND</v>
      </c>
      <c r="I168" t="str">
        <f>+_xlfn.XLOOKUP(H168,Sheet1!C:C,Sheet1!B:B,"N/A",0)</f>
        <v>IN</v>
      </c>
      <c r="J168" t="str">
        <f>+_xlfn.XLOOKUP(H168,Sheet1!C:C,Sheet1!D:D,"N/A",0)</f>
        <v>356</v>
      </c>
    </row>
    <row r="169" spans="1:10" x14ac:dyDescent="0.25">
      <c r="A169" t="s">
        <v>4</v>
      </c>
      <c r="B169" t="s">
        <v>5</v>
      </c>
      <c r="C169" t="s">
        <v>354</v>
      </c>
      <c r="D169" t="s">
        <v>32</v>
      </c>
      <c r="E169" s="1">
        <v>1.2160000000000001E-3</v>
      </c>
      <c r="F169" s="3">
        <f t="shared" si="9"/>
        <v>1.2451840000000001</v>
      </c>
      <c r="G169" s="3">
        <f t="shared" si="10"/>
        <v>1.0199039999999999</v>
      </c>
      <c r="H169" t="str">
        <f t="shared" si="11"/>
        <v>IND</v>
      </c>
      <c r="I169" t="str">
        <f>+_xlfn.XLOOKUP(H169,Sheet1!C:C,Sheet1!B:B,"N/A",0)</f>
        <v>IN</v>
      </c>
      <c r="J169" t="str">
        <f>+_xlfn.XLOOKUP(H169,Sheet1!C:C,Sheet1!D:D,"N/A",0)</f>
        <v>356</v>
      </c>
    </row>
    <row r="170" spans="1:10" x14ac:dyDescent="0.25">
      <c r="A170" t="s">
        <v>4</v>
      </c>
      <c r="B170" t="s">
        <v>5</v>
      </c>
      <c r="C170" t="s">
        <v>358</v>
      </c>
      <c r="D170" t="s">
        <v>32</v>
      </c>
      <c r="E170" s="1">
        <v>1E-3</v>
      </c>
      <c r="F170" s="3">
        <f t="shared" si="9"/>
        <v>1.024</v>
      </c>
      <c r="G170" s="3">
        <f t="shared" si="10"/>
        <v>1.0199039999999999</v>
      </c>
      <c r="H170" t="str">
        <f t="shared" si="11"/>
        <v>IND</v>
      </c>
      <c r="I170" t="str">
        <f>+_xlfn.XLOOKUP(H170,Sheet1!C:C,Sheet1!B:B,"N/A",0)</f>
        <v>IN</v>
      </c>
      <c r="J170" t="str">
        <f>+_xlfn.XLOOKUP(H170,Sheet1!C:C,Sheet1!D:D,"N/A",0)</f>
        <v>356</v>
      </c>
    </row>
    <row r="171" spans="1:10" x14ac:dyDescent="0.25">
      <c r="A171" t="s">
        <v>4</v>
      </c>
      <c r="B171" t="s">
        <v>5</v>
      </c>
      <c r="C171" t="s">
        <v>369</v>
      </c>
      <c r="D171" t="s">
        <v>32</v>
      </c>
      <c r="E171" s="1">
        <v>1.2160000000000001E-3</v>
      </c>
      <c r="F171" s="3">
        <f t="shared" si="9"/>
        <v>1.2451840000000001</v>
      </c>
      <c r="G171" s="3">
        <f t="shared" si="10"/>
        <v>1.0199039999999999</v>
      </c>
      <c r="H171" t="str">
        <f t="shared" si="11"/>
        <v>IND</v>
      </c>
      <c r="I171" t="str">
        <f>+_xlfn.XLOOKUP(H171,Sheet1!C:C,Sheet1!B:B,"N/A",0)</f>
        <v>IN</v>
      </c>
      <c r="J171" t="str">
        <f>+_xlfn.XLOOKUP(H171,Sheet1!C:C,Sheet1!D:D,"N/A",0)</f>
        <v>356</v>
      </c>
    </row>
    <row r="172" spans="1:10" x14ac:dyDescent="0.25">
      <c r="A172" t="s">
        <v>4</v>
      </c>
      <c r="B172" t="s">
        <v>5</v>
      </c>
      <c r="C172" t="s">
        <v>373</v>
      </c>
      <c r="D172" t="s">
        <v>32</v>
      </c>
      <c r="E172" s="1">
        <v>1.2160000000000001E-3</v>
      </c>
      <c r="F172" s="3">
        <f t="shared" si="9"/>
        <v>1.2451840000000001</v>
      </c>
      <c r="G172" s="3">
        <f t="shared" si="10"/>
        <v>1.0199039999999999</v>
      </c>
      <c r="H172" t="str">
        <f t="shared" si="11"/>
        <v>IND</v>
      </c>
      <c r="I172" t="str">
        <f>+_xlfn.XLOOKUP(H172,Sheet1!C:C,Sheet1!B:B,"N/A",0)</f>
        <v>IN</v>
      </c>
      <c r="J172" t="str">
        <f>+_xlfn.XLOOKUP(H172,Sheet1!C:C,Sheet1!D:D,"N/A",0)</f>
        <v>356</v>
      </c>
    </row>
    <row r="173" spans="1:10" x14ac:dyDescent="0.25">
      <c r="A173" t="s">
        <v>4</v>
      </c>
      <c r="B173" t="s">
        <v>5</v>
      </c>
      <c r="C173" t="s">
        <v>374</v>
      </c>
      <c r="D173" t="s">
        <v>32</v>
      </c>
      <c r="E173" s="1">
        <v>5.372E-3</v>
      </c>
      <c r="F173" s="3">
        <f t="shared" si="9"/>
        <v>5.500928</v>
      </c>
      <c r="G173" s="3">
        <f t="shared" si="10"/>
        <v>1.0199039999999999</v>
      </c>
      <c r="H173" t="str">
        <f t="shared" si="11"/>
        <v>IND</v>
      </c>
      <c r="I173" t="str">
        <f>+_xlfn.XLOOKUP(H173,Sheet1!C:C,Sheet1!B:B,"N/A",0)</f>
        <v>IN</v>
      </c>
      <c r="J173" t="str">
        <f>+_xlfn.XLOOKUP(H173,Sheet1!C:C,Sheet1!D:D,"N/A",0)</f>
        <v>356</v>
      </c>
    </row>
    <row r="174" spans="1:10" x14ac:dyDescent="0.25">
      <c r="A174" t="s">
        <v>4</v>
      </c>
      <c r="B174" t="s">
        <v>5</v>
      </c>
      <c r="C174" t="s">
        <v>377</v>
      </c>
      <c r="D174" t="s">
        <v>32</v>
      </c>
      <c r="E174" s="1">
        <v>1E-3</v>
      </c>
      <c r="F174" s="3">
        <f t="shared" si="9"/>
        <v>1.024</v>
      </c>
      <c r="G174" s="3">
        <f t="shared" si="10"/>
        <v>1.0199039999999999</v>
      </c>
      <c r="H174" t="str">
        <f t="shared" si="11"/>
        <v>IND</v>
      </c>
      <c r="I174" t="str">
        <f>+_xlfn.XLOOKUP(H174,Sheet1!C:C,Sheet1!B:B,"N/A",0)</f>
        <v>IN</v>
      </c>
      <c r="J174" t="str">
        <f>+_xlfn.XLOOKUP(H174,Sheet1!C:C,Sheet1!D:D,"N/A",0)</f>
        <v>356</v>
      </c>
    </row>
    <row r="175" spans="1:10" x14ac:dyDescent="0.25">
      <c r="A175" t="s">
        <v>4</v>
      </c>
      <c r="B175" t="s">
        <v>5</v>
      </c>
      <c r="C175" t="s">
        <v>380</v>
      </c>
      <c r="D175" t="s">
        <v>32</v>
      </c>
      <c r="E175" s="1">
        <v>1.2160000000000001E-3</v>
      </c>
      <c r="F175" s="3">
        <f t="shared" si="9"/>
        <v>1.2451840000000001</v>
      </c>
      <c r="G175" s="3">
        <f t="shared" si="10"/>
        <v>1.0199039999999999</v>
      </c>
      <c r="H175" t="str">
        <f t="shared" si="11"/>
        <v>IND</v>
      </c>
      <c r="I175" t="str">
        <f>+_xlfn.XLOOKUP(H175,Sheet1!C:C,Sheet1!B:B,"N/A",0)</f>
        <v>IN</v>
      </c>
      <c r="J175" t="str">
        <f>+_xlfn.XLOOKUP(H175,Sheet1!C:C,Sheet1!D:D,"N/A",0)</f>
        <v>356</v>
      </c>
    </row>
    <row r="176" spans="1:10" x14ac:dyDescent="0.25">
      <c r="A176" t="s">
        <v>4</v>
      </c>
      <c r="B176" t="s">
        <v>5</v>
      </c>
      <c r="C176" t="s">
        <v>381</v>
      </c>
      <c r="D176" t="s">
        <v>32</v>
      </c>
      <c r="E176" s="1">
        <v>1E-3</v>
      </c>
      <c r="F176" s="3">
        <f t="shared" si="9"/>
        <v>1.024</v>
      </c>
      <c r="G176" s="3">
        <f t="shared" si="10"/>
        <v>1.0199039999999999</v>
      </c>
      <c r="H176" t="str">
        <f t="shared" si="11"/>
        <v>IND</v>
      </c>
      <c r="I176" t="str">
        <f>+_xlfn.XLOOKUP(H176,Sheet1!C:C,Sheet1!B:B,"N/A",0)</f>
        <v>IN</v>
      </c>
      <c r="J176" t="str">
        <f>+_xlfn.XLOOKUP(H176,Sheet1!C:C,Sheet1!D:D,"N/A",0)</f>
        <v>356</v>
      </c>
    </row>
    <row r="177" spans="1:10" x14ac:dyDescent="0.25">
      <c r="A177" t="s">
        <v>4</v>
      </c>
      <c r="B177" t="s">
        <v>5</v>
      </c>
      <c r="C177" t="s">
        <v>384</v>
      </c>
      <c r="D177" t="s">
        <v>32</v>
      </c>
      <c r="E177" s="1">
        <v>1.2160000000000001E-3</v>
      </c>
      <c r="F177" s="3">
        <f t="shared" si="9"/>
        <v>1.2451840000000001</v>
      </c>
      <c r="G177" s="3">
        <f t="shared" si="10"/>
        <v>1.0199039999999999</v>
      </c>
      <c r="H177" t="str">
        <f t="shared" si="11"/>
        <v>IND</v>
      </c>
      <c r="I177" t="str">
        <f>+_xlfn.XLOOKUP(H177,Sheet1!C:C,Sheet1!B:B,"N/A",0)</f>
        <v>IN</v>
      </c>
      <c r="J177" t="str">
        <f>+_xlfn.XLOOKUP(H177,Sheet1!C:C,Sheet1!D:D,"N/A",0)</f>
        <v>356</v>
      </c>
    </row>
    <row r="178" spans="1:10" x14ac:dyDescent="0.25">
      <c r="A178" t="s">
        <v>4</v>
      </c>
      <c r="B178" t="s">
        <v>5</v>
      </c>
      <c r="C178" t="s">
        <v>411</v>
      </c>
      <c r="D178" t="s">
        <v>32</v>
      </c>
      <c r="E178" s="1">
        <v>1.2160000000000001E-3</v>
      </c>
      <c r="F178" s="3">
        <f t="shared" si="9"/>
        <v>1.2451840000000001</v>
      </c>
      <c r="G178" s="3">
        <f t="shared" si="10"/>
        <v>1.0199039999999999</v>
      </c>
      <c r="H178" t="str">
        <f t="shared" si="11"/>
        <v>IND</v>
      </c>
      <c r="I178" t="str">
        <f>+_xlfn.XLOOKUP(H178,Sheet1!C:C,Sheet1!B:B,"N/A",0)</f>
        <v>IN</v>
      </c>
      <c r="J178" t="str">
        <f>+_xlfn.XLOOKUP(H178,Sheet1!C:C,Sheet1!D:D,"N/A",0)</f>
        <v>356</v>
      </c>
    </row>
    <row r="179" spans="1:10" x14ac:dyDescent="0.25">
      <c r="A179" t="s">
        <v>4</v>
      </c>
      <c r="B179" t="s">
        <v>5</v>
      </c>
      <c r="C179" t="s">
        <v>414</v>
      </c>
      <c r="D179" t="s">
        <v>32</v>
      </c>
      <c r="E179" s="1">
        <v>1.217E-3</v>
      </c>
      <c r="F179" s="3">
        <f t="shared" si="9"/>
        <v>1.246208</v>
      </c>
      <c r="G179" s="3">
        <f t="shared" si="10"/>
        <v>1.0199039999999999</v>
      </c>
      <c r="H179" t="str">
        <f t="shared" si="11"/>
        <v>IND</v>
      </c>
      <c r="I179" t="str">
        <f>+_xlfn.XLOOKUP(H179,Sheet1!C:C,Sheet1!B:B,"N/A",0)</f>
        <v>IN</v>
      </c>
      <c r="J179" t="str">
        <f>+_xlfn.XLOOKUP(H179,Sheet1!C:C,Sheet1!D:D,"N/A",0)</f>
        <v>356</v>
      </c>
    </row>
    <row r="180" spans="1:10" x14ac:dyDescent="0.25">
      <c r="A180" t="s">
        <v>4</v>
      </c>
      <c r="B180" t="s">
        <v>5</v>
      </c>
      <c r="C180" t="s">
        <v>417</v>
      </c>
      <c r="D180" t="s">
        <v>32</v>
      </c>
      <c r="E180" s="1">
        <v>1.2160000000000001E-3</v>
      </c>
      <c r="F180" s="3">
        <f t="shared" si="9"/>
        <v>1.2451840000000001</v>
      </c>
      <c r="G180" s="3">
        <f t="shared" si="10"/>
        <v>1.0199039999999999</v>
      </c>
      <c r="H180" t="str">
        <f t="shared" si="11"/>
        <v>IND</v>
      </c>
      <c r="I180" t="str">
        <f>+_xlfn.XLOOKUP(H180,Sheet1!C:C,Sheet1!B:B,"N/A",0)</f>
        <v>IN</v>
      </c>
      <c r="J180" t="str">
        <f>+_xlfn.XLOOKUP(H180,Sheet1!C:C,Sheet1!D:D,"N/A",0)</f>
        <v>356</v>
      </c>
    </row>
    <row r="181" spans="1:10" x14ac:dyDescent="0.25">
      <c r="A181" t="s">
        <v>4</v>
      </c>
      <c r="B181" t="s">
        <v>5</v>
      </c>
      <c r="C181" t="s">
        <v>418</v>
      </c>
      <c r="D181" t="s">
        <v>32</v>
      </c>
      <c r="E181" s="1">
        <v>1.2160000000000001E-3</v>
      </c>
      <c r="F181" s="3">
        <f t="shared" si="9"/>
        <v>1.2451840000000001</v>
      </c>
      <c r="G181" s="3">
        <f t="shared" si="10"/>
        <v>1.0199039999999999</v>
      </c>
      <c r="H181" t="str">
        <f t="shared" si="11"/>
        <v>IND</v>
      </c>
      <c r="I181" t="str">
        <f>+_xlfn.XLOOKUP(H181,Sheet1!C:C,Sheet1!B:B,"N/A",0)</f>
        <v>IN</v>
      </c>
      <c r="J181" t="str">
        <f>+_xlfn.XLOOKUP(H181,Sheet1!C:C,Sheet1!D:D,"N/A",0)</f>
        <v>356</v>
      </c>
    </row>
    <row r="182" spans="1:10" x14ac:dyDescent="0.25">
      <c r="A182" t="s">
        <v>4</v>
      </c>
      <c r="B182" t="s">
        <v>5</v>
      </c>
      <c r="C182" t="s">
        <v>419</v>
      </c>
      <c r="D182" t="s">
        <v>32</v>
      </c>
      <c r="E182" s="1">
        <v>1E-3</v>
      </c>
      <c r="F182" s="3">
        <f t="shared" si="9"/>
        <v>1.024</v>
      </c>
      <c r="G182" s="3">
        <f t="shared" si="10"/>
        <v>1.0199039999999999</v>
      </c>
      <c r="H182" t="str">
        <f t="shared" si="11"/>
        <v>IND</v>
      </c>
      <c r="I182" t="str">
        <f>+_xlfn.XLOOKUP(H182,Sheet1!C:C,Sheet1!B:B,"N/A",0)</f>
        <v>IN</v>
      </c>
      <c r="J182" t="str">
        <f>+_xlfn.XLOOKUP(H182,Sheet1!C:C,Sheet1!D:D,"N/A",0)</f>
        <v>356</v>
      </c>
    </row>
    <row r="183" spans="1:10" x14ac:dyDescent="0.25">
      <c r="A183" t="s">
        <v>4</v>
      </c>
      <c r="B183" t="s">
        <v>5</v>
      </c>
      <c r="C183" t="s">
        <v>421</v>
      </c>
      <c r="D183" t="s">
        <v>32</v>
      </c>
      <c r="E183" s="1">
        <v>1E-3</v>
      </c>
      <c r="F183" s="3">
        <f t="shared" si="9"/>
        <v>1.024</v>
      </c>
      <c r="G183" s="3">
        <f t="shared" si="10"/>
        <v>1.0199039999999999</v>
      </c>
      <c r="H183" t="str">
        <f t="shared" si="11"/>
        <v>IND</v>
      </c>
      <c r="I183" t="str">
        <f>+_xlfn.XLOOKUP(H183,Sheet1!C:C,Sheet1!B:B,"N/A",0)</f>
        <v>IN</v>
      </c>
      <c r="J183" t="str">
        <f>+_xlfn.XLOOKUP(H183,Sheet1!C:C,Sheet1!D:D,"N/A",0)</f>
        <v>356</v>
      </c>
    </row>
    <row r="184" spans="1:10" x14ac:dyDescent="0.25">
      <c r="A184" t="s">
        <v>4</v>
      </c>
      <c r="B184" t="s">
        <v>5</v>
      </c>
      <c r="C184" t="s">
        <v>431</v>
      </c>
      <c r="D184" t="s">
        <v>32</v>
      </c>
      <c r="E184" s="1">
        <v>5.372E-3</v>
      </c>
      <c r="F184" s="3">
        <f t="shared" si="9"/>
        <v>5.500928</v>
      </c>
      <c r="G184" s="3">
        <f t="shared" si="10"/>
        <v>1.0199039999999999</v>
      </c>
      <c r="H184" t="str">
        <f t="shared" si="11"/>
        <v>IND</v>
      </c>
      <c r="I184" t="str">
        <f>+_xlfn.XLOOKUP(H184,Sheet1!C:C,Sheet1!B:B,"N/A",0)</f>
        <v>IN</v>
      </c>
      <c r="J184" t="str">
        <f>+_xlfn.XLOOKUP(H184,Sheet1!C:C,Sheet1!D:D,"N/A",0)</f>
        <v>356</v>
      </c>
    </row>
    <row r="185" spans="1:10" x14ac:dyDescent="0.25">
      <c r="A185" t="s">
        <v>4</v>
      </c>
      <c r="B185" t="s">
        <v>5</v>
      </c>
      <c r="C185" t="s">
        <v>448</v>
      </c>
      <c r="D185" t="s">
        <v>32</v>
      </c>
      <c r="E185" s="1">
        <v>1E-3</v>
      </c>
      <c r="F185" s="3">
        <f t="shared" si="9"/>
        <v>1.024</v>
      </c>
      <c r="G185" s="3">
        <f t="shared" si="10"/>
        <v>1.0199039999999999</v>
      </c>
      <c r="H185" t="str">
        <f t="shared" si="11"/>
        <v>IND</v>
      </c>
      <c r="I185" t="str">
        <f>+_xlfn.XLOOKUP(H185,Sheet1!C:C,Sheet1!B:B,"N/A",0)</f>
        <v>IN</v>
      </c>
      <c r="J185" t="str">
        <f>+_xlfn.XLOOKUP(H185,Sheet1!C:C,Sheet1!D:D,"N/A",0)</f>
        <v>356</v>
      </c>
    </row>
    <row r="186" spans="1:10" x14ac:dyDescent="0.25">
      <c r="A186" t="s">
        <v>4</v>
      </c>
      <c r="B186" t="s">
        <v>5</v>
      </c>
      <c r="C186" t="s">
        <v>456</v>
      </c>
      <c r="D186" t="s">
        <v>32</v>
      </c>
      <c r="E186" s="1">
        <v>5.372E-3</v>
      </c>
      <c r="F186" s="3">
        <f t="shared" si="9"/>
        <v>5.500928</v>
      </c>
      <c r="G186" s="3">
        <f t="shared" si="10"/>
        <v>1.0199039999999999</v>
      </c>
      <c r="H186" t="str">
        <f t="shared" si="11"/>
        <v>IND</v>
      </c>
      <c r="I186" t="str">
        <f>+_xlfn.XLOOKUP(H186,Sheet1!C:C,Sheet1!B:B,"N/A",0)</f>
        <v>IN</v>
      </c>
      <c r="J186" t="str">
        <f>+_xlfn.XLOOKUP(H186,Sheet1!C:C,Sheet1!D:D,"N/A",0)</f>
        <v>356</v>
      </c>
    </row>
    <row r="187" spans="1:10" x14ac:dyDescent="0.25">
      <c r="A187" t="s">
        <v>4</v>
      </c>
      <c r="B187" t="s">
        <v>5</v>
      </c>
      <c r="C187" t="s">
        <v>468</v>
      </c>
      <c r="D187" t="s">
        <v>32</v>
      </c>
      <c r="E187" s="1">
        <v>5.3759999999999997E-3</v>
      </c>
      <c r="F187" s="3">
        <f t="shared" si="9"/>
        <v>5.5050239999999997</v>
      </c>
      <c r="G187" s="3">
        <f t="shared" si="10"/>
        <v>1.0199039999999999</v>
      </c>
      <c r="H187" t="str">
        <f t="shared" si="11"/>
        <v>IND</v>
      </c>
      <c r="I187" t="str">
        <f>+_xlfn.XLOOKUP(H187,Sheet1!C:C,Sheet1!B:B,"N/A",0)</f>
        <v>IN</v>
      </c>
      <c r="J187" t="str">
        <f>+_xlfn.XLOOKUP(H187,Sheet1!C:C,Sheet1!D:D,"N/A",0)</f>
        <v>356</v>
      </c>
    </row>
    <row r="188" spans="1:10" x14ac:dyDescent="0.25">
      <c r="A188" t="s">
        <v>4</v>
      </c>
      <c r="B188" t="s">
        <v>5</v>
      </c>
      <c r="C188" t="s">
        <v>474</v>
      </c>
      <c r="D188" t="s">
        <v>32</v>
      </c>
      <c r="E188" s="1">
        <v>1.2160000000000001E-3</v>
      </c>
      <c r="F188" s="3">
        <f t="shared" si="9"/>
        <v>1.2451840000000001</v>
      </c>
      <c r="G188" s="3">
        <f t="shared" si="10"/>
        <v>1.0199039999999999</v>
      </c>
      <c r="H188" t="str">
        <f t="shared" si="11"/>
        <v>IND</v>
      </c>
      <c r="I188" t="str">
        <f>+_xlfn.XLOOKUP(H188,Sheet1!C:C,Sheet1!B:B,"N/A",0)</f>
        <v>IN</v>
      </c>
      <c r="J188" t="str">
        <f>+_xlfn.XLOOKUP(H188,Sheet1!C:C,Sheet1!D:D,"N/A",0)</f>
        <v>356</v>
      </c>
    </row>
    <row r="189" spans="1:10" x14ac:dyDescent="0.25">
      <c r="A189" t="s">
        <v>4</v>
      </c>
      <c r="B189" t="s">
        <v>5</v>
      </c>
      <c r="C189" t="s">
        <v>504</v>
      </c>
      <c r="D189" t="s">
        <v>32</v>
      </c>
      <c r="E189" s="1">
        <v>1E-3</v>
      </c>
      <c r="F189" s="3">
        <f t="shared" si="9"/>
        <v>1.024</v>
      </c>
      <c r="G189" s="3">
        <f t="shared" si="10"/>
        <v>1.0199039999999999</v>
      </c>
      <c r="H189" t="str">
        <f t="shared" si="11"/>
        <v>IND</v>
      </c>
      <c r="I189" t="str">
        <f>+_xlfn.XLOOKUP(H189,Sheet1!C:C,Sheet1!B:B,"N/A",0)</f>
        <v>IN</v>
      </c>
      <c r="J189" t="str">
        <f>+_xlfn.XLOOKUP(H189,Sheet1!C:C,Sheet1!D:D,"N/A",0)</f>
        <v>356</v>
      </c>
    </row>
    <row r="190" spans="1:10" x14ac:dyDescent="0.25">
      <c r="A190" t="s">
        <v>4</v>
      </c>
      <c r="B190" t="s">
        <v>5</v>
      </c>
      <c r="C190" t="s">
        <v>575</v>
      </c>
      <c r="D190" t="s">
        <v>32</v>
      </c>
      <c r="E190" s="1">
        <v>1.0039999999999999E-3</v>
      </c>
      <c r="F190" s="3">
        <f t="shared" si="9"/>
        <v>1.0280959999999999</v>
      </c>
      <c r="G190" s="3">
        <f t="shared" si="10"/>
        <v>1.0199039999999999</v>
      </c>
      <c r="H190" t="str">
        <f t="shared" si="11"/>
        <v>IND</v>
      </c>
      <c r="I190" t="str">
        <f>+_xlfn.XLOOKUP(H190,Sheet1!C:C,Sheet1!B:B,"N/A",0)</f>
        <v>IN</v>
      </c>
      <c r="J190" t="str">
        <f>+_xlfn.XLOOKUP(H190,Sheet1!C:C,Sheet1!D:D,"N/A",0)</f>
        <v>356</v>
      </c>
    </row>
    <row r="191" spans="1:10" x14ac:dyDescent="0.25">
      <c r="A191" t="s">
        <v>4</v>
      </c>
      <c r="B191" t="s">
        <v>5</v>
      </c>
      <c r="C191" t="s">
        <v>585</v>
      </c>
      <c r="D191" t="s">
        <v>32</v>
      </c>
      <c r="E191" s="1">
        <v>1.2160000000000001E-3</v>
      </c>
      <c r="F191" s="3">
        <f t="shared" si="9"/>
        <v>1.2451840000000001</v>
      </c>
      <c r="G191" s="3">
        <f t="shared" si="10"/>
        <v>1.0199039999999999</v>
      </c>
      <c r="H191" t="str">
        <f t="shared" si="11"/>
        <v>IND</v>
      </c>
      <c r="I191" t="str">
        <f>+_xlfn.XLOOKUP(H191,Sheet1!C:C,Sheet1!B:B,"N/A",0)</f>
        <v>IN</v>
      </c>
      <c r="J191" t="str">
        <f>+_xlfn.XLOOKUP(H191,Sheet1!C:C,Sheet1!D:D,"N/A",0)</f>
        <v>356</v>
      </c>
    </row>
    <row r="192" spans="1:10" x14ac:dyDescent="0.25">
      <c r="A192" t="s">
        <v>4</v>
      </c>
      <c r="B192" t="s">
        <v>5</v>
      </c>
      <c r="C192" t="s">
        <v>596</v>
      </c>
      <c r="D192" t="s">
        <v>32</v>
      </c>
      <c r="E192" s="1">
        <v>1.2160000000000001E-3</v>
      </c>
      <c r="F192" s="3">
        <f t="shared" si="9"/>
        <v>1.2451840000000001</v>
      </c>
      <c r="G192" s="3">
        <f t="shared" si="10"/>
        <v>1.0199039999999999</v>
      </c>
      <c r="H192" t="str">
        <f t="shared" si="11"/>
        <v>IND</v>
      </c>
      <c r="I192" t="str">
        <f>+_xlfn.XLOOKUP(H192,Sheet1!C:C,Sheet1!B:B,"N/A",0)</f>
        <v>IN</v>
      </c>
      <c r="J192" t="str">
        <f>+_xlfn.XLOOKUP(H192,Sheet1!C:C,Sheet1!D:D,"N/A",0)</f>
        <v>356</v>
      </c>
    </row>
    <row r="193" spans="1:10" x14ac:dyDescent="0.25">
      <c r="A193" t="s">
        <v>4</v>
      </c>
      <c r="B193" t="s">
        <v>5</v>
      </c>
      <c r="C193" t="s">
        <v>601</v>
      </c>
      <c r="D193" t="s">
        <v>32</v>
      </c>
      <c r="E193" s="1">
        <v>1.2160000000000001E-3</v>
      </c>
      <c r="F193" s="3">
        <f t="shared" si="9"/>
        <v>1.2451840000000001</v>
      </c>
      <c r="G193" s="3">
        <f t="shared" si="10"/>
        <v>1.0199039999999999</v>
      </c>
      <c r="H193" t="str">
        <f t="shared" si="11"/>
        <v>IND</v>
      </c>
      <c r="I193" t="str">
        <f>+_xlfn.XLOOKUP(H193,Sheet1!C:C,Sheet1!B:B,"N/A",0)</f>
        <v>IN</v>
      </c>
      <c r="J193" t="str">
        <f>+_xlfn.XLOOKUP(H193,Sheet1!C:C,Sheet1!D:D,"N/A",0)</f>
        <v>356</v>
      </c>
    </row>
    <row r="194" spans="1:10" x14ac:dyDescent="0.25">
      <c r="A194" t="s">
        <v>4</v>
      </c>
      <c r="B194" t="s">
        <v>5</v>
      </c>
      <c r="C194" t="s">
        <v>454</v>
      </c>
      <c r="D194" t="s">
        <v>455</v>
      </c>
      <c r="E194" s="1">
        <v>1E-3</v>
      </c>
      <c r="F194" s="3">
        <f t="shared" si="9"/>
        <v>1.024</v>
      </c>
      <c r="G194" s="3">
        <f t="shared" si="10"/>
        <v>0.56832000000000005</v>
      </c>
      <c r="H194" t="str">
        <f t="shared" si="11"/>
        <v>IDN</v>
      </c>
      <c r="I194" t="str">
        <f>+_xlfn.XLOOKUP(H194,Sheet1!C:C,Sheet1!B:B,"N/A",0)</f>
        <v>ID</v>
      </c>
      <c r="J194" t="str">
        <f>+_xlfn.XLOOKUP(H194,Sheet1!C:C,Sheet1!D:D,"N/A",0)</f>
        <v>360</v>
      </c>
    </row>
    <row r="195" spans="1:10" x14ac:dyDescent="0.25">
      <c r="A195" t="s">
        <v>4</v>
      </c>
      <c r="B195" t="s">
        <v>5</v>
      </c>
      <c r="C195" t="s">
        <v>488</v>
      </c>
      <c r="D195" t="s">
        <v>455</v>
      </c>
      <c r="E195" s="1">
        <v>5.5500000000000005E-4</v>
      </c>
      <c r="F195" s="3">
        <f t="shared" ref="F195:F258" si="12">E195*1024</f>
        <v>0.56832000000000005</v>
      </c>
      <c r="G195" s="3">
        <f t="shared" si="10"/>
        <v>0.56832000000000005</v>
      </c>
      <c r="H195" t="str">
        <f t="shared" si="11"/>
        <v>IDN</v>
      </c>
      <c r="I195" t="str">
        <f>+_xlfn.XLOOKUP(H195,Sheet1!C:C,Sheet1!B:B,"N/A",0)</f>
        <v>ID</v>
      </c>
      <c r="J195" t="str">
        <f>+_xlfn.XLOOKUP(H195,Sheet1!C:C,Sheet1!D:D,"N/A",0)</f>
        <v>360</v>
      </c>
    </row>
    <row r="196" spans="1:10" x14ac:dyDescent="0.25">
      <c r="A196" t="s">
        <v>4</v>
      </c>
      <c r="B196" t="s">
        <v>5</v>
      </c>
      <c r="C196" t="s">
        <v>220</v>
      </c>
      <c r="D196" t="s">
        <v>221</v>
      </c>
      <c r="E196" s="1">
        <v>5.0280000000000004E-3</v>
      </c>
      <c r="F196" s="3">
        <f t="shared" si="12"/>
        <v>5.1486720000000004</v>
      </c>
      <c r="G196" s="3">
        <f t="shared" si="10"/>
        <v>5.12</v>
      </c>
      <c r="H196" t="str">
        <f t="shared" si="11"/>
        <v>IRN</v>
      </c>
      <c r="I196" t="str">
        <f>+_xlfn.XLOOKUP(H196,Sheet1!C:C,Sheet1!B:B,"N/A",0)</f>
        <v>IR</v>
      </c>
      <c r="J196" t="str">
        <f>+_xlfn.XLOOKUP(H196,Sheet1!C:C,Sheet1!D:D,"N/A",0)</f>
        <v>364</v>
      </c>
    </row>
    <row r="197" spans="1:10" x14ac:dyDescent="0.25">
      <c r="A197" t="s">
        <v>4</v>
      </c>
      <c r="B197" t="s">
        <v>5</v>
      </c>
      <c r="C197" t="s">
        <v>473</v>
      </c>
      <c r="D197" t="s">
        <v>221</v>
      </c>
      <c r="E197" s="1">
        <v>5.0000000000000001E-3</v>
      </c>
      <c r="F197" s="3">
        <f t="shared" si="12"/>
        <v>5.12</v>
      </c>
      <c r="G197" s="3">
        <f t="shared" si="10"/>
        <v>5.12</v>
      </c>
      <c r="H197" t="str">
        <f t="shared" si="11"/>
        <v>IRN</v>
      </c>
      <c r="I197" t="str">
        <f>+_xlfn.XLOOKUP(H197,Sheet1!C:C,Sheet1!B:B,"N/A",0)</f>
        <v>IR</v>
      </c>
      <c r="J197" t="str">
        <f>+_xlfn.XLOOKUP(H197,Sheet1!C:C,Sheet1!D:D,"N/A",0)</f>
        <v>364</v>
      </c>
    </row>
    <row r="198" spans="1:10" x14ac:dyDescent="0.25">
      <c r="A198" t="s">
        <v>4</v>
      </c>
      <c r="B198" t="s">
        <v>5</v>
      </c>
      <c r="C198" t="s">
        <v>273</v>
      </c>
      <c r="D198" t="s">
        <v>274</v>
      </c>
      <c r="E198" s="1">
        <v>1.01E-3</v>
      </c>
      <c r="F198" s="3">
        <f t="shared" si="12"/>
        <v>1.03424</v>
      </c>
      <c r="G198" s="3">
        <f t="shared" si="10"/>
        <v>1.03424</v>
      </c>
      <c r="H198" t="str">
        <f t="shared" si="11"/>
        <v>IRQ</v>
      </c>
      <c r="I198" t="str">
        <f>+_xlfn.XLOOKUP(H198,Sheet1!C:C,Sheet1!B:B,"N/A",0)</f>
        <v>IQ</v>
      </c>
      <c r="J198" t="str">
        <f>+_xlfn.XLOOKUP(H198,Sheet1!C:C,Sheet1!D:D,"N/A",0)</f>
        <v>368</v>
      </c>
    </row>
    <row r="199" spans="1:10" x14ac:dyDescent="0.25">
      <c r="A199" t="s">
        <v>4</v>
      </c>
      <c r="B199" t="s">
        <v>5</v>
      </c>
      <c r="C199" t="s">
        <v>183</v>
      </c>
      <c r="D199" t="s">
        <v>184</v>
      </c>
      <c r="E199" s="1">
        <v>5.5999999999999995E-4</v>
      </c>
      <c r="F199" s="3">
        <f t="shared" si="12"/>
        <v>0.57343999999999995</v>
      </c>
      <c r="G199" s="3">
        <f t="shared" si="10"/>
        <v>0.57343999999999995</v>
      </c>
      <c r="H199" t="str">
        <f t="shared" si="11"/>
        <v>IRL</v>
      </c>
      <c r="I199" t="str">
        <f>+_xlfn.XLOOKUP(H199,Sheet1!C:C,Sheet1!B:B,"N/A",0)</f>
        <v>IE</v>
      </c>
      <c r="J199" t="str">
        <f>+_xlfn.XLOOKUP(H199,Sheet1!C:C,Sheet1!D:D,"N/A",0)</f>
        <v>372</v>
      </c>
    </row>
    <row r="200" spans="1:10" x14ac:dyDescent="0.25">
      <c r="A200" t="s">
        <v>4</v>
      </c>
      <c r="B200" t="s">
        <v>5</v>
      </c>
      <c r="C200" t="s">
        <v>249</v>
      </c>
      <c r="D200" t="s">
        <v>184</v>
      </c>
      <c r="E200" s="1">
        <v>8.1400000000000005E-4</v>
      </c>
      <c r="F200" s="3">
        <f t="shared" si="12"/>
        <v>0.83353600000000005</v>
      </c>
      <c r="G200" s="3">
        <f t="shared" si="10"/>
        <v>0.57343999999999995</v>
      </c>
      <c r="H200" t="str">
        <f t="shared" si="11"/>
        <v>IRL</v>
      </c>
      <c r="I200" t="str">
        <f>+_xlfn.XLOOKUP(H200,Sheet1!C:C,Sheet1!B:B,"N/A",0)</f>
        <v>IE</v>
      </c>
      <c r="J200" t="str">
        <f>+_xlfn.XLOOKUP(H200,Sheet1!C:C,Sheet1!D:D,"N/A",0)</f>
        <v>372</v>
      </c>
    </row>
    <row r="201" spans="1:10" x14ac:dyDescent="0.25">
      <c r="A201" t="s">
        <v>4</v>
      </c>
      <c r="B201" t="s">
        <v>5</v>
      </c>
      <c r="C201" t="s">
        <v>562</v>
      </c>
      <c r="D201" t="s">
        <v>184</v>
      </c>
      <c r="E201" s="1">
        <v>7.6599999999999997E-4</v>
      </c>
      <c r="F201" s="3">
        <f t="shared" si="12"/>
        <v>0.78438399999999997</v>
      </c>
      <c r="G201" s="3">
        <f t="shared" si="10"/>
        <v>0.57343999999999995</v>
      </c>
      <c r="H201" t="str">
        <f t="shared" si="11"/>
        <v>IRL</v>
      </c>
      <c r="I201" t="str">
        <f>+_xlfn.XLOOKUP(H201,Sheet1!C:C,Sheet1!B:B,"N/A",0)</f>
        <v>IE</v>
      </c>
      <c r="J201" t="str">
        <f>+_xlfn.XLOOKUP(H201,Sheet1!C:C,Sheet1!D:D,"N/A",0)</f>
        <v>372</v>
      </c>
    </row>
    <row r="202" spans="1:10" x14ac:dyDescent="0.25">
      <c r="A202" t="s">
        <v>4</v>
      </c>
      <c r="B202" t="s">
        <v>5</v>
      </c>
      <c r="C202" t="s">
        <v>143</v>
      </c>
      <c r="D202" t="s">
        <v>144</v>
      </c>
      <c r="E202" s="1">
        <v>1.1999999999999999E-3</v>
      </c>
      <c r="F202" s="3">
        <f t="shared" si="12"/>
        <v>1.2287999999999999</v>
      </c>
      <c r="G202" s="3">
        <f t="shared" si="10"/>
        <v>0.52019199999999999</v>
      </c>
      <c r="H202" t="str">
        <f t="shared" si="11"/>
        <v>ISR</v>
      </c>
      <c r="I202" t="str">
        <f>+_xlfn.XLOOKUP(H202,Sheet1!C:C,Sheet1!B:B,"N/A",0)</f>
        <v>IL</v>
      </c>
      <c r="J202" t="str">
        <f>+_xlfn.XLOOKUP(H202,Sheet1!C:C,Sheet1!D:D,"N/A",0)</f>
        <v>376</v>
      </c>
    </row>
    <row r="203" spans="1:10" x14ac:dyDescent="0.25">
      <c r="A203" t="s">
        <v>4</v>
      </c>
      <c r="B203" t="s">
        <v>5</v>
      </c>
      <c r="C203" t="s">
        <v>165</v>
      </c>
      <c r="D203" t="s">
        <v>144</v>
      </c>
      <c r="E203" s="1">
        <v>1.1999999999999999E-3</v>
      </c>
      <c r="F203" s="3">
        <f t="shared" si="12"/>
        <v>1.2287999999999999</v>
      </c>
      <c r="G203" s="3">
        <f t="shared" si="10"/>
        <v>0.52019199999999999</v>
      </c>
      <c r="H203" t="str">
        <f t="shared" si="11"/>
        <v>ISR</v>
      </c>
      <c r="I203" t="str">
        <f>+_xlfn.XLOOKUP(H203,Sheet1!C:C,Sheet1!B:B,"N/A",0)</f>
        <v>IL</v>
      </c>
      <c r="J203" t="str">
        <f>+_xlfn.XLOOKUP(H203,Sheet1!C:C,Sheet1!D:D,"N/A",0)</f>
        <v>376</v>
      </c>
    </row>
    <row r="204" spans="1:10" x14ac:dyDescent="0.25">
      <c r="A204" t="s">
        <v>4</v>
      </c>
      <c r="B204" t="s">
        <v>5</v>
      </c>
      <c r="C204" t="s">
        <v>300</v>
      </c>
      <c r="D204" t="s">
        <v>144</v>
      </c>
      <c r="E204" s="1">
        <v>5.1999999999999995E-4</v>
      </c>
      <c r="F204" s="3">
        <f t="shared" si="12"/>
        <v>0.53247999999999995</v>
      </c>
      <c r="G204" s="3">
        <f t="shared" si="10"/>
        <v>0.52019199999999999</v>
      </c>
      <c r="H204" t="str">
        <f t="shared" si="11"/>
        <v>ISR</v>
      </c>
      <c r="I204" t="str">
        <f>+_xlfn.XLOOKUP(H204,Sheet1!C:C,Sheet1!B:B,"N/A",0)</f>
        <v>IL</v>
      </c>
      <c r="J204" t="str">
        <f>+_xlfn.XLOOKUP(H204,Sheet1!C:C,Sheet1!D:D,"N/A",0)</f>
        <v>376</v>
      </c>
    </row>
    <row r="205" spans="1:10" x14ac:dyDescent="0.25">
      <c r="A205" t="s">
        <v>4</v>
      </c>
      <c r="B205" t="s">
        <v>5</v>
      </c>
      <c r="C205" t="s">
        <v>335</v>
      </c>
      <c r="D205" t="s">
        <v>144</v>
      </c>
      <c r="F205" s="3">
        <f t="shared" si="12"/>
        <v>0</v>
      </c>
      <c r="G205" s="3">
        <f t="shared" si="10"/>
        <v>0.52019199999999999</v>
      </c>
      <c r="H205" t="str">
        <f t="shared" si="11"/>
        <v>ISR</v>
      </c>
      <c r="I205" t="str">
        <f>+_xlfn.XLOOKUP(H205,Sheet1!C:C,Sheet1!B:B,"N/A",0)</f>
        <v>IL</v>
      </c>
      <c r="J205" t="str">
        <f>+_xlfn.XLOOKUP(H205,Sheet1!C:C,Sheet1!D:D,"N/A",0)</f>
        <v>376</v>
      </c>
    </row>
    <row r="206" spans="1:10" x14ac:dyDescent="0.25">
      <c r="A206" t="s">
        <v>4</v>
      </c>
      <c r="B206" t="s">
        <v>5</v>
      </c>
      <c r="C206" t="s">
        <v>570</v>
      </c>
      <c r="D206" t="s">
        <v>144</v>
      </c>
      <c r="E206" s="1">
        <v>5.0799999999999999E-4</v>
      </c>
      <c r="F206" s="3">
        <f t="shared" si="12"/>
        <v>0.52019199999999999</v>
      </c>
      <c r="G206" s="3">
        <f t="shared" si="10"/>
        <v>0.52019199999999999</v>
      </c>
      <c r="H206" t="str">
        <f t="shared" si="11"/>
        <v>ISR</v>
      </c>
      <c r="I206" t="str">
        <f>+_xlfn.XLOOKUP(H206,Sheet1!C:C,Sheet1!B:B,"N/A",0)</f>
        <v>IL</v>
      </c>
      <c r="J206" t="str">
        <f>+_xlfn.XLOOKUP(H206,Sheet1!C:C,Sheet1!D:D,"N/A",0)</f>
        <v>376</v>
      </c>
    </row>
    <row r="207" spans="1:10" x14ac:dyDescent="0.25">
      <c r="A207" t="s">
        <v>4</v>
      </c>
      <c r="B207" t="s">
        <v>5</v>
      </c>
      <c r="C207" t="s">
        <v>387</v>
      </c>
      <c r="D207" t="s">
        <v>388</v>
      </c>
      <c r="E207" s="1">
        <v>7.6599999999999997E-4</v>
      </c>
      <c r="F207" s="3">
        <f t="shared" si="12"/>
        <v>0.78438399999999997</v>
      </c>
      <c r="G207" s="3">
        <f t="shared" si="10"/>
        <v>0.55091199999999996</v>
      </c>
      <c r="H207" t="str">
        <f t="shared" si="11"/>
        <v>ITA</v>
      </c>
      <c r="I207" t="str">
        <f>+_xlfn.XLOOKUP(H207,Sheet1!C:C,Sheet1!B:B,"N/A",0)</f>
        <v>IT</v>
      </c>
      <c r="J207" t="str">
        <f>+_xlfn.XLOOKUP(H207,Sheet1!C:C,Sheet1!D:D,"N/A",0)</f>
        <v>380</v>
      </c>
    </row>
    <row r="208" spans="1:10" x14ac:dyDescent="0.25">
      <c r="A208" t="s">
        <v>4</v>
      </c>
      <c r="B208" t="s">
        <v>5</v>
      </c>
      <c r="C208" t="s">
        <v>436</v>
      </c>
      <c r="D208" t="s">
        <v>388</v>
      </c>
      <c r="E208" s="1">
        <v>8.1400000000000005E-4</v>
      </c>
      <c r="F208" s="3">
        <f t="shared" si="12"/>
        <v>0.83353600000000005</v>
      </c>
      <c r="G208" s="3">
        <f t="shared" si="10"/>
        <v>0.55091199999999996</v>
      </c>
      <c r="H208" t="str">
        <f t="shared" si="11"/>
        <v>ITA</v>
      </c>
      <c r="I208" t="str">
        <f>+_xlfn.XLOOKUP(H208,Sheet1!C:C,Sheet1!B:B,"N/A",0)</f>
        <v>IT</v>
      </c>
      <c r="J208" t="str">
        <f>+_xlfn.XLOOKUP(H208,Sheet1!C:C,Sheet1!D:D,"N/A",0)</f>
        <v>380</v>
      </c>
    </row>
    <row r="209" spans="1:10" x14ac:dyDescent="0.25">
      <c r="A209" t="s">
        <v>4</v>
      </c>
      <c r="B209" t="s">
        <v>5</v>
      </c>
      <c r="C209" t="s">
        <v>494</v>
      </c>
      <c r="D209" t="s">
        <v>388</v>
      </c>
      <c r="E209" s="1">
        <v>7.4399999999999998E-4</v>
      </c>
      <c r="F209" s="3">
        <f t="shared" si="12"/>
        <v>0.76185599999999998</v>
      </c>
      <c r="G209" s="3">
        <f t="shared" si="10"/>
        <v>0.55091199999999996</v>
      </c>
      <c r="H209" t="str">
        <f t="shared" si="11"/>
        <v>ITA</v>
      </c>
      <c r="I209" t="str">
        <f>+_xlfn.XLOOKUP(H209,Sheet1!C:C,Sheet1!B:B,"N/A",0)</f>
        <v>IT</v>
      </c>
      <c r="J209" t="str">
        <f>+_xlfn.XLOOKUP(H209,Sheet1!C:C,Sheet1!D:D,"N/A",0)</f>
        <v>380</v>
      </c>
    </row>
    <row r="210" spans="1:10" x14ac:dyDescent="0.25">
      <c r="A210" t="s">
        <v>4</v>
      </c>
      <c r="B210" t="s">
        <v>5</v>
      </c>
      <c r="C210" t="s">
        <v>546</v>
      </c>
      <c r="D210" t="s">
        <v>388</v>
      </c>
      <c r="E210" s="1">
        <v>5.3799999999999996E-4</v>
      </c>
      <c r="F210" s="3">
        <f t="shared" si="12"/>
        <v>0.55091199999999996</v>
      </c>
      <c r="G210" s="3">
        <f t="shared" si="10"/>
        <v>0.55091199999999996</v>
      </c>
      <c r="H210" t="str">
        <f t="shared" si="11"/>
        <v>ITA</v>
      </c>
      <c r="I210" t="str">
        <f>+_xlfn.XLOOKUP(H210,Sheet1!C:C,Sheet1!B:B,"N/A",0)</f>
        <v>IT</v>
      </c>
      <c r="J210" t="str">
        <f>+_xlfn.XLOOKUP(H210,Sheet1!C:C,Sheet1!D:D,"N/A",0)</f>
        <v>380</v>
      </c>
    </row>
    <row r="211" spans="1:10" x14ac:dyDescent="0.25">
      <c r="A211" t="s">
        <v>4</v>
      </c>
      <c r="B211" t="s">
        <v>5</v>
      </c>
      <c r="C211" t="s">
        <v>593</v>
      </c>
      <c r="D211" t="s">
        <v>388</v>
      </c>
      <c r="E211" s="1">
        <v>8.1400000000000005E-4</v>
      </c>
      <c r="F211" s="3">
        <f t="shared" si="12"/>
        <v>0.83353600000000005</v>
      </c>
      <c r="G211" s="3">
        <f t="shared" ref="G211:G274" si="13">_xlfn.MINIFS(F:F,D:D,D211,F:F,"&lt;&gt;0")</f>
        <v>0.55091199999999996</v>
      </c>
      <c r="H211" t="str">
        <f t="shared" ref="H211:H274" si="14">_xlfn.TEXTBEFORE(_xlfn.TEXTAFTER(C211,"("),")")</f>
        <v>ITA</v>
      </c>
      <c r="I211" t="str">
        <f>+_xlfn.XLOOKUP(H211,Sheet1!C:C,Sheet1!B:B,"N/A",0)</f>
        <v>IT</v>
      </c>
      <c r="J211" t="str">
        <f>+_xlfn.XLOOKUP(H211,Sheet1!C:C,Sheet1!D:D,"N/A",0)</f>
        <v>380</v>
      </c>
    </row>
    <row r="212" spans="1:10" x14ac:dyDescent="0.25">
      <c r="A212" t="s">
        <v>4</v>
      </c>
      <c r="B212" t="s">
        <v>5</v>
      </c>
      <c r="C212" t="s">
        <v>35</v>
      </c>
      <c r="D212" t="s">
        <v>36</v>
      </c>
      <c r="E212" s="1">
        <v>2E-3</v>
      </c>
      <c r="F212" s="3">
        <f t="shared" si="12"/>
        <v>2.048</v>
      </c>
      <c r="G212" s="3">
        <f t="shared" si="13"/>
        <v>2.048</v>
      </c>
      <c r="H212" t="str">
        <f t="shared" si="14"/>
        <v>CIV</v>
      </c>
      <c r="I212" t="str">
        <f>+_xlfn.XLOOKUP(H212,Sheet1!C:C,Sheet1!B:B,"N/A",0)</f>
        <v>CI</v>
      </c>
      <c r="J212" t="str">
        <f>+_xlfn.XLOOKUP(H212,Sheet1!C:C,Sheet1!D:D,"N/A",0)</f>
        <v>384</v>
      </c>
    </row>
    <row r="213" spans="1:10" x14ac:dyDescent="0.25">
      <c r="A213" t="s">
        <v>4</v>
      </c>
      <c r="B213" t="s">
        <v>5</v>
      </c>
      <c r="C213" t="s">
        <v>140</v>
      </c>
      <c r="D213" t="s">
        <v>36</v>
      </c>
      <c r="F213" s="3">
        <f t="shared" si="12"/>
        <v>0</v>
      </c>
      <c r="G213" s="3">
        <f t="shared" si="13"/>
        <v>2.048</v>
      </c>
      <c r="H213" t="str">
        <f t="shared" si="14"/>
        <v>CIV</v>
      </c>
      <c r="I213" t="str">
        <f>+_xlfn.XLOOKUP(H213,Sheet1!C:C,Sheet1!B:B,"N/A",0)</f>
        <v>CI</v>
      </c>
      <c r="J213" t="str">
        <f>+_xlfn.XLOOKUP(H213,Sheet1!C:C,Sheet1!D:D,"N/A",0)</f>
        <v>384</v>
      </c>
    </row>
    <row r="214" spans="1:10" x14ac:dyDescent="0.25">
      <c r="A214" t="s">
        <v>4</v>
      </c>
      <c r="B214" t="s">
        <v>5</v>
      </c>
      <c r="C214" t="s">
        <v>528</v>
      </c>
      <c r="D214" t="s">
        <v>36</v>
      </c>
      <c r="F214" s="3">
        <f t="shared" si="12"/>
        <v>0</v>
      </c>
      <c r="G214" s="3">
        <f t="shared" si="13"/>
        <v>2.048</v>
      </c>
      <c r="H214" t="str">
        <f t="shared" si="14"/>
        <v>CIV</v>
      </c>
      <c r="I214" t="str">
        <f>+_xlfn.XLOOKUP(H214,Sheet1!C:C,Sheet1!B:B,"N/A",0)</f>
        <v>CI</v>
      </c>
      <c r="J214" t="str">
        <f>+_xlfn.XLOOKUP(H214,Sheet1!C:C,Sheet1!D:D,"N/A",0)</f>
        <v>384</v>
      </c>
    </row>
    <row r="215" spans="1:10" x14ac:dyDescent="0.25">
      <c r="A215" t="s">
        <v>4</v>
      </c>
      <c r="B215" t="s">
        <v>5</v>
      </c>
      <c r="C215" t="s">
        <v>131</v>
      </c>
      <c r="D215" t="s">
        <v>132</v>
      </c>
      <c r="E215" s="1">
        <v>3.0000000000000001E-3</v>
      </c>
      <c r="F215" s="3">
        <f t="shared" si="12"/>
        <v>3.0720000000000001</v>
      </c>
      <c r="G215" s="3">
        <f t="shared" si="13"/>
        <v>1.024</v>
      </c>
      <c r="H215" t="str">
        <f t="shared" si="14"/>
        <v>JAM</v>
      </c>
      <c r="I215" t="str">
        <f>+_xlfn.XLOOKUP(H215,Sheet1!C:C,Sheet1!B:B,"N/A",0)</f>
        <v>JM</v>
      </c>
      <c r="J215" t="str">
        <f>+_xlfn.XLOOKUP(H215,Sheet1!C:C,Sheet1!D:D,"N/A",0)</f>
        <v>388</v>
      </c>
    </row>
    <row r="216" spans="1:10" x14ac:dyDescent="0.25">
      <c r="A216" t="s">
        <v>4</v>
      </c>
      <c r="B216" t="s">
        <v>5</v>
      </c>
      <c r="C216" t="s">
        <v>427</v>
      </c>
      <c r="D216" t="s">
        <v>132</v>
      </c>
      <c r="E216" s="1">
        <v>1E-3</v>
      </c>
      <c r="F216" s="3">
        <f t="shared" si="12"/>
        <v>1.024</v>
      </c>
      <c r="G216" s="3">
        <f t="shared" si="13"/>
        <v>1.024</v>
      </c>
      <c r="H216" t="str">
        <f t="shared" si="14"/>
        <v>JAM</v>
      </c>
      <c r="I216" t="str">
        <f>+_xlfn.XLOOKUP(H216,Sheet1!C:C,Sheet1!B:B,"N/A",0)</f>
        <v>JM</v>
      </c>
      <c r="J216" t="str">
        <f>+_xlfn.XLOOKUP(H216,Sheet1!C:C,Sheet1!D:D,"N/A",0)</f>
        <v>388</v>
      </c>
    </row>
    <row r="217" spans="1:10" x14ac:dyDescent="0.25">
      <c r="A217" t="s">
        <v>4</v>
      </c>
      <c r="B217" t="s">
        <v>5</v>
      </c>
      <c r="C217" t="s">
        <v>122</v>
      </c>
      <c r="D217" t="s">
        <v>123</v>
      </c>
      <c r="E217" s="1">
        <v>1E-3</v>
      </c>
      <c r="F217" s="3">
        <f t="shared" si="12"/>
        <v>1.024</v>
      </c>
      <c r="G217" s="3">
        <f t="shared" si="13"/>
        <v>1.024</v>
      </c>
      <c r="H217" t="str">
        <f t="shared" si="14"/>
        <v>JPN</v>
      </c>
      <c r="I217" t="str">
        <f>+_xlfn.XLOOKUP(H217,Sheet1!C:C,Sheet1!B:B,"N/A",0)</f>
        <v>JP</v>
      </c>
      <c r="J217" t="str">
        <f>+_xlfn.XLOOKUP(H217,Sheet1!C:C,Sheet1!D:D,"N/A",0)</f>
        <v>392</v>
      </c>
    </row>
    <row r="218" spans="1:10" x14ac:dyDescent="0.25">
      <c r="A218" t="s">
        <v>4</v>
      </c>
      <c r="B218" t="s">
        <v>5</v>
      </c>
      <c r="C218" t="s">
        <v>275</v>
      </c>
      <c r="D218" t="s">
        <v>123</v>
      </c>
      <c r="E218" s="1">
        <v>2.362E-3</v>
      </c>
      <c r="F218" s="3">
        <f t="shared" si="12"/>
        <v>2.4186879999999999</v>
      </c>
      <c r="G218" s="3">
        <f t="shared" si="13"/>
        <v>1.024</v>
      </c>
      <c r="H218" t="str">
        <f t="shared" si="14"/>
        <v>JPN</v>
      </c>
      <c r="I218" t="str">
        <f>+_xlfn.XLOOKUP(H218,Sheet1!C:C,Sheet1!B:B,"N/A",0)</f>
        <v>JP</v>
      </c>
      <c r="J218" t="str">
        <f>+_xlfn.XLOOKUP(H218,Sheet1!C:C,Sheet1!D:D,"N/A",0)</f>
        <v>392</v>
      </c>
    </row>
    <row r="219" spans="1:10" x14ac:dyDescent="0.25">
      <c r="A219" t="s">
        <v>4</v>
      </c>
      <c r="B219" t="s">
        <v>5</v>
      </c>
      <c r="C219" t="s">
        <v>309</v>
      </c>
      <c r="D219" t="s">
        <v>310</v>
      </c>
      <c r="E219" s="1">
        <v>1E-3</v>
      </c>
      <c r="F219" s="3">
        <f t="shared" si="12"/>
        <v>1.024</v>
      </c>
      <c r="G219" s="3">
        <f t="shared" si="13"/>
        <v>1.024</v>
      </c>
      <c r="H219" t="str">
        <f t="shared" si="14"/>
        <v>JOR</v>
      </c>
      <c r="I219" t="str">
        <f>+_xlfn.XLOOKUP(H219,Sheet1!C:C,Sheet1!B:B,"N/A",0)</f>
        <v>JO</v>
      </c>
      <c r="J219" t="str">
        <f>+_xlfn.XLOOKUP(H219,Sheet1!C:C,Sheet1!D:D,"N/A",0)</f>
        <v>400</v>
      </c>
    </row>
    <row r="220" spans="1:10" x14ac:dyDescent="0.25">
      <c r="A220" t="s">
        <v>4</v>
      </c>
      <c r="B220" t="s">
        <v>5</v>
      </c>
      <c r="C220" t="s">
        <v>435</v>
      </c>
      <c r="D220" t="s">
        <v>310</v>
      </c>
      <c r="E220" s="1">
        <v>1.2999999999999999E-3</v>
      </c>
      <c r="F220" s="3">
        <f t="shared" si="12"/>
        <v>1.3311999999999999</v>
      </c>
      <c r="G220" s="3">
        <f t="shared" si="13"/>
        <v>1.024</v>
      </c>
      <c r="H220" t="str">
        <f t="shared" si="14"/>
        <v>JOR</v>
      </c>
      <c r="I220" t="str">
        <f>+_xlfn.XLOOKUP(H220,Sheet1!C:C,Sheet1!B:B,"N/A",0)</f>
        <v>JO</v>
      </c>
      <c r="J220" t="str">
        <f>+_xlfn.XLOOKUP(H220,Sheet1!C:C,Sheet1!D:D,"N/A",0)</f>
        <v>400</v>
      </c>
    </row>
    <row r="221" spans="1:10" x14ac:dyDescent="0.25">
      <c r="A221" t="s">
        <v>4</v>
      </c>
      <c r="B221" t="s">
        <v>5</v>
      </c>
      <c r="C221" t="s">
        <v>508</v>
      </c>
      <c r="D221" t="s">
        <v>310</v>
      </c>
      <c r="E221" s="1">
        <v>1.75E-3</v>
      </c>
      <c r="F221" s="3">
        <f t="shared" si="12"/>
        <v>1.792</v>
      </c>
      <c r="G221" s="3">
        <f t="shared" si="13"/>
        <v>1.024</v>
      </c>
      <c r="H221" t="str">
        <f t="shared" si="14"/>
        <v>JOR</v>
      </c>
      <c r="I221" t="str">
        <f>+_xlfn.XLOOKUP(H221,Sheet1!C:C,Sheet1!B:B,"N/A",0)</f>
        <v>JO</v>
      </c>
      <c r="J221" t="str">
        <f>+_xlfn.XLOOKUP(H221,Sheet1!C:C,Sheet1!D:D,"N/A",0)</f>
        <v>400</v>
      </c>
    </row>
    <row r="222" spans="1:10" x14ac:dyDescent="0.25">
      <c r="A222" t="s">
        <v>4</v>
      </c>
      <c r="B222" t="s">
        <v>5</v>
      </c>
      <c r="C222" t="s">
        <v>191</v>
      </c>
      <c r="D222" t="s">
        <v>192</v>
      </c>
      <c r="E222" s="1">
        <v>2.709E-3</v>
      </c>
      <c r="F222" s="3">
        <f t="shared" si="12"/>
        <v>2.774016</v>
      </c>
      <c r="G222" s="3">
        <f t="shared" si="13"/>
        <v>1.024</v>
      </c>
      <c r="H222" t="str">
        <f t="shared" si="14"/>
        <v>KAZ</v>
      </c>
      <c r="I222" t="str">
        <f>+_xlfn.XLOOKUP(H222,Sheet1!C:C,Sheet1!B:B,"N/A",0)</f>
        <v>KZ</v>
      </c>
      <c r="J222" t="str">
        <f>+_xlfn.XLOOKUP(H222,Sheet1!C:C,Sheet1!D:D,"N/A",0)</f>
        <v>398</v>
      </c>
    </row>
    <row r="223" spans="1:10" x14ac:dyDescent="0.25">
      <c r="A223" t="s">
        <v>4</v>
      </c>
      <c r="B223" t="s">
        <v>5</v>
      </c>
      <c r="C223" t="s">
        <v>268</v>
      </c>
      <c r="D223" t="s">
        <v>192</v>
      </c>
      <c r="E223" s="1">
        <v>2.5000000000000001E-3</v>
      </c>
      <c r="F223" s="3">
        <f t="shared" si="12"/>
        <v>2.56</v>
      </c>
      <c r="G223" s="3">
        <f t="shared" si="13"/>
        <v>1.024</v>
      </c>
      <c r="H223" t="str">
        <f t="shared" si="14"/>
        <v>KAZ</v>
      </c>
      <c r="I223" t="str">
        <f>+_xlfn.XLOOKUP(H223,Sheet1!C:C,Sheet1!B:B,"N/A",0)</f>
        <v>KZ</v>
      </c>
      <c r="J223" t="str">
        <f>+_xlfn.XLOOKUP(H223,Sheet1!C:C,Sheet1!D:D,"N/A",0)</f>
        <v>398</v>
      </c>
    </row>
    <row r="224" spans="1:10" x14ac:dyDescent="0.25">
      <c r="A224" t="s">
        <v>4</v>
      </c>
      <c r="B224" t="s">
        <v>5</v>
      </c>
      <c r="C224" t="s">
        <v>323</v>
      </c>
      <c r="D224" t="s">
        <v>192</v>
      </c>
      <c r="E224" s="1">
        <v>1E-3</v>
      </c>
      <c r="F224" s="3">
        <f t="shared" si="12"/>
        <v>1.024</v>
      </c>
      <c r="G224" s="3">
        <f t="shared" si="13"/>
        <v>1.024</v>
      </c>
      <c r="H224" t="str">
        <f t="shared" si="14"/>
        <v>KAZ</v>
      </c>
      <c r="I224" t="str">
        <f>+_xlfn.XLOOKUP(H224,Sheet1!C:C,Sheet1!B:B,"N/A",0)</f>
        <v>KZ</v>
      </c>
      <c r="J224" t="str">
        <f>+_xlfn.XLOOKUP(H224,Sheet1!C:C,Sheet1!D:D,"N/A",0)</f>
        <v>398</v>
      </c>
    </row>
    <row r="225" spans="1:10" x14ac:dyDescent="0.25">
      <c r="A225" t="s">
        <v>4</v>
      </c>
      <c r="B225" t="s">
        <v>5</v>
      </c>
      <c r="C225" t="s">
        <v>100</v>
      </c>
      <c r="D225" t="s">
        <v>101</v>
      </c>
      <c r="E225" s="1">
        <v>3.5669999999999999E-3</v>
      </c>
      <c r="F225" s="3">
        <f t="shared" si="12"/>
        <v>3.6526079999999999</v>
      </c>
      <c r="G225" s="3">
        <f t="shared" si="13"/>
        <v>3.6526079999999999</v>
      </c>
      <c r="H225" t="str">
        <f t="shared" si="14"/>
        <v>KEN</v>
      </c>
      <c r="I225" t="str">
        <f>+_xlfn.XLOOKUP(H225,Sheet1!C:C,Sheet1!B:B,"N/A",0)</f>
        <v>KE</v>
      </c>
      <c r="J225" t="str">
        <f>+_xlfn.XLOOKUP(H225,Sheet1!C:C,Sheet1!D:D,"N/A",0)</f>
        <v>404</v>
      </c>
    </row>
    <row r="226" spans="1:10" x14ac:dyDescent="0.25">
      <c r="A226" t="s">
        <v>4</v>
      </c>
      <c r="B226" t="s">
        <v>5</v>
      </c>
      <c r="C226" t="s">
        <v>544</v>
      </c>
      <c r="D226" t="s">
        <v>545</v>
      </c>
      <c r="E226" s="1">
        <v>1.5E-3</v>
      </c>
      <c r="F226" s="3">
        <f t="shared" si="12"/>
        <v>1.536</v>
      </c>
      <c r="G226" s="3">
        <f t="shared" si="13"/>
        <v>0.73216000000000003</v>
      </c>
      <c r="H226" t="str">
        <f t="shared" si="14"/>
        <v>XKX</v>
      </c>
      <c r="I226" t="str">
        <f>+_xlfn.XLOOKUP(H226,Sheet1!C:C,Sheet1!B:B,"N/A",0)</f>
        <v>XK</v>
      </c>
      <c r="J226">
        <f>+_xlfn.XLOOKUP(H226,Sheet1!C:C,Sheet1!D:D,"N/A",0)</f>
        <v>0</v>
      </c>
    </row>
    <row r="227" spans="1:10" x14ac:dyDescent="0.25">
      <c r="A227" t="s">
        <v>4</v>
      </c>
      <c r="B227" t="s">
        <v>5</v>
      </c>
      <c r="C227" t="s">
        <v>555</v>
      </c>
      <c r="D227" t="s">
        <v>545</v>
      </c>
      <c r="E227" s="1">
        <v>7.1500000000000003E-4</v>
      </c>
      <c r="F227" s="3">
        <f t="shared" si="12"/>
        <v>0.73216000000000003</v>
      </c>
      <c r="G227" s="3">
        <f t="shared" si="13"/>
        <v>0.73216000000000003</v>
      </c>
      <c r="H227" t="str">
        <f t="shared" si="14"/>
        <v>XKX</v>
      </c>
      <c r="I227" t="str">
        <f>+_xlfn.XLOOKUP(H227,Sheet1!C:C,Sheet1!B:B,"N/A",0)</f>
        <v>XK</v>
      </c>
      <c r="J227">
        <f>+_xlfn.XLOOKUP(H227,Sheet1!C:C,Sheet1!D:D,"N/A",0)</f>
        <v>0</v>
      </c>
    </row>
    <row r="228" spans="1:10" x14ac:dyDescent="0.25">
      <c r="A228" t="s">
        <v>4</v>
      </c>
      <c r="B228" t="s">
        <v>5</v>
      </c>
      <c r="C228" t="s">
        <v>336</v>
      </c>
      <c r="D228" t="s">
        <v>337</v>
      </c>
      <c r="E228" s="1">
        <v>1.374E-3</v>
      </c>
      <c r="F228" s="3">
        <f t="shared" si="12"/>
        <v>1.406976</v>
      </c>
      <c r="G228" s="3">
        <f t="shared" si="13"/>
        <v>1.024</v>
      </c>
      <c r="H228" t="str">
        <f t="shared" si="14"/>
        <v>KWT</v>
      </c>
      <c r="I228" t="str">
        <f>+_xlfn.XLOOKUP(H228,Sheet1!C:C,Sheet1!B:B,"N/A",0)</f>
        <v>KW</v>
      </c>
      <c r="J228" t="str">
        <f>+_xlfn.XLOOKUP(H228,Sheet1!C:C,Sheet1!D:D,"N/A",0)</f>
        <v>414</v>
      </c>
    </row>
    <row r="229" spans="1:10" x14ac:dyDescent="0.25">
      <c r="A229" t="s">
        <v>4</v>
      </c>
      <c r="B229" t="s">
        <v>5</v>
      </c>
      <c r="C229" t="s">
        <v>442</v>
      </c>
      <c r="D229" t="s">
        <v>337</v>
      </c>
      <c r="E229" s="1">
        <v>1E-3</v>
      </c>
      <c r="F229" s="3">
        <f t="shared" si="12"/>
        <v>1.024</v>
      </c>
      <c r="G229" s="3">
        <f t="shared" si="13"/>
        <v>1.024</v>
      </c>
      <c r="H229" t="str">
        <f t="shared" si="14"/>
        <v>KWT</v>
      </c>
      <c r="I229" t="str">
        <f>+_xlfn.XLOOKUP(H229,Sheet1!C:C,Sheet1!B:B,"N/A",0)</f>
        <v>KW</v>
      </c>
      <c r="J229" t="str">
        <f>+_xlfn.XLOOKUP(H229,Sheet1!C:C,Sheet1!D:D,"N/A",0)</f>
        <v>414</v>
      </c>
    </row>
    <row r="230" spans="1:10" x14ac:dyDescent="0.25">
      <c r="A230" t="s">
        <v>4</v>
      </c>
      <c r="B230" t="s">
        <v>5</v>
      </c>
      <c r="C230" t="s">
        <v>558</v>
      </c>
      <c r="D230" t="s">
        <v>337</v>
      </c>
      <c r="E230" s="1">
        <v>1.0009999999999999E-3</v>
      </c>
      <c r="F230" s="3">
        <f t="shared" si="12"/>
        <v>1.0250239999999999</v>
      </c>
      <c r="G230" s="3">
        <f t="shared" si="13"/>
        <v>1.024</v>
      </c>
      <c r="H230" t="str">
        <f t="shared" si="14"/>
        <v>KWT</v>
      </c>
      <c r="I230" t="str">
        <f>+_xlfn.XLOOKUP(H230,Sheet1!C:C,Sheet1!B:B,"N/A",0)</f>
        <v>KW</v>
      </c>
      <c r="J230" t="str">
        <f>+_xlfn.XLOOKUP(H230,Sheet1!C:C,Sheet1!D:D,"N/A",0)</f>
        <v>414</v>
      </c>
    </row>
    <row r="231" spans="1:10" x14ac:dyDescent="0.25">
      <c r="A231" t="s">
        <v>4</v>
      </c>
      <c r="B231" t="s">
        <v>5</v>
      </c>
      <c r="C231" t="s">
        <v>222</v>
      </c>
      <c r="D231" t="s">
        <v>223</v>
      </c>
      <c r="E231" s="1">
        <v>3.5000000000000001E-3</v>
      </c>
      <c r="F231" s="3">
        <f t="shared" si="12"/>
        <v>3.5840000000000001</v>
      </c>
      <c r="G231" s="3">
        <f t="shared" si="13"/>
        <v>3.5840000000000001</v>
      </c>
      <c r="H231" t="str">
        <f t="shared" si="14"/>
        <v>KGZ</v>
      </c>
      <c r="I231" t="str">
        <f>+_xlfn.XLOOKUP(H231,Sheet1!C:C,Sheet1!B:B,"N/A",0)</f>
        <v>KG</v>
      </c>
      <c r="J231" t="str">
        <f>+_xlfn.XLOOKUP(H231,Sheet1!C:C,Sheet1!D:D,"N/A",0)</f>
        <v>417</v>
      </c>
    </row>
    <row r="232" spans="1:10" x14ac:dyDescent="0.25">
      <c r="A232" t="s">
        <v>4</v>
      </c>
      <c r="B232" t="s">
        <v>5</v>
      </c>
      <c r="C232" t="s">
        <v>512</v>
      </c>
      <c r="D232" t="s">
        <v>513</v>
      </c>
      <c r="E232" s="1">
        <v>2.5000000000000001E-2</v>
      </c>
      <c r="F232" s="3">
        <f t="shared" si="12"/>
        <v>25.6</v>
      </c>
      <c r="G232" s="3">
        <f t="shared" si="13"/>
        <v>25.6</v>
      </c>
      <c r="H232" t="str">
        <f t="shared" si="14"/>
        <v>LAO</v>
      </c>
      <c r="I232" t="str">
        <f>+_xlfn.XLOOKUP(H232,Sheet1!C:C,Sheet1!B:B,"N/A",0)</f>
        <v>LA</v>
      </c>
      <c r="J232" t="str">
        <f>+_xlfn.XLOOKUP(H232,Sheet1!C:C,Sheet1!D:D,"N/A",0)</f>
        <v>418</v>
      </c>
    </row>
    <row r="233" spans="1:10" x14ac:dyDescent="0.25">
      <c r="A233" t="s">
        <v>4</v>
      </c>
      <c r="B233" t="s">
        <v>5</v>
      </c>
      <c r="C233" t="s">
        <v>172</v>
      </c>
      <c r="D233" t="s">
        <v>173</v>
      </c>
      <c r="E233" s="1">
        <v>5.2400000000000005E-4</v>
      </c>
      <c r="F233" s="3">
        <f t="shared" si="12"/>
        <v>0.53657600000000005</v>
      </c>
      <c r="G233" s="3">
        <f t="shared" si="13"/>
        <v>0.20480000000000001</v>
      </c>
      <c r="H233" t="str">
        <f t="shared" si="14"/>
        <v>LVA</v>
      </c>
      <c r="I233" t="str">
        <f>+_xlfn.XLOOKUP(H233,Sheet1!C:C,Sheet1!B:B,"N/A",0)</f>
        <v>LV</v>
      </c>
      <c r="J233" t="str">
        <f>+_xlfn.XLOOKUP(H233,Sheet1!C:C,Sheet1!D:D,"N/A",0)</f>
        <v>428</v>
      </c>
    </row>
    <row r="234" spans="1:10" x14ac:dyDescent="0.25">
      <c r="A234" t="s">
        <v>4</v>
      </c>
      <c r="B234" t="s">
        <v>5</v>
      </c>
      <c r="C234" t="s">
        <v>339</v>
      </c>
      <c r="D234" t="s">
        <v>173</v>
      </c>
      <c r="E234" s="1">
        <v>3.3500000000000001E-4</v>
      </c>
      <c r="F234" s="3">
        <f t="shared" si="12"/>
        <v>0.34304000000000001</v>
      </c>
      <c r="G234" s="3">
        <f t="shared" si="13"/>
        <v>0.20480000000000001</v>
      </c>
      <c r="H234" t="str">
        <f t="shared" si="14"/>
        <v>LVA</v>
      </c>
      <c r="I234" t="str">
        <f>+_xlfn.XLOOKUP(H234,Sheet1!C:C,Sheet1!B:B,"N/A",0)</f>
        <v>LV</v>
      </c>
      <c r="J234" t="str">
        <f>+_xlfn.XLOOKUP(H234,Sheet1!C:C,Sheet1!D:D,"N/A",0)</f>
        <v>428</v>
      </c>
    </row>
    <row r="235" spans="1:10" x14ac:dyDescent="0.25">
      <c r="A235" t="s">
        <v>4</v>
      </c>
      <c r="B235" t="s">
        <v>5</v>
      </c>
      <c r="C235" t="s">
        <v>449</v>
      </c>
      <c r="D235" t="s">
        <v>173</v>
      </c>
      <c r="E235" s="1">
        <v>2.0000000000000001E-4</v>
      </c>
      <c r="F235" s="3">
        <f t="shared" si="12"/>
        <v>0.20480000000000001</v>
      </c>
      <c r="G235" s="3">
        <f t="shared" si="13"/>
        <v>0.20480000000000001</v>
      </c>
      <c r="H235" t="str">
        <f t="shared" si="14"/>
        <v>LVA</v>
      </c>
      <c r="I235" t="str">
        <f>+_xlfn.XLOOKUP(H235,Sheet1!C:C,Sheet1!B:B,"N/A",0)</f>
        <v>LV</v>
      </c>
      <c r="J235" t="str">
        <f>+_xlfn.XLOOKUP(H235,Sheet1!C:C,Sheet1!D:D,"N/A",0)</f>
        <v>428</v>
      </c>
    </row>
    <row r="236" spans="1:10" x14ac:dyDescent="0.25">
      <c r="A236" t="s">
        <v>4</v>
      </c>
      <c r="B236" t="s">
        <v>5</v>
      </c>
      <c r="C236" t="s">
        <v>459</v>
      </c>
      <c r="D236" t="s">
        <v>460</v>
      </c>
      <c r="E236" s="1">
        <v>0.240843</v>
      </c>
      <c r="F236" s="3">
        <f t="shared" si="12"/>
        <v>246.623232</v>
      </c>
      <c r="G236" s="3">
        <f t="shared" si="13"/>
        <v>163.00441599999999</v>
      </c>
      <c r="H236" t="str">
        <f t="shared" si="14"/>
        <v>LBN</v>
      </c>
      <c r="I236" t="str">
        <f>+_xlfn.XLOOKUP(H236,Sheet1!C:C,Sheet1!B:B,"N/A",0)</f>
        <v>LB</v>
      </c>
      <c r="J236" t="str">
        <f>+_xlfn.XLOOKUP(H236,Sheet1!C:C,Sheet1!D:D,"N/A",0)</f>
        <v>422</v>
      </c>
    </row>
    <row r="237" spans="1:10" x14ac:dyDescent="0.25">
      <c r="A237" t="s">
        <v>4</v>
      </c>
      <c r="B237" t="s">
        <v>5</v>
      </c>
      <c r="C237" t="s">
        <v>507</v>
      </c>
      <c r="D237" t="s">
        <v>460</v>
      </c>
      <c r="E237" s="1">
        <v>0.15918399999999999</v>
      </c>
      <c r="F237" s="3">
        <f t="shared" si="12"/>
        <v>163.00441599999999</v>
      </c>
      <c r="G237" s="3">
        <f t="shared" si="13"/>
        <v>163.00441599999999</v>
      </c>
      <c r="H237" t="str">
        <f t="shared" si="14"/>
        <v>LBN</v>
      </c>
      <c r="I237" t="str">
        <f>+_xlfn.XLOOKUP(H237,Sheet1!C:C,Sheet1!B:B,"N/A",0)</f>
        <v>LB</v>
      </c>
      <c r="J237" t="str">
        <f>+_xlfn.XLOOKUP(H237,Sheet1!C:C,Sheet1!D:D,"N/A",0)</f>
        <v>422</v>
      </c>
    </row>
    <row r="238" spans="1:10" x14ac:dyDescent="0.25">
      <c r="A238" t="s">
        <v>4</v>
      </c>
      <c r="B238" t="s">
        <v>5</v>
      </c>
      <c r="C238" t="s">
        <v>189</v>
      </c>
      <c r="D238" t="s">
        <v>190</v>
      </c>
      <c r="E238" s="1">
        <v>2.153E-3</v>
      </c>
      <c r="F238" s="3">
        <f t="shared" si="12"/>
        <v>2.204672</v>
      </c>
      <c r="G238" s="3">
        <f t="shared" si="13"/>
        <v>2.204672</v>
      </c>
      <c r="H238" t="str">
        <f t="shared" si="14"/>
        <v>LBR</v>
      </c>
      <c r="I238" t="str">
        <f>+_xlfn.XLOOKUP(H238,Sheet1!C:C,Sheet1!B:B,"N/A",0)</f>
        <v>LR</v>
      </c>
      <c r="J238" t="str">
        <f>+_xlfn.XLOOKUP(H238,Sheet1!C:C,Sheet1!D:D,"N/A",0)</f>
        <v>430</v>
      </c>
    </row>
    <row r="239" spans="1:10" x14ac:dyDescent="0.25">
      <c r="A239" t="s">
        <v>4</v>
      </c>
      <c r="B239" t="s">
        <v>5</v>
      </c>
      <c r="C239" t="s">
        <v>371</v>
      </c>
      <c r="D239" t="s">
        <v>372</v>
      </c>
      <c r="E239" s="1">
        <v>1.8983E-2</v>
      </c>
      <c r="F239" s="3">
        <f t="shared" si="12"/>
        <v>19.438592</v>
      </c>
      <c r="G239" s="3">
        <f t="shared" si="13"/>
        <v>19.438592</v>
      </c>
      <c r="H239" t="str">
        <f t="shared" si="14"/>
        <v>LBY</v>
      </c>
      <c r="I239" t="str">
        <f>+_xlfn.XLOOKUP(H239,Sheet1!C:C,Sheet1!B:B,"N/A",0)</f>
        <v>LY</v>
      </c>
      <c r="J239" t="str">
        <f>+_xlfn.XLOOKUP(H239,Sheet1!C:C,Sheet1!D:D,"N/A",0)</f>
        <v>434</v>
      </c>
    </row>
    <row r="240" spans="1:10" x14ac:dyDescent="0.25">
      <c r="A240" t="s">
        <v>4</v>
      </c>
      <c r="B240" t="s">
        <v>5</v>
      </c>
      <c r="C240" t="s">
        <v>461</v>
      </c>
      <c r="D240" t="s">
        <v>462</v>
      </c>
      <c r="E240" s="1">
        <v>6.2200000000000005E-4</v>
      </c>
      <c r="F240" s="3">
        <f t="shared" si="12"/>
        <v>0.63692800000000005</v>
      </c>
      <c r="G240" s="3">
        <f t="shared" si="13"/>
        <v>0.63692800000000005</v>
      </c>
      <c r="H240" t="str">
        <f t="shared" si="14"/>
        <v>LIE</v>
      </c>
      <c r="I240" t="str">
        <f>+_xlfn.XLOOKUP(H240,Sheet1!C:C,Sheet1!B:B,"N/A",0)</f>
        <v>LI</v>
      </c>
      <c r="J240" t="str">
        <f>+_xlfn.XLOOKUP(H240,Sheet1!C:C,Sheet1!D:D,"N/A",0)</f>
        <v>438</v>
      </c>
    </row>
    <row r="241" spans="1:10" x14ac:dyDescent="0.25">
      <c r="A241" t="s">
        <v>4</v>
      </c>
      <c r="B241" t="s">
        <v>5</v>
      </c>
      <c r="C241" t="s">
        <v>75</v>
      </c>
      <c r="D241" t="s">
        <v>76</v>
      </c>
      <c r="E241" s="1">
        <v>2.0000000000000001E-4</v>
      </c>
      <c r="F241" s="3">
        <f t="shared" si="12"/>
        <v>0.20480000000000001</v>
      </c>
      <c r="G241" s="3">
        <f t="shared" si="13"/>
        <v>0.20480000000000001</v>
      </c>
      <c r="H241" t="str">
        <f t="shared" si="14"/>
        <v>LTU</v>
      </c>
      <c r="I241" t="str">
        <f>+_xlfn.XLOOKUP(H241,Sheet1!C:C,Sheet1!B:B,"N/A",0)</f>
        <v>LT</v>
      </c>
      <c r="J241" t="str">
        <f>+_xlfn.XLOOKUP(H241,Sheet1!C:C,Sheet1!D:D,"N/A",0)</f>
        <v>440</v>
      </c>
    </row>
    <row r="242" spans="1:10" x14ac:dyDescent="0.25">
      <c r="A242" t="s">
        <v>4</v>
      </c>
      <c r="B242" t="s">
        <v>5</v>
      </c>
      <c r="C242" t="s">
        <v>364</v>
      </c>
      <c r="D242" t="s">
        <v>76</v>
      </c>
      <c r="E242" s="1">
        <v>5.2400000000000005E-4</v>
      </c>
      <c r="F242" s="3">
        <f t="shared" si="12"/>
        <v>0.53657600000000005</v>
      </c>
      <c r="G242" s="3">
        <f t="shared" si="13"/>
        <v>0.20480000000000001</v>
      </c>
      <c r="H242" t="str">
        <f t="shared" si="14"/>
        <v>LTU</v>
      </c>
      <c r="I242" t="str">
        <f>+_xlfn.XLOOKUP(H242,Sheet1!C:C,Sheet1!B:B,"N/A",0)</f>
        <v>LT</v>
      </c>
      <c r="J242" t="str">
        <f>+_xlfn.XLOOKUP(H242,Sheet1!C:C,Sheet1!D:D,"N/A",0)</f>
        <v>440</v>
      </c>
    </row>
    <row r="243" spans="1:10" x14ac:dyDescent="0.25">
      <c r="A243" t="s">
        <v>4</v>
      </c>
      <c r="B243" t="s">
        <v>5</v>
      </c>
      <c r="C243" t="s">
        <v>510</v>
      </c>
      <c r="D243" t="s">
        <v>76</v>
      </c>
      <c r="E243" s="1">
        <v>3.3500000000000001E-4</v>
      </c>
      <c r="F243" s="3">
        <f t="shared" si="12"/>
        <v>0.34304000000000001</v>
      </c>
      <c r="G243" s="3">
        <f t="shared" si="13"/>
        <v>0.20480000000000001</v>
      </c>
      <c r="H243" t="str">
        <f t="shared" si="14"/>
        <v>LTU</v>
      </c>
      <c r="I243" t="str">
        <f>+_xlfn.XLOOKUP(H243,Sheet1!C:C,Sheet1!B:B,"N/A",0)</f>
        <v>LT</v>
      </c>
      <c r="J243" t="str">
        <f>+_xlfn.XLOOKUP(H243,Sheet1!C:C,Sheet1!D:D,"N/A",0)</f>
        <v>440</v>
      </c>
    </row>
    <row r="244" spans="1:10" x14ac:dyDescent="0.25">
      <c r="A244" t="s">
        <v>4</v>
      </c>
      <c r="B244" t="s">
        <v>5</v>
      </c>
      <c r="C244" t="s">
        <v>176</v>
      </c>
      <c r="D244" t="s">
        <v>177</v>
      </c>
      <c r="E244" s="1">
        <v>6.5899999999999997E-4</v>
      </c>
      <c r="F244" s="3">
        <f t="shared" si="12"/>
        <v>0.67481599999999997</v>
      </c>
      <c r="G244" s="3">
        <f t="shared" si="13"/>
        <v>0.42188799999999999</v>
      </c>
      <c r="H244" t="str">
        <f t="shared" si="14"/>
        <v>LUX</v>
      </c>
      <c r="I244" t="str">
        <f>+_xlfn.XLOOKUP(H244,Sheet1!C:C,Sheet1!B:B,"N/A",0)</f>
        <v>LU</v>
      </c>
      <c r="J244" t="str">
        <f>+_xlfn.XLOOKUP(H244,Sheet1!C:C,Sheet1!D:D,"N/A",0)</f>
        <v>442</v>
      </c>
    </row>
    <row r="245" spans="1:10" x14ac:dyDescent="0.25">
      <c r="A245" t="s">
        <v>4</v>
      </c>
      <c r="B245" t="s">
        <v>5</v>
      </c>
      <c r="C245" t="s">
        <v>282</v>
      </c>
      <c r="D245" t="s">
        <v>177</v>
      </c>
      <c r="E245" s="1">
        <v>7.18E-4</v>
      </c>
      <c r="F245" s="3">
        <f t="shared" si="12"/>
        <v>0.735232</v>
      </c>
      <c r="G245" s="3">
        <f t="shared" si="13"/>
        <v>0.42188799999999999</v>
      </c>
      <c r="H245" t="str">
        <f t="shared" si="14"/>
        <v>LUX</v>
      </c>
      <c r="I245" t="str">
        <f>+_xlfn.XLOOKUP(H245,Sheet1!C:C,Sheet1!B:B,"N/A",0)</f>
        <v>LU</v>
      </c>
      <c r="J245" t="str">
        <f>+_xlfn.XLOOKUP(H245,Sheet1!C:C,Sheet1!D:D,"N/A",0)</f>
        <v>442</v>
      </c>
    </row>
    <row r="246" spans="1:10" x14ac:dyDescent="0.25">
      <c r="A246" t="s">
        <v>4</v>
      </c>
      <c r="B246" t="s">
        <v>5</v>
      </c>
      <c r="C246" t="s">
        <v>491</v>
      </c>
      <c r="D246" t="s">
        <v>177</v>
      </c>
      <c r="E246" s="1">
        <v>4.1199999999999999E-4</v>
      </c>
      <c r="F246" s="3">
        <f t="shared" si="12"/>
        <v>0.42188799999999999</v>
      </c>
      <c r="G246" s="3">
        <f t="shared" si="13"/>
        <v>0.42188799999999999</v>
      </c>
      <c r="H246" t="str">
        <f t="shared" si="14"/>
        <v>LUX</v>
      </c>
      <c r="I246" t="str">
        <f>+_xlfn.XLOOKUP(H246,Sheet1!C:C,Sheet1!B:B,"N/A",0)</f>
        <v>LU</v>
      </c>
      <c r="J246" t="str">
        <f>+_xlfn.XLOOKUP(H246,Sheet1!C:C,Sheet1!D:D,"N/A",0)</f>
        <v>442</v>
      </c>
    </row>
    <row r="247" spans="1:10" x14ac:dyDescent="0.25">
      <c r="A247" t="s">
        <v>4</v>
      </c>
      <c r="B247" t="s">
        <v>5</v>
      </c>
      <c r="C247" t="s">
        <v>549</v>
      </c>
      <c r="D247" t="s">
        <v>550</v>
      </c>
      <c r="E247" s="1">
        <v>3.0000000000000001E-3</v>
      </c>
      <c r="F247" s="3">
        <f t="shared" si="12"/>
        <v>3.0720000000000001</v>
      </c>
      <c r="G247" s="3">
        <f t="shared" si="13"/>
        <v>3.0720000000000001</v>
      </c>
      <c r="H247" t="str">
        <f t="shared" si="14"/>
        <v>MAC</v>
      </c>
      <c r="I247" t="str">
        <f>+_xlfn.XLOOKUP(H247,Sheet1!C:C,Sheet1!B:B,"N/A",0)</f>
        <v>MO</v>
      </c>
      <c r="J247" t="str">
        <f>+_xlfn.XLOOKUP(H247,Sheet1!C:C,Sheet1!D:D,"N/A",0)</f>
        <v>446</v>
      </c>
    </row>
    <row r="248" spans="1:10" x14ac:dyDescent="0.25">
      <c r="A248" t="s">
        <v>4</v>
      </c>
      <c r="B248" t="s">
        <v>5</v>
      </c>
      <c r="C248" t="s">
        <v>536</v>
      </c>
      <c r="D248" t="s">
        <v>537</v>
      </c>
      <c r="E248" s="1">
        <v>2E-3</v>
      </c>
      <c r="F248" s="3">
        <f t="shared" si="12"/>
        <v>2.048</v>
      </c>
      <c r="G248" s="3">
        <f t="shared" si="13"/>
        <v>2.048</v>
      </c>
      <c r="H248" t="str">
        <f t="shared" si="14"/>
        <v>MDG</v>
      </c>
      <c r="I248" t="str">
        <f>+_xlfn.XLOOKUP(H248,Sheet1!C:C,Sheet1!B:B,"N/A",0)</f>
        <v>MG</v>
      </c>
      <c r="J248" t="str">
        <f>+_xlfn.XLOOKUP(H248,Sheet1!C:C,Sheet1!D:D,"N/A",0)</f>
        <v>450</v>
      </c>
    </row>
    <row r="249" spans="1:10" x14ac:dyDescent="0.25">
      <c r="A249" t="s">
        <v>4</v>
      </c>
      <c r="B249" t="s">
        <v>5</v>
      </c>
      <c r="C249" t="s">
        <v>321</v>
      </c>
      <c r="D249" t="s">
        <v>322</v>
      </c>
      <c r="E249" s="1">
        <v>2.7999999999999998E-4</v>
      </c>
      <c r="F249" s="3">
        <f t="shared" si="12"/>
        <v>0.28671999999999997</v>
      </c>
      <c r="G249" s="3">
        <f t="shared" si="13"/>
        <v>0.28671999999999997</v>
      </c>
      <c r="H249" t="str">
        <f t="shared" si="14"/>
        <v>MYS</v>
      </c>
      <c r="I249" t="str">
        <f>+_xlfn.XLOOKUP(H249,Sheet1!C:C,Sheet1!B:B,"N/A",0)</f>
        <v>MY</v>
      </c>
      <c r="J249" t="str">
        <f>+_xlfn.XLOOKUP(H249,Sheet1!C:C,Sheet1!D:D,"N/A",0)</f>
        <v>458</v>
      </c>
    </row>
    <row r="250" spans="1:10" x14ac:dyDescent="0.25">
      <c r="A250" t="s">
        <v>4</v>
      </c>
      <c r="B250" t="s">
        <v>5</v>
      </c>
      <c r="C250" t="s">
        <v>464</v>
      </c>
      <c r="D250" t="s">
        <v>322</v>
      </c>
      <c r="E250" s="1">
        <v>2.7999999999999998E-4</v>
      </c>
      <c r="F250" s="3">
        <f t="shared" si="12"/>
        <v>0.28671999999999997</v>
      </c>
      <c r="G250" s="3">
        <f t="shared" si="13"/>
        <v>0.28671999999999997</v>
      </c>
      <c r="H250" t="str">
        <f t="shared" si="14"/>
        <v>MYS</v>
      </c>
      <c r="I250" t="str">
        <f>+_xlfn.XLOOKUP(H250,Sheet1!C:C,Sheet1!B:B,"N/A",0)</f>
        <v>MY</v>
      </c>
      <c r="J250" t="str">
        <f>+_xlfn.XLOOKUP(H250,Sheet1!C:C,Sheet1!D:D,"N/A",0)</f>
        <v>458</v>
      </c>
    </row>
    <row r="251" spans="1:10" x14ac:dyDescent="0.25">
      <c r="A251" t="s">
        <v>4</v>
      </c>
      <c r="B251" t="s">
        <v>5</v>
      </c>
      <c r="C251" t="s">
        <v>465</v>
      </c>
      <c r="D251" t="s">
        <v>322</v>
      </c>
      <c r="E251" s="1">
        <v>9.59E-4</v>
      </c>
      <c r="F251" s="3">
        <f t="shared" si="12"/>
        <v>0.982016</v>
      </c>
      <c r="G251" s="3">
        <f t="shared" si="13"/>
        <v>0.28671999999999997</v>
      </c>
      <c r="H251" t="str">
        <f t="shared" si="14"/>
        <v>MYS</v>
      </c>
      <c r="I251" t="str">
        <f>+_xlfn.XLOOKUP(H251,Sheet1!C:C,Sheet1!B:B,"N/A",0)</f>
        <v>MY</v>
      </c>
      <c r="J251" t="str">
        <f>+_xlfn.XLOOKUP(H251,Sheet1!C:C,Sheet1!D:D,"N/A",0)</f>
        <v>458</v>
      </c>
    </row>
    <row r="252" spans="1:10" x14ac:dyDescent="0.25">
      <c r="A252" t="s">
        <v>4</v>
      </c>
      <c r="B252" t="s">
        <v>5</v>
      </c>
      <c r="C252" t="s">
        <v>564</v>
      </c>
      <c r="D252" t="s">
        <v>565</v>
      </c>
      <c r="E252" s="1">
        <v>0.42705399999999999</v>
      </c>
      <c r="F252" s="3">
        <f t="shared" si="12"/>
        <v>437.30329599999999</v>
      </c>
      <c r="G252" s="3">
        <f t="shared" si="13"/>
        <v>437.30329599999999</v>
      </c>
      <c r="H252" t="str">
        <f t="shared" si="14"/>
        <v>MDV</v>
      </c>
      <c r="I252" t="str">
        <f>+_xlfn.XLOOKUP(H252,Sheet1!C:C,Sheet1!B:B,"N/A",0)</f>
        <v>MV</v>
      </c>
      <c r="J252" t="str">
        <f>+_xlfn.XLOOKUP(H252,Sheet1!C:C,Sheet1!D:D,"N/A",0)</f>
        <v>462</v>
      </c>
    </row>
    <row r="253" spans="1:10" x14ac:dyDescent="0.25">
      <c r="A253" t="s">
        <v>4</v>
      </c>
      <c r="B253" t="s">
        <v>5</v>
      </c>
      <c r="C253" t="s">
        <v>14</v>
      </c>
      <c r="D253" t="s">
        <v>15</v>
      </c>
      <c r="E253" s="1">
        <v>1.949E-3</v>
      </c>
      <c r="F253" s="3">
        <f t="shared" si="12"/>
        <v>1.995776</v>
      </c>
      <c r="G253" s="3">
        <f t="shared" si="13"/>
        <v>1.995776</v>
      </c>
      <c r="H253" t="str">
        <f t="shared" si="14"/>
        <v>MLI</v>
      </c>
      <c r="I253" t="str">
        <f>+_xlfn.XLOOKUP(H253,Sheet1!C:C,Sheet1!B:B,"N/A",0)</f>
        <v>ML</v>
      </c>
      <c r="J253" t="str">
        <f>+_xlfn.XLOOKUP(H253,Sheet1!C:C,Sheet1!D:D,"N/A",0)</f>
        <v>466</v>
      </c>
    </row>
    <row r="254" spans="1:10" x14ac:dyDescent="0.25">
      <c r="A254" t="s">
        <v>4</v>
      </c>
      <c r="B254" t="s">
        <v>5</v>
      </c>
      <c r="C254" t="s">
        <v>259</v>
      </c>
      <c r="D254" t="s">
        <v>260</v>
      </c>
      <c r="E254" s="1">
        <v>2.4699999999999999E-4</v>
      </c>
      <c r="F254" s="3">
        <f t="shared" si="12"/>
        <v>0.25292799999999999</v>
      </c>
      <c r="G254" s="3">
        <f t="shared" si="13"/>
        <v>0.19456000000000001</v>
      </c>
      <c r="H254" t="str">
        <f t="shared" si="14"/>
        <v>MLT</v>
      </c>
      <c r="I254" t="str">
        <f>+_xlfn.XLOOKUP(H254,Sheet1!C:C,Sheet1!B:B,"N/A",0)</f>
        <v>MT</v>
      </c>
      <c r="J254" t="str">
        <f>+_xlfn.XLOOKUP(H254,Sheet1!C:C,Sheet1!D:D,"N/A",0)</f>
        <v>470</v>
      </c>
    </row>
    <row r="255" spans="1:10" x14ac:dyDescent="0.25">
      <c r="A255" t="s">
        <v>4</v>
      </c>
      <c r="B255" t="s">
        <v>5</v>
      </c>
      <c r="C255" t="s">
        <v>299</v>
      </c>
      <c r="D255" t="s">
        <v>260</v>
      </c>
      <c r="E255" s="1">
        <v>1.9000000000000001E-4</v>
      </c>
      <c r="F255" s="3">
        <f t="shared" si="12"/>
        <v>0.19456000000000001</v>
      </c>
      <c r="G255" s="3">
        <f t="shared" si="13"/>
        <v>0.19456000000000001</v>
      </c>
      <c r="H255" t="str">
        <f t="shared" si="14"/>
        <v>MLT</v>
      </c>
      <c r="I255" t="str">
        <f>+_xlfn.XLOOKUP(H255,Sheet1!C:C,Sheet1!B:B,"N/A",0)</f>
        <v>MT</v>
      </c>
      <c r="J255" t="str">
        <f>+_xlfn.XLOOKUP(H255,Sheet1!C:C,Sheet1!D:D,"N/A",0)</f>
        <v>470</v>
      </c>
    </row>
    <row r="256" spans="1:10" x14ac:dyDescent="0.25">
      <c r="A256" t="s">
        <v>4</v>
      </c>
      <c r="B256" t="s">
        <v>5</v>
      </c>
      <c r="C256" t="s">
        <v>422</v>
      </c>
      <c r="D256" t="s">
        <v>260</v>
      </c>
      <c r="E256" s="1">
        <v>6.8000000000000005E-4</v>
      </c>
      <c r="F256" s="3">
        <f t="shared" si="12"/>
        <v>0.69632000000000005</v>
      </c>
      <c r="G256" s="3">
        <f t="shared" si="13"/>
        <v>0.19456000000000001</v>
      </c>
      <c r="H256" t="str">
        <f t="shared" si="14"/>
        <v>MLT</v>
      </c>
      <c r="I256" t="str">
        <f>+_xlfn.XLOOKUP(H256,Sheet1!C:C,Sheet1!B:B,"N/A",0)</f>
        <v>MT</v>
      </c>
      <c r="J256" t="str">
        <f>+_xlfn.XLOOKUP(H256,Sheet1!C:C,Sheet1!D:D,"N/A",0)</f>
        <v>470</v>
      </c>
    </row>
    <row r="257" spans="1:10" x14ac:dyDescent="0.25">
      <c r="A257" t="s">
        <v>4</v>
      </c>
      <c r="B257" t="s">
        <v>5</v>
      </c>
      <c r="C257" t="s">
        <v>38</v>
      </c>
      <c r="D257" t="s">
        <v>39</v>
      </c>
      <c r="E257" s="1">
        <v>1.8</v>
      </c>
      <c r="F257" s="3">
        <f t="shared" si="12"/>
        <v>1843.2</v>
      </c>
      <c r="G257" s="3">
        <f t="shared" si="13"/>
        <v>358.4</v>
      </c>
      <c r="H257" t="str">
        <f t="shared" si="14"/>
        <v>AAM</v>
      </c>
      <c r="I257" t="s">
        <v>1470</v>
      </c>
      <c r="J257" t="str">
        <f>+_xlfn.XLOOKUP(H257,Sheet1!C:C,Sheet1!D:D,"N/A",0)</f>
        <v>N/A</v>
      </c>
    </row>
    <row r="258" spans="1:10" x14ac:dyDescent="0.25">
      <c r="A258" t="s">
        <v>4</v>
      </c>
      <c r="B258" t="s">
        <v>5</v>
      </c>
      <c r="C258" t="s">
        <v>254</v>
      </c>
      <c r="D258" t="s">
        <v>39</v>
      </c>
      <c r="E258" s="1">
        <v>1.2</v>
      </c>
      <c r="F258" s="3">
        <f t="shared" si="12"/>
        <v>1228.8</v>
      </c>
      <c r="G258" s="3">
        <f t="shared" si="13"/>
        <v>358.4</v>
      </c>
      <c r="H258" t="str">
        <f t="shared" si="14"/>
        <v>AAM</v>
      </c>
      <c r="I258" t="s">
        <v>1470</v>
      </c>
      <c r="J258" t="str">
        <f>+_xlfn.XLOOKUP(H258,Sheet1!C:C,Sheet1!D:D,"N/A",0)</f>
        <v>N/A</v>
      </c>
    </row>
    <row r="259" spans="1:10" x14ac:dyDescent="0.25">
      <c r="A259" t="s">
        <v>4</v>
      </c>
      <c r="B259" t="s">
        <v>5</v>
      </c>
      <c r="C259" t="s">
        <v>304</v>
      </c>
      <c r="D259" t="s">
        <v>39</v>
      </c>
      <c r="E259" s="1">
        <v>2.3408509999999998</v>
      </c>
      <c r="F259" s="3">
        <f t="shared" ref="F259:F322" si="15">E259*1024</f>
        <v>2397.0314239999998</v>
      </c>
      <c r="G259" s="3">
        <f t="shared" si="13"/>
        <v>358.4</v>
      </c>
      <c r="H259" t="str">
        <f t="shared" si="14"/>
        <v>AAM</v>
      </c>
      <c r="I259" t="s">
        <v>1470</v>
      </c>
      <c r="J259" t="str">
        <f>+_xlfn.XLOOKUP(H259,Sheet1!C:C,Sheet1!D:D,"N/A",0)</f>
        <v>N/A</v>
      </c>
    </row>
    <row r="260" spans="1:10" x14ac:dyDescent="0.25">
      <c r="A260" t="s">
        <v>4</v>
      </c>
      <c r="B260" t="s">
        <v>5</v>
      </c>
      <c r="C260" t="s">
        <v>398</v>
      </c>
      <c r="D260" t="s">
        <v>39</v>
      </c>
      <c r="E260" s="1">
        <v>0.35</v>
      </c>
      <c r="F260" s="3">
        <f t="shared" si="15"/>
        <v>358.4</v>
      </c>
      <c r="G260" s="3">
        <f t="shared" si="13"/>
        <v>358.4</v>
      </c>
      <c r="H260" t="str">
        <f t="shared" si="14"/>
        <v>AAM</v>
      </c>
      <c r="I260" t="s">
        <v>1470</v>
      </c>
      <c r="J260" t="str">
        <f>+_xlfn.XLOOKUP(H260,Sheet1!C:C,Sheet1!D:D,"N/A",0)</f>
        <v>N/A</v>
      </c>
    </row>
    <row r="261" spans="1:10" x14ac:dyDescent="0.25">
      <c r="A261" t="s">
        <v>4</v>
      </c>
      <c r="B261" t="s">
        <v>5</v>
      </c>
      <c r="C261" t="s">
        <v>218</v>
      </c>
      <c r="D261" t="s">
        <v>219</v>
      </c>
      <c r="E261" s="1">
        <v>4.0000000000000001E-3</v>
      </c>
      <c r="F261" s="3">
        <f t="shared" si="15"/>
        <v>4.0960000000000001</v>
      </c>
      <c r="G261" s="3">
        <f t="shared" si="13"/>
        <v>4.0960000000000001</v>
      </c>
      <c r="H261" t="str">
        <f t="shared" si="14"/>
        <v>MRT</v>
      </c>
      <c r="I261" t="str">
        <f>+_xlfn.XLOOKUP(H261,Sheet1!C:C,Sheet1!B:B,"N/A",0)</f>
        <v>MR</v>
      </c>
      <c r="J261" t="str">
        <f>+_xlfn.XLOOKUP(H261,Sheet1!C:C,Sheet1!D:D,"N/A",0)</f>
        <v>478</v>
      </c>
    </row>
    <row r="262" spans="1:10" x14ac:dyDescent="0.25">
      <c r="A262" t="s">
        <v>4</v>
      </c>
      <c r="B262" t="s">
        <v>5</v>
      </c>
      <c r="C262" t="s">
        <v>256</v>
      </c>
      <c r="D262" t="s">
        <v>257</v>
      </c>
      <c r="E262" s="1">
        <v>2.0010000000000002E-3</v>
      </c>
      <c r="F262" s="3">
        <f t="shared" si="15"/>
        <v>2.0490240000000002</v>
      </c>
      <c r="G262" s="3">
        <f t="shared" si="13"/>
        <v>2.0490240000000002</v>
      </c>
      <c r="H262" t="str">
        <f t="shared" si="14"/>
        <v>MUS</v>
      </c>
      <c r="I262" t="str">
        <f>+_xlfn.XLOOKUP(H262,Sheet1!C:C,Sheet1!B:B,"N/A",0)</f>
        <v>MU</v>
      </c>
      <c r="J262" t="str">
        <f>+_xlfn.XLOOKUP(H262,Sheet1!C:C,Sheet1!D:D,"N/A",0)</f>
        <v>480</v>
      </c>
    </row>
    <row r="263" spans="1:10" x14ac:dyDescent="0.25">
      <c r="A263" t="s">
        <v>4</v>
      </c>
      <c r="B263" t="s">
        <v>5</v>
      </c>
      <c r="C263" t="s">
        <v>401</v>
      </c>
      <c r="D263" t="s">
        <v>257</v>
      </c>
      <c r="E263" s="1">
        <v>0.01</v>
      </c>
      <c r="F263" s="3">
        <f t="shared" si="15"/>
        <v>10.24</v>
      </c>
      <c r="G263" s="3">
        <f t="shared" si="13"/>
        <v>2.0490240000000002</v>
      </c>
      <c r="H263" t="str">
        <f t="shared" si="14"/>
        <v>MUS</v>
      </c>
      <c r="I263" t="str">
        <f>+_xlfn.XLOOKUP(H263,Sheet1!C:C,Sheet1!B:B,"N/A",0)</f>
        <v>MU</v>
      </c>
      <c r="J263" t="str">
        <f>+_xlfn.XLOOKUP(H263,Sheet1!C:C,Sheet1!D:D,"N/A",0)</f>
        <v>480</v>
      </c>
    </row>
    <row r="264" spans="1:10" x14ac:dyDescent="0.25">
      <c r="A264" t="s">
        <v>4</v>
      </c>
      <c r="B264" t="s">
        <v>5</v>
      </c>
      <c r="C264" t="s">
        <v>441</v>
      </c>
      <c r="D264" t="s">
        <v>257</v>
      </c>
      <c r="E264" s="1">
        <v>2.0019999999999999E-3</v>
      </c>
      <c r="F264" s="3">
        <f t="shared" si="15"/>
        <v>2.0500479999999999</v>
      </c>
      <c r="G264" s="3">
        <f t="shared" si="13"/>
        <v>2.0490240000000002</v>
      </c>
      <c r="H264" t="str">
        <f t="shared" si="14"/>
        <v>MUS</v>
      </c>
      <c r="I264" t="str">
        <f>+_xlfn.XLOOKUP(H264,Sheet1!C:C,Sheet1!B:B,"N/A",0)</f>
        <v>MU</v>
      </c>
      <c r="J264" t="str">
        <f>+_xlfn.XLOOKUP(H264,Sheet1!C:C,Sheet1!D:D,"N/A",0)</f>
        <v>480</v>
      </c>
    </row>
    <row r="265" spans="1:10" x14ac:dyDescent="0.25">
      <c r="A265" t="s">
        <v>4</v>
      </c>
      <c r="B265" t="s">
        <v>5</v>
      </c>
      <c r="C265" t="s">
        <v>16</v>
      </c>
      <c r="D265" t="s">
        <v>17</v>
      </c>
      <c r="E265" s="1">
        <v>1.5E-3</v>
      </c>
      <c r="F265" s="3">
        <f t="shared" si="15"/>
        <v>1.536</v>
      </c>
      <c r="G265" s="3">
        <f t="shared" si="13"/>
        <v>1.024</v>
      </c>
      <c r="H265" t="str">
        <f t="shared" si="14"/>
        <v>MEX</v>
      </c>
      <c r="I265" t="str">
        <f>+_xlfn.XLOOKUP(H265,Sheet1!C:C,Sheet1!B:B,"N/A",0)</f>
        <v>MX</v>
      </c>
      <c r="J265" t="str">
        <f>+_xlfn.XLOOKUP(H265,Sheet1!C:C,Sheet1!D:D,"N/A",0)</f>
        <v>484</v>
      </c>
    </row>
    <row r="266" spans="1:10" x14ac:dyDescent="0.25">
      <c r="A266" t="s">
        <v>4</v>
      </c>
      <c r="B266" t="s">
        <v>5</v>
      </c>
      <c r="C266" t="s">
        <v>201</v>
      </c>
      <c r="D266" t="s">
        <v>17</v>
      </c>
      <c r="E266" s="1">
        <v>3.0000000000000001E-3</v>
      </c>
      <c r="F266" s="3">
        <f t="shared" si="15"/>
        <v>3.0720000000000001</v>
      </c>
      <c r="G266" s="3">
        <f t="shared" si="13"/>
        <v>1.024</v>
      </c>
      <c r="H266" t="str">
        <f t="shared" si="14"/>
        <v>MEX</v>
      </c>
      <c r="I266" t="str">
        <f>+_xlfn.XLOOKUP(H266,Sheet1!C:C,Sheet1!B:B,"N/A",0)</f>
        <v>MX</v>
      </c>
      <c r="J266" t="str">
        <f>+_xlfn.XLOOKUP(H266,Sheet1!C:C,Sheet1!D:D,"N/A",0)</f>
        <v>484</v>
      </c>
    </row>
    <row r="267" spans="1:10" x14ac:dyDescent="0.25">
      <c r="A267" t="s">
        <v>4</v>
      </c>
      <c r="B267" t="s">
        <v>5</v>
      </c>
      <c r="C267" t="s">
        <v>379</v>
      </c>
      <c r="D267" t="s">
        <v>17</v>
      </c>
      <c r="E267" s="1">
        <v>1.614E-3</v>
      </c>
      <c r="F267" s="3">
        <f t="shared" si="15"/>
        <v>1.652736</v>
      </c>
      <c r="G267" s="3">
        <f t="shared" si="13"/>
        <v>1.024</v>
      </c>
      <c r="H267" t="str">
        <f t="shared" si="14"/>
        <v>MEX</v>
      </c>
      <c r="I267" t="str">
        <f>+_xlfn.XLOOKUP(H267,Sheet1!C:C,Sheet1!B:B,"N/A",0)</f>
        <v>MX</v>
      </c>
      <c r="J267" t="str">
        <f>+_xlfn.XLOOKUP(H267,Sheet1!C:C,Sheet1!D:D,"N/A",0)</f>
        <v>484</v>
      </c>
    </row>
    <row r="268" spans="1:10" x14ac:dyDescent="0.25">
      <c r="A268" t="s">
        <v>4</v>
      </c>
      <c r="B268" t="s">
        <v>5</v>
      </c>
      <c r="C268" t="s">
        <v>594</v>
      </c>
      <c r="D268" t="s">
        <v>17</v>
      </c>
      <c r="E268" s="1">
        <v>1E-3</v>
      </c>
      <c r="F268" s="3">
        <f t="shared" si="15"/>
        <v>1.024</v>
      </c>
      <c r="G268" s="3">
        <f t="shared" si="13"/>
        <v>1.024</v>
      </c>
      <c r="H268" t="str">
        <f t="shared" si="14"/>
        <v>MEX</v>
      </c>
      <c r="I268" t="str">
        <f>+_xlfn.XLOOKUP(H268,Sheet1!C:C,Sheet1!B:B,"N/A",0)</f>
        <v>MX</v>
      </c>
      <c r="J268" t="str">
        <f>+_xlfn.XLOOKUP(H268,Sheet1!C:C,Sheet1!D:D,"N/A",0)</f>
        <v>484</v>
      </c>
    </row>
    <row r="269" spans="1:10" x14ac:dyDescent="0.25">
      <c r="A269" t="s">
        <v>4</v>
      </c>
      <c r="B269" t="s">
        <v>5</v>
      </c>
      <c r="C269" t="s">
        <v>87</v>
      </c>
      <c r="D269" t="s">
        <v>88</v>
      </c>
      <c r="E269" s="1">
        <v>6.9999999999999999E-4</v>
      </c>
      <c r="F269" s="3">
        <f t="shared" si="15"/>
        <v>0.71679999999999999</v>
      </c>
      <c r="G269" s="3">
        <f t="shared" si="13"/>
        <v>0.71679999999999999</v>
      </c>
      <c r="H269" t="str">
        <f t="shared" si="14"/>
        <v>MDA</v>
      </c>
      <c r="I269" t="str">
        <f>+_xlfn.XLOOKUP(H269,Sheet1!C:C,Sheet1!B:B,"N/A",0)</f>
        <v>MD</v>
      </c>
      <c r="J269" t="str">
        <f>+_xlfn.XLOOKUP(H269,Sheet1!C:C,Sheet1!D:D,"N/A",0)</f>
        <v>498</v>
      </c>
    </row>
    <row r="270" spans="1:10" x14ac:dyDescent="0.25">
      <c r="A270" t="s">
        <v>4</v>
      </c>
      <c r="B270" t="s">
        <v>5</v>
      </c>
      <c r="C270" t="s">
        <v>342</v>
      </c>
      <c r="D270" t="s">
        <v>88</v>
      </c>
      <c r="E270" s="1">
        <v>7.18E-4</v>
      </c>
      <c r="F270" s="3">
        <f t="shared" si="15"/>
        <v>0.735232</v>
      </c>
      <c r="G270" s="3">
        <f t="shared" si="13"/>
        <v>0.71679999999999999</v>
      </c>
      <c r="H270" t="str">
        <f t="shared" si="14"/>
        <v>MDA</v>
      </c>
      <c r="I270" t="str">
        <f>+_xlfn.XLOOKUP(H270,Sheet1!C:C,Sheet1!B:B,"N/A",0)</f>
        <v>MD</v>
      </c>
      <c r="J270" t="str">
        <f>+_xlfn.XLOOKUP(H270,Sheet1!C:C,Sheet1!D:D,"N/A",0)</f>
        <v>498</v>
      </c>
    </row>
    <row r="271" spans="1:10" x14ac:dyDescent="0.25">
      <c r="A271" t="s">
        <v>4</v>
      </c>
      <c r="B271" t="s">
        <v>5</v>
      </c>
      <c r="C271" t="s">
        <v>386</v>
      </c>
      <c r="D271" t="s">
        <v>88</v>
      </c>
      <c r="E271" s="1">
        <v>8.0000000000000004E-4</v>
      </c>
      <c r="F271" s="3">
        <f t="shared" si="15"/>
        <v>0.81920000000000004</v>
      </c>
      <c r="G271" s="3">
        <f t="shared" si="13"/>
        <v>0.71679999999999999</v>
      </c>
      <c r="H271" t="str">
        <f t="shared" si="14"/>
        <v>MDA</v>
      </c>
      <c r="I271" t="str">
        <f>+_xlfn.XLOOKUP(H271,Sheet1!C:C,Sheet1!B:B,"N/A",0)</f>
        <v>MD</v>
      </c>
      <c r="J271" t="str">
        <f>+_xlfn.XLOOKUP(H271,Sheet1!C:C,Sheet1!D:D,"N/A",0)</f>
        <v>498</v>
      </c>
    </row>
    <row r="272" spans="1:10" x14ac:dyDescent="0.25">
      <c r="A272" t="s">
        <v>4</v>
      </c>
      <c r="B272" t="s">
        <v>5</v>
      </c>
      <c r="C272" t="s">
        <v>479</v>
      </c>
      <c r="D272" t="s">
        <v>480</v>
      </c>
      <c r="E272" s="1">
        <v>8.2810000000000002E-3</v>
      </c>
      <c r="F272" s="3">
        <f t="shared" si="15"/>
        <v>8.4797440000000002</v>
      </c>
      <c r="G272" s="3">
        <f t="shared" si="13"/>
        <v>8.4797440000000002</v>
      </c>
      <c r="H272" t="str">
        <f t="shared" si="14"/>
        <v>MCO</v>
      </c>
      <c r="I272" t="str">
        <f>+_xlfn.XLOOKUP(H272,Sheet1!C:C,Sheet1!B:B,"N/A",0)</f>
        <v>MC</v>
      </c>
      <c r="J272" t="str">
        <f>+_xlfn.XLOOKUP(H272,Sheet1!C:C,Sheet1!D:D,"N/A",0)</f>
        <v>492</v>
      </c>
    </row>
    <row r="273" spans="1:10" x14ac:dyDescent="0.25">
      <c r="A273" t="s">
        <v>4</v>
      </c>
      <c r="B273" t="s">
        <v>5</v>
      </c>
      <c r="C273" t="s">
        <v>505</v>
      </c>
      <c r="D273" t="s">
        <v>506</v>
      </c>
      <c r="E273" s="1">
        <v>3.003E-3</v>
      </c>
      <c r="F273" s="3">
        <f t="shared" si="15"/>
        <v>3.075072</v>
      </c>
      <c r="G273" s="3">
        <f t="shared" si="13"/>
        <v>3.075072</v>
      </c>
      <c r="H273" t="str">
        <f t="shared" si="14"/>
        <v>MNG</v>
      </c>
      <c r="I273" t="str">
        <f>+_xlfn.XLOOKUP(H273,Sheet1!C:C,Sheet1!B:B,"N/A",0)</f>
        <v>MN</v>
      </c>
      <c r="J273" t="str">
        <f>+_xlfn.XLOOKUP(H273,Sheet1!C:C,Sheet1!D:D,"N/A",0)</f>
        <v>496</v>
      </c>
    </row>
    <row r="274" spans="1:10" x14ac:dyDescent="0.25">
      <c r="A274" t="s">
        <v>4</v>
      </c>
      <c r="B274" t="s">
        <v>5</v>
      </c>
      <c r="C274" t="s">
        <v>210</v>
      </c>
      <c r="D274" t="s">
        <v>211</v>
      </c>
      <c r="E274" s="1">
        <v>7.5000000000000002E-4</v>
      </c>
      <c r="F274" s="3">
        <f t="shared" si="15"/>
        <v>0.76800000000000002</v>
      </c>
      <c r="G274" s="3">
        <f t="shared" si="13"/>
        <v>0.76800000000000002</v>
      </c>
      <c r="H274" t="str">
        <f t="shared" si="14"/>
        <v>MNE</v>
      </c>
      <c r="I274" t="str">
        <f>+_xlfn.XLOOKUP(H274,Sheet1!C:C,Sheet1!B:B,"N/A",0)</f>
        <v>ME</v>
      </c>
      <c r="J274" t="str">
        <f>+_xlfn.XLOOKUP(H274,Sheet1!C:C,Sheet1!D:D,"N/A",0)</f>
        <v>499</v>
      </c>
    </row>
    <row r="275" spans="1:10" x14ac:dyDescent="0.25">
      <c r="A275" t="s">
        <v>4</v>
      </c>
      <c r="B275" t="s">
        <v>5</v>
      </c>
      <c r="C275" t="s">
        <v>532</v>
      </c>
      <c r="D275" t="s">
        <v>211</v>
      </c>
      <c r="E275" s="1">
        <v>1E-3</v>
      </c>
      <c r="F275" s="3">
        <f t="shared" si="15"/>
        <v>1.024</v>
      </c>
      <c r="G275" s="3">
        <f t="shared" ref="G275:G338" si="16">_xlfn.MINIFS(F:F,D:D,D275,F:F,"&lt;&gt;0")</f>
        <v>0.76800000000000002</v>
      </c>
      <c r="H275" t="str">
        <f t="shared" ref="H275:H338" si="17">_xlfn.TEXTBEFORE(_xlfn.TEXTAFTER(C275,"("),")")</f>
        <v>MNE</v>
      </c>
      <c r="I275" t="str">
        <f>+_xlfn.XLOOKUP(H275,Sheet1!C:C,Sheet1!B:B,"N/A",0)</f>
        <v>ME</v>
      </c>
      <c r="J275" t="str">
        <f>+_xlfn.XLOOKUP(H275,Sheet1!C:C,Sheet1!D:D,"N/A",0)</f>
        <v>499</v>
      </c>
    </row>
    <row r="276" spans="1:10" x14ac:dyDescent="0.25">
      <c r="A276" t="s">
        <v>4</v>
      </c>
      <c r="B276" t="s">
        <v>5</v>
      </c>
      <c r="C276" t="s">
        <v>592</v>
      </c>
      <c r="D276" t="s">
        <v>211</v>
      </c>
      <c r="E276" s="1">
        <v>9.3499999999999996E-4</v>
      </c>
      <c r="F276" s="3">
        <f t="shared" si="15"/>
        <v>0.95743999999999996</v>
      </c>
      <c r="G276" s="3">
        <f t="shared" si="16"/>
        <v>0.76800000000000002</v>
      </c>
      <c r="H276" t="str">
        <f t="shared" si="17"/>
        <v>MNE</v>
      </c>
      <c r="I276" t="str">
        <f>+_xlfn.XLOOKUP(H276,Sheet1!C:C,Sheet1!B:B,"N/A",0)</f>
        <v>ME</v>
      </c>
      <c r="J276" t="str">
        <f>+_xlfn.XLOOKUP(H276,Sheet1!C:C,Sheet1!D:D,"N/A",0)</f>
        <v>499</v>
      </c>
    </row>
    <row r="277" spans="1:10" x14ac:dyDescent="0.25">
      <c r="A277" t="s">
        <v>4</v>
      </c>
      <c r="B277" t="s">
        <v>5</v>
      </c>
      <c r="C277" t="s">
        <v>234</v>
      </c>
      <c r="D277" t="s">
        <v>235</v>
      </c>
      <c r="E277" s="1">
        <v>3.0000000000000001E-3</v>
      </c>
      <c r="F277" s="3">
        <f t="shared" si="15"/>
        <v>3.0720000000000001</v>
      </c>
      <c r="G277" s="3">
        <f t="shared" si="16"/>
        <v>3.0720000000000001</v>
      </c>
      <c r="H277" t="str">
        <f t="shared" si="17"/>
        <v>MSR</v>
      </c>
      <c r="I277" t="str">
        <f>+_xlfn.XLOOKUP(H277,Sheet1!C:C,Sheet1!B:B,"N/A",0)</f>
        <v>MS</v>
      </c>
      <c r="J277" t="str">
        <f>+_xlfn.XLOOKUP(H277,Sheet1!C:C,Sheet1!D:D,"N/A",0)</f>
        <v>500</v>
      </c>
    </row>
    <row r="278" spans="1:10" x14ac:dyDescent="0.25">
      <c r="A278" t="s">
        <v>4</v>
      </c>
      <c r="B278" t="s">
        <v>5</v>
      </c>
      <c r="C278" t="s">
        <v>147</v>
      </c>
      <c r="D278" t="s">
        <v>148</v>
      </c>
      <c r="E278" s="1">
        <v>2E-3</v>
      </c>
      <c r="F278" s="3">
        <f t="shared" si="15"/>
        <v>2.048</v>
      </c>
      <c r="G278" s="3">
        <f t="shared" si="16"/>
        <v>1.024</v>
      </c>
      <c r="H278" t="str">
        <f t="shared" si="17"/>
        <v>MAR</v>
      </c>
      <c r="I278" t="str">
        <f>+_xlfn.XLOOKUP(H278,Sheet1!C:C,Sheet1!B:B,"N/A",0)</f>
        <v>MA</v>
      </c>
      <c r="J278" t="str">
        <f>+_xlfn.XLOOKUP(H278,Sheet1!C:C,Sheet1!D:D,"N/A",0)</f>
        <v>504</v>
      </c>
    </row>
    <row r="279" spans="1:10" x14ac:dyDescent="0.25">
      <c r="A279" t="s">
        <v>4</v>
      </c>
      <c r="B279" t="s">
        <v>5</v>
      </c>
      <c r="C279" t="s">
        <v>301</v>
      </c>
      <c r="D279" t="s">
        <v>148</v>
      </c>
      <c r="E279" s="1">
        <v>1E-3</v>
      </c>
      <c r="F279" s="3">
        <f t="shared" si="15"/>
        <v>1.024</v>
      </c>
      <c r="G279" s="3">
        <f t="shared" si="16"/>
        <v>1.024</v>
      </c>
      <c r="H279" t="str">
        <f t="shared" si="17"/>
        <v>MAR</v>
      </c>
      <c r="I279" t="str">
        <f>+_xlfn.XLOOKUP(H279,Sheet1!C:C,Sheet1!B:B,"N/A",0)</f>
        <v>MA</v>
      </c>
      <c r="J279" t="str">
        <f>+_xlfn.XLOOKUP(H279,Sheet1!C:C,Sheet1!D:D,"N/A",0)</f>
        <v>504</v>
      </c>
    </row>
    <row r="280" spans="1:10" x14ac:dyDescent="0.25">
      <c r="A280" t="s">
        <v>4</v>
      </c>
      <c r="B280" t="s">
        <v>5</v>
      </c>
      <c r="C280" t="s">
        <v>511</v>
      </c>
      <c r="D280" t="s">
        <v>148</v>
      </c>
      <c r="E280" s="1">
        <v>1E-3</v>
      </c>
      <c r="F280" s="3">
        <f t="shared" si="15"/>
        <v>1.024</v>
      </c>
      <c r="G280" s="3">
        <f t="shared" si="16"/>
        <v>1.024</v>
      </c>
      <c r="H280" t="str">
        <f t="shared" si="17"/>
        <v>MAR</v>
      </c>
      <c r="I280" t="str">
        <f>+_xlfn.XLOOKUP(H280,Sheet1!C:C,Sheet1!B:B,"N/A",0)</f>
        <v>MA</v>
      </c>
      <c r="J280" t="str">
        <f>+_xlfn.XLOOKUP(H280,Sheet1!C:C,Sheet1!D:D,"N/A",0)</f>
        <v>504</v>
      </c>
    </row>
    <row r="281" spans="1:10" x14ac:dyDescent="0.25">
      <c r="A281" t="s">
        <v>4</v>
      </c>
      <c r="B281" t="s">
        <v>5</v>
      </c>
      <c r="C281" t="s">
        <v>297</v>
      </c>
      <c r="D281" t="s">
        <v>298</v>
      </c>
      <c r="E281" s="1">
        <v>9.3509999999999999E-3</v>
      </c>
      <c r="F281" s="3">
        <f t="shared" si="15"/>
        <v>9.5754239999999999</v>
      </c>
      <c r="G281" s="3">
        <f t="shared" si="16"/>
        <v>9.5754239999999999</v>
      </c>
      <c r="H281" t="str">
        <f t="shared" si="17"/>
        <v>MOZ</v>
      </c>
      <c r="I281" t="str">
        <f>+_xlfn.XLOOKUP(H281,Sheet1!C:C,Sheet1!B:B,"N/A",0)</f>
        <v>MZ</v>
      </c>
      <c r="J281" t="str">
        <f>+_xlfn.XLOOKUP(H281,Sheet1!C:C,Sheet1!D:D,"N/A",0)</f>
        <v>508</v>
      </c>
    </row>
    <row r="282" spans="1:10" x14ac:dyDescent="0.25">
      <c r="A282" t="s">
        <v>4</v>
      </c>
      <c r="B282" t="s">
        <v>5</v>
      </c>
      <c r="C282" t="s">
        <v>446</v>
      </c>
      <c r="D282" t="s">
        <v>447</v>
      </c>
      <c r="E282" s="1">
        <v>5.0029999999999996E-3</v>
      </c>
      <c r="F282" s="3">
        <f t="shared" si="15"/>
        <v>5.1230719999999996</v>
      </c>
      <c r="G282" s="3">
        <f t="shared" si="16"/>
        <v>5.1230719999999996</v>
      </c>
      <c r="H282" t="str">
        <f t="shared" si="17"/>
        <v>NAM</v>
      </c>
      <c r="I282" t="str">
        <f>+_xlfn.XLOOKUP(H282,Sheet1!C:C,Sheet1!B:B,"N/A",0)</f>
        <v>NA</v>
      </c>
      <c r="J282" t="str">
        <f>+_xlfn.XLOOKUP(H282,Sheet1!C:C,Sheet1!D:D,"N/A",0)</f>
        <v>516</v>
      </c>
    </row>
    <row r="283" spans="1:10" x14ac:dyDescent="0.25">
      <c r="A283" t="s">
        <v>4</v>
      </c>
      <c r="B283" t="s">
        <v>5</v>
      </c>
      <c r="C283" t="s">
        <v>333</v>
      </c>
      <c r="D283" t="s">
        <v>334</v>
      </c>
      <c r="E283" s="1">
        <v>0.03</v>
      </c>
      <c r="F283" s="3">
        <f t="shared" si="15"/>
        <v>30.72</v>
      </c>
      <c r="G283" s="3">
        <f t="shared" si="16"/>
        <v>10.24</v>
      </c>
      <c r="H283" t="str">
        <f t="shared" si="17"/>
        <v>NPL</v>
      </c>
      <c r="I283" t="str">
        <f>+_xlfn.XLOOKUP(H283,Sheet1!C:C,Sheet1!B:B,"N/A",0)</f>
        <v>NP</v>
      </c>
      <c r="J283" t="str">
        <f>+_xlfn.XLOOKUP(H283,Sheet1!C:C,Sheet1!D:D,"N/A",0)</f>
        <v>524</v>
      </c>
    </row>
    <row r="284" spans="1:10" x14ac:dyDescent="0.25">
      <c r="A284" t="s">
        <v>4</v>
      </c>
      <c r="B284" t="s">
        <v>5</v>
      </c>
      <c r="C284" t="s">
        <v>357</v>
      </c>
      <c r="D284" t="s">
        <v>334</v>
      </c>
      <c r="E284" s="1">
        <v>0.01</v>
      </c>
      <c r="F284" s="3">
        <f t="shared" si="15"/>
        <v>10.24</v>
      </c>
      <c r="G284" s="3">
        <f t="shared" si="16"/>
        <v>10.24</v>
      </c>
      <c r="H284" t="str">
        <f t="shared" si="17"/>
        <v>NPL</v>
      </c>
      <c r="I284" t="str">
        <f>+_xlfn.XLOOKUP(H284,Sheet1!C:C,Sheet1!B:B,"N/A",0)</f>
        <v>NP</v>
      </c>
      <c r="J284" t="str">
        <f>+_xlfn.XLOOKUP(H284,Sheet1!C:C,Sheet1!D:D,"N/A",0)</f>
        <v>524</v>
      </c>
    </row>
    <row r="285" spans="1:10" x14ac:dyDescent="0.25">
      <c r="A285" t="s">
        <v>4</v>
      </c>
      <c r="B285" t="s">
        <v>5</v>
      </c>
      <c r="C285" t="s">
        <v>85</v>
      </c>
      <c r="D285" t="s">
        <v>86</v>
      </c>
      <c r="E285" s="1">
        <v>4.0000000000000002E-4</v>
      </c>
      <c r="F285" s="3">
        <f t="shared" si="15"/>
        <v>0.40960000000000002</v>
      </c>
      <c r="G285" s="3">
        <f t="shared" si="16"/>
        <v>0.40960000000000002</v>
      </c>
      <c r="H285" t="str">
        <f t="shared" si="17"/>
        <v>NLD</v>
      </c>
      <c r="I285" t="str">
        <f>+_xlfn.XLOOKUP(H285,Sheet1!C:C,Sheet1!B:B,"N/A",0)</f>
        <v>NL</v>
      </c>
      <c r="J285" t="str">
        <f>+_xlfn.XLOOKUP(H285,Sheet1!C:C,Sheet1!D:D,"N/A",0)</f>
        <v>528</v>
      </c>
    </row>
    <row r="286" spans="1:10" x14ac:dyDescent="0.25">
      <c r="A286" t="s">
        <v>4</v>
      </c>
      <c r="B286" t="s">
        <v>5</v>
      </c>
      <c r="C286" t="s">
        <v>246</v>
      </c>
      <c r="D286" t="s">
        <v>86</v>
      </c>
      <c r="E286" s="1">
        <v>7.6599999999999997E-4</v>
      </c>
      <c r="F286" s="3">
        <f t="shared" si="15"/>
        <v>0.78438399999999997</v>
      </c>
      <c r="G286" s="3">
        <f t="shared" si="16"/>
        <v>0.40960000000000002</v>
      </c>
      <c r="H286" t="str">
        <f t="shared" si="17"/>
        <v>NLD</v>
      </c>
      <c r="I286" t="str">
        <f>+_xlfn.XLOOKUP(H286,Sheet1!C:C,Sheet1!B:B,"N/A",0)</f>
        <v>NL</v>
      </c>
      <c r="J286" t="str">
        <f>+_xlfn.XLOOKUP(H286,Sheet1!C:C,Sheet1!D:D,"N/A",0)</f>
        <v>528</v>
      </c>
    </row>
    <row r="287" spans="1:10" x14ac:dyDescent="0.25">
      <c r="A287" t="s">
        <v>4</v>
      </c>
      <c r="B287" t="s">
        <v>5</v>
      </c>
      <c r="C287" t="s">
        <v>264</v>
      </c>
      <c r="D287" t="s">
        <v>86</v>
      </c>
      <c r="E287" s="1">
        <v>6.38E-4</v>
      </c>
      <c r="F287" s="3">
        <f t="shared" si="15"/>
        <v>0.653312</v>
      </c>
      <c r="G287" s="3">
        <f t="shared" si="16"/>
        <v>0.40960000000000002</v>
      </c>
      <c r="H287" t="str">
        <f t="shared" si="17"/>
        <v>NLD</v>
      </c>
      <c r="I287" t="str">
        <f>+_xlfn.XLOOKUP(H287,Sheet1!C:C,Sheet1!B:B,"N/A",0)</f>
        <v>NL</v>
      </c>
      <c r="J287" t="str">
        <f>+_xlfn.XLOOKUP(H287,Sheet1!C:C,Sheet1!D:D,"N/A",0)</f>
        <v>528</v>
      </c>
    </row>
    <row r="288" spans="1:10" x14ac:dyDescent="0.25">
      <c r="A288" t="s">
        <v>4</v>
      </c>
      <c r="B288" t="s">
        <v>5</v>
      </c>
      <c r="C288" t="s">
        <v>141</v>
      </c>
      <c r="D288" t="s">
        <v>142</v>
      </c>
      <c r="E288" s="1">
        <v>3.0000000000000001E-3</v>
      </c>
      <c r="F288" s="3">
        <f t="shared" si="15"/>
        <v>3.0720000000000001</v>
      </c>
      <c r="G288" s="3">
        <f t="shared" si="16"/>
        <v>1.024</v>
      </c>
      <c r="H288" t="s">
        <v>698</v>
      </c>
      <c r="I288" t="s">
        <v>697</v>
      </c>
      <c r="J288" t="str">
        <f>+_xlfn.XLOOKUP(H288,Sheet1!C:C,Sheet1!D:D,"N/A",0)</f>
        <v>535</v>
      </c>
    </row>
    <row r="289" spans="1:10" x14ac:dyDescent="0.25">
      <c r="A289" t="s">
        <v>4</v>
      </c>
      <c r="B289" t="s">
        <v>5</v>
      </c>
      <c r="C289" t="s">
        <v>214</v>
      </c>
      <c r="D289" t="s">
        <v>142</v>
      </c>
      <c r="E289" s="1">
        <v>1E-3</v>
      </c>
      <c r="F289" s="3">
        <f t="shared" si="15"/>
        <v>1.024</v>
      </c>
      <c r="G289" s="3">
        <f t="shared" si="16"/>
        <v>1.024</v>
      </c>
      <c r="H289" t="s">
        <v>698</v>
      </c>
      <c r="I289" t="s">
        <v>697</v>
      </c>
      <c r="J289" t="str">
        <f>+_xlfn.XLOOKUP(H289,Sheet1!C:C,Sheet1!D:D,"N/A",0)</f>
        <v>535</v>
      </c>
    </row>
    <row r="290" spans="1:10" x14ac:dyDescent="0.25">
      <c r="A290" t="s">
        <v>4</v>
      </c>
      <c r="B290" t="s">
        <v>5</v>
      </c>
      <c r="C290" t="s">
        <v>33</v>
      </c>
      <c r="D290" t="s">
        <v>34</v>
      </c>
      <c r="E290" s="1">
        <v>4.8000000000000001E-4</v>
      </c>
      <c r="F290" s="3">
        <f t="shared" si="15"/>
        <v>0.49152000000000001</v>
      </c>
      <c r="G290" s="3">
        <f t="shared" si="16"/>
        <v>0.49152000000000001</v>
      </c>
      <c r="H290" t="str">
        <f t="shared" si="17"/>
        <v>NZL</v>
      </c>
      <c r="I290" t="str">
        <f>+_xlfn.XLOOKUP(H290,Sheet1!C:C,Sheet1!B:B,"N/A",0)</f>
        <v>NZ</v>
      </c>
      <c r="J290" t="str">
        <f>+_xlfn.XLOOKUP(H290,Sheet1!C:C,Sheet1!D:D,"N/A",0)</f>
        <v>554</v>
      </c>
    </row>
    <row r="291" spans="1:10" x14ac:dyDescent="0.25">
      <c r="A291" t="s">
        <v>4</v>
      </c>
      <c r="B291" t="s">
        <v>5</v>
      </c>
      <c r="C291" t="s">
        <v>251</v>
      </c>
      <c r="D291" t="s">
        <v>34</v>
      </c>
      <c r="E291" s="1">
        <v>1.3990000000000001E-3</v>
      </c>
      <c r="F291" s="3">
        <f t="shared" si="15"/>
        <v>1.4325760000000001</v>
      </c>
      <c r="G291" s="3">
        <f t="shared" si="16"/>
        <v>0.49152000000000001</v>
      </c>
      <c r="H291" t="str">
        <f t="shared" si="17"/>
        <v>NZL</v>
      </c>
      <c r="I291" t="str">
        <f>+_xlfn.XLOOKUP(H291,Sheet1!C:C,Sheet1!B:B,"N/A",0)</f>
        <v>NZ</v>
      </c>
      <c r="J291" t="str">
        <f>+_xlfn.XLOOKUP(H291,Sheet1!C:C,Sheet1!D:D,"N/A",0)</f>
        <v>554</v>
      </c>
    </row>
    <row r="292" spans="1:10" x14ac:dyDescent="0.25">
      <c r="A292" t="s">
        <v>4</v>
      </c>
      <c r="B292" t="s">
        <v>5</v>
      </c>
      <c r="C292" t="s">
        <v>347</v>
      </c>
      <c r="D292" t="s">
        <v>34</v>
      </c>
      <c r="E292" s="1">
        <v>4.0000000000000001E-3</v>
      </c>
      <c r="F292" s="3">
        <f t="shared" si="15"/>
        <v>4.0960000000000001</v>
      </c>
      <c r="G292" s="3">
        <f t="shared" si="16"/>
        <v>0.49152000000000001</v>
      </c>
      <c r="H292" t="str">
        <f t="shared" si="17"/>
        <v>NZL</v>
      </c>
      <c r="I292" t="str">
        <f>+_xlfn.XLOOKUP(H292,Sheet1!C:C,Sheet1!B:B,"N/A",0)</f>
        <v>NZ</v>
      </c>
      <c r="J292" t="str">
        <f>+_xlfn.XLOOKUP(H292,Sheet1!C:C,Sheet1!D:D,"N/A",0)</f>
        <v>554</v>
      </c>
    </row>
    <row r="293" spans="1:10" x14ac:dyDescent="0.25">
      <c r="A293" t="s">
        <v>4</v>
      </c>
      <c r="B293" t="s">
        <v>5</v>
      </c>
      <c r="C293" t="s">
        <v>307</v>
      </c>
      <c r="D293" t="s">
        <v>308</v>
      </c>
      <c r="E293" s="1">
        <v>2.0929999999999998E-3</v>
      </c>
      <c r="F293" s="3">
        <f t="shared" si="15"/>
        <v>2.1432319999999998</v>
      </c>
      <c r="G293" s="3">
        <f t="shared" si="16"/>
        <v>1.024</v>
      </c>
      <c r="H293" t="str">
        <f t="shared" si="17"/>
        <v>NIC</v>
      </c>
      <c r="I293" t="str">
        <f>+_xlfn.XLOOKUP(H293,Sheet1!C:C,Sheet1!B:B,"N/A",0)</f>
        <v>NI</v>
      </c>
      <c r="J293" t="str">
        <f>+_xlfn.XLOOKUP(H293,Sheet1!C:C,Sheet1!D:D,"N/A",0)</f>
        <v>558</v>
      </c>
    </row>
    <row r="294" spans="1:10" x14ac:dyDescent="0.25">
      <c r="A294" t="s">
        <v>4</v>
      </c>
      <c r="B294" t="s">
        <v>5</v>
      </c>
      <c r="C294" t="s">
        <v>538</v>
      </c>
      <c r="D294" t="s">
        <v>308</v>
      </c>
      <c r="E294" s="1">
        <v>1E-3</v>
      </c>
      <c r="F294" s="3">
        <f t="shared" si="15"/>
        <v>1.024</v>
      </c>
      <c r="G294" s="3">
        <f t="shared" si="16"/>
        <v>1.024</v>
      </c>
      <c r="H294" t="str">
        <f t="shared" si="17"/>
        <v>NIC</v>
      </c>
      <c r="I294" t="str">
        <f>+_xlfn.XLOOKUP(H294,Sheet1!C:C,Sheet1!B:B,"N/A",0)</f>
        <v>NI</v>
      </c>
      <c r="J294" t="str">
        <f>+_xlfn.XLOOKUP(H294,Sheet1!C:C,Sheet1!D:D,"N/A",0)</f>
        <v>558</v>
      </c>
    </row>
    <row r="295" spans="1:10" x14ac:dyDescent="0.25">
      <c r="A295" t="s">
        <v>4</v>
      </c>
      <c r="B295" t="s">
        <v>5</v>
      </c>
      <c r="C295" t="s">
        <v>452</v>
      </c>
      <c r="D295" t="s">
        <v>453</v>
      </c>
      <c r="E295" s="1">
        <v>2E-3</v>
      </c>
      <c r="F295" s="3">
        <f t="shared" si="15"/>
        <v>2.048</v>
      </c>
      <c r="G295" s="3">
        <f t="shared" si="16"/>
        <v>2.048</v>
      </c>
      <c r="H295" t="str">
        <f t="shared" si="17"/>
        <v>NGA</v>
      </c>
      <c r="I295" t="str">
        <f>+_xlfn.XLOOKUP(H295,Sheet1!C:C,Sheet1!B:B,"N/A",0)</f>
        <v>NG</v>
      </c>
      <c r="J295" t="str">
        <f>+_xlfn.XLOOKUP(H295,Sheet1!C:C,Sheet1!D:D,"N/A",0)</f>
        <v>566</v>
      </c>
    </row>
    <row r="296" spans="1:10" x14ac:dyDescent="0.25">
      <c r="A296" t="s">
        <v>4</v>
      </c>
      <c r="B296" t="s">
        <v>5</v>
      </c>
      <c r="C296" t="s">
        <v>483</v>
      </c>
      <c r="D296" t="s">
        <v>453</v>
      </c>
      <c r="E296" s="1">
        <v>2.3E-3</v>
      </c>
      <c r="F296" s="3">
        <f t="shared" si="15"/>
        <v>2.3552</v>
      </c>
      <c r="G296" s="3">
        <f t="shared" si="16"/>
        <v>2.048</v>
      </c>
      <c r="H296" t="str">
        <f t="shared" si="17"/>
        <v>NGA</v>
      </c>
      <c r="I296" t="str">
        <f>+_xlfn.XLOOKUP(H296,Sheet1!C:C,Sheet1!B:B,"N/A",0)</f>
        <v>NG</v>
      </c>
      <c r="J296" t="str">
        <f>+_xlfn.XLOOKUP(H296,Sheet1!C:C,Sheet1!D:D,"N/A",0)</f>
        <v>566</v>
      </c>
    </row>
    <row r="297" spans="1:10" x14ac:dyDescent="0.25">
      <c r="A297" t="s">
        <v>4</v>
      </c>
      <c r="B297" t="s">
        <v>5</v>
      </c>
      <c r="C297" t="s">
        <v>238</v>
      </c>
      <c r="D297" t="s">
        <v>239</v>
      </c>
      <c r="E297" s="1">
        <v>8.0000000000000004E-4</v>
      </c>
      <c r="F297" s="3">
        <f t="shared" si="15"/>
        <v>0.81920000000000004</v>
      </c>
      <c r="G297" s="3">
        <f t="shared" si="16"/>
        <v>0.63692800000000005</v>
      </c>
      <c r="H297" t="str">
        <f t="shared" si="17"/>
        <v>MKD</v>
      </c>
      <c r="I297" t="str">
        <f>+_xlfn.XLOOKUP(H297,Sheet1!C:C,Sheet1!B:B,"N/A",0)</f>
        <v>MK</v>
      </c>
      <c r="J297" t="str">
        <f>+_xlfn.XLOOKUP(H297,Sheet1!C:C,Sheet1!D:D,"N/A",0)</f>
        <v>807</v>
      </c>
    </row>
    <row r="298" spans="1:10" x14ac:dyDescent="0.25">
      <c r="A298" t="s">
        <v>4</v>
      </c>
      <c r="B298" t="s">
        <v>5</v>
      </c>
      <c r="C298" t="s">
        <v>598</v>
      </c>
      <c r="D298" t="s">
        <v>239</v>
      </c>
      <c r="E298" s="1">
        <v>6.2200000000000005E-4</v>
      </c>
      <c r="F298" s="3">
        <f t="shared" si="15"/>
        <v>0.63692800000000005</v>
      </c>
      <c r="G298" s="3">
        <f t="shared" si="16"/>
        <v>0.63692800000000005</v>
      </c>
      <c r="H298" t="str">
        <f t="shared" si="17"/>
        <v>MKD</v>
      </c>
      <c r="I298" t="str">
        <f>+_xlfn.XLOOKUP(H298,Sheet1!C:C,Sheet1!B:B,"N/A",0)</f>
        <v>MK</v>
      </c>
      <c r="J298" t="str">
        <f>+_xlfn.XLOOKUP(H298,Sheet1!C:C,Sheet1!D:D,"N/A",0)</f>
        <v>807</v>
      </c>
    </row>
    <row r="299" spans="1:10" x14ac:dyDescent="0.25">
      <c r="A299" t="s">
        <v>4</v>
      </c>
      <c r="B299" t="s">
        <v>5</v>
      </c>
      <c r="C299" t="s">
        <v>402</v>
      </c>
      <c r="D299" t="s">
        <v>403</v>
      </c>
      <c r="E299" s="1">
        <v>3.3500000000000001E-4</v>
      </c>
      <c r="F299" s="3">
        <f t="shared" si="15"/>
        <v>0.34304000000000001</v>
      </c>
      <c r="G299" s="3">
        <f t="shared" si="16"/>
        <v>0.26112000000000002</v>
      </c>
      <c r="H299" t="str">
        <f t="shared" si="17"/>
        <v>NOR</v>
      </c>
      <c r="I299" t="str">
        <f>+_xlfn.XLOOKUP(H299,Sheet1!C:C,Sheet1!B:B,"N/A",0)</f>
        <v>NO</v>
      </c>
      <c r="J299" t="str">
        <f>+_xlfn.XLOOKUP(H299,Sheet1!C:C,Sheet1!D:D,"N/A",0)</f>
        <v>578</v>
      </c>
    </row>
    <row r="300" spans="1:10" x14ac:dyDescent="0.25">
      <c r="A300" t="s">
        <v>4</v>
      </c>
      <c r="B300" t="s">
        <v>5</v>
      </c>
      <c r="C300" t="s">
        <v>534</v>
      </c>
      <c r="D300" t="s">
        <v>403</v>
      </c>
      <c r="E300" s="1">
        <v>2.5500000000000002E-4</v>
      </c>
      <c r="F300" s="3">
        <f t="shared" si="15"/>
        <v>0.26112000000000002</v>
      </c>
      <c r="G300" s="3">
        <f t="shared" si="16"/>
        <v>0.26112000000000002</v>
      </c>
      <c r="H300" t="str">
        <f t="shared" si="17"/>
        <v>NOR</v>
      </c>
      <c r="I300" t="str">
        <f>+_xlfn.XLOOKUP(H300,Sheet1!C:C,Sheet1!B:B,"N/A",0)</f>
        <v>NO</v>
      </c>
      <c r="J300" t="str">
        <f>+_xlfn.XLOOKUP(H300,Sheet1!C:C,Sheet1!D:D,"N/A",0)</f>
        <v>578</v>
      </c>
    </row>
    <row r="301" spans="1:10" x14ac:dyDescent="0.25">
      <c r="A301" t="s">
        <v>4</v>
      </c>
      <c r="B301" t="s">
        <v>5</v>
      </c>
      <c r="C301" t="s">
        <v>276</v>
      </c>
      <c r="D301" t="s">
        <v>277</v>
      </c>
      <c r="E301" s="1">
        <v>2.0409999999999998E-3</v>
      </c>
      <c r="F301" s="3">
        <f t="shared" si="15"/>
        <v>2.0899839999999998</v>
      </c>
      <c r="G301" s="3">
        <f t="shared" si="16"/>
        <v>2.0899839999999998</v>
      </c>
      <c r="H301" t="str">
        <f t="shared" si="17"/>
        <v>OMN</v>
      </c>
      <c r="I301" t="str">
        <f>+_xlfn.XLOOKUP(H301,Sheet1!C:C,Sheet1!B:B,"N/A",0)</f>
        <v>OM</v>
      </c>
      <c r="J301" t="str">
        <f>+_xlfn.XLOOKUP(H301,Sheet1!C:C,Sheet1!D:D,"N/A",0)</f>
        <v>512</v>
      </c>
    </row>
    <row r="302" spans="1:10" x14ac:dyDescent="0.25">
      <c r="A302" t="s">
        <v>4</v>
      </c>
      <c r="B302" t="s">
        <v>5</v>
      </c>
      <c r="C302" t="s">
        <v>425</v>
      </c>
      <c r="D302" t="s">
        <v>277</v>
      </c>
      <c r="F302" s="3">
        <f t="shared" si="15"/>
        <v>0</v>
      </c>
      <c r="G302" s="3">
        <f t="shared" si="16"/>
        <v>2.0899839999999998</v>
      </c>
      <c r="H302" t="str">
        <f t="shared" si="17"/>
        <v>OMN</v>
      </c>
      <c r="I302" t="str">
        <f>+_xlfn.XLOOKUP(H302,Sheet1!C:C,Sheet1!B:B,"N/A",0)</f>
        <v>OM</v>
      </c>
      <c r="J302" t="str">
        <f>+_xlfn.XLOOKUP(H302,Sheet1!C:C,Sheet1!D:D,"N/A",0)</f>
        <v>512</v>
      </c>
    </row>
    <row r="303" spans="1:10" x14ac:dyDescent="0.25">
      <c r="A303" t="s">
        <v>4</v>
      </c>
      <c r="B303" t="s">
        <v>5</v>
      </c>
      <c r="C303" t="s">
        <v>180</v>
      </c>
      <c r="D303" t="s">
        <v>181</v>
      </c>
      <c r="E303" s="1">
        <v>2.7999999999999998E-4</v>
      </c>
      <c r="F303" s="3">
        <f t="shared" si="15"/>
        <v>0.28671999999999997</v>
      </c>
      <c r="G303" s="3">
        <f t="shared" si="16"/>
        <v>0.28671999999999997</v>
      </c>
      <c r="H303" t="str">
        <f t="shared" si="17"/>
        <v>PAK</v>
      </c>
      <c r="I303" t="str">
        <f>+_xlfn.XLOOKUP(H303,Sheet1!C:C,Sheet1!B:B,"N/A",0)</f>
        <v>PK</v>
      </c>
      <c r="J303" t="str">
        <f>+_xlfn.XLOOKUP(H303,Sheet1!C:C,Sheet1!D:D,"N/A",0)</f>
        <v>586</v>
      </c>
    </row>
    <row r="304" spans="1:10" x14ac:dyDescent="0.25">
      <c r="A304" t="s">
        <v>4</v>
      </c>
      <c r="B304" t="s">
        <v>5</v>
      </c>
      <c r="C304" t="s">
        <v>498</v>
      </c>
      <c r="D304" t="s">
        <v>181</v>
      </c>
      <c r="E304" s="1">
        <v>1.0999999999999999E-2</v>
      </c>
      <c r="F304" s="3">
        <f t="shared" si="15"/>
        <v>11.263999999999999</v>
      </c>
      <c r="G304" s="3">
        <f t="shared" si="16"/>
        <v>0.28671999999999997</v>
      </c>
      <c r="H304" t="str">
        <f t="shared" si="17"/>
        <v>PAK</v>
      </c>
      <c r="I304" t="str">
        <f>+_xlfn.XLOOKUP(H304,Sheet1!C:C,Sheet1!B:B,"N/A",0)</f>
        <v>PK</v>
      </c>
      <c r="J304" t="str">
        <f>+_xlfn.XLOOKUP(H304,Sheet1!C:C,Sheet1!D:D,"N/A",0)</f>
        <v>586</v>
      </c>
    </row>
    <row r="305" spans="1:10" x14ac:dyDescent="0.25">
      <c r="A305" t="s">
        <v>4</v>
      </c>
      <c r="B305" t="s">
        <v>5</v>
      </c>
      <c r="C305" t="s">
        <v>489</v>
      </c>
      <c r="D305" t="s">
        <v>490</v>
      </c>
      <c r="E305" s="1">
        <v>0.05</v>
      </c>
      <c r="F305" s="3">
        <f t="shared" si="15"/>
        <v>51.2</v>
      </c>
      <c r="G305" s="3">
        <f t="shared" si="16"/>
        <v>51.2</v>
      </c>
      <c r="H305" t="str">
        <f t="shared" si="17"/>
        <v>PLW</v>
      </c>
      <c r="I305" t="str">
        <f>+_xlfn.XLOOKUP(H305,Sheet1!C:C,Sheet1!B:B,"N/A",0)</f>
        <v>PW</v>
      </c>
      <c r="J305" t="str">
        <f>+_xlfn.XLOOKUP(H305,Sheet1!C:C,Sheet1!D:D,"N/A",0)</f>
        <v>585</v>
      </c>
    </row>
    <row r="306" spans="1:10" x14ac:dyDescent="0.25">
      <c r="A306" t="s">
        <v>4</v>
      </c>
      <c r="B306" t="s">
        <v>5</v>
      </c>
      <c r="C306" t="s">
        <v>207</v>
      </c>
      <c r="D306" t="s">
        <v>208</v>
      </c>
      <c r="E306" s="1">
        <v>1E-3</v>
      </c>
      <c r="F306" s="3">
        <f t="shared" si="15"/>
        <v>1.024</v>
      </c>
      <c r="G306" s="3">
        <f t="shared" si="16"/>
        <v>1.024</v>
      </c>
      <c r="H306" t="str">
        <f t="shared" si="17"/>
        <v>PSE</v>
      </c>
      <c r="I306" t="str">
        <f>+_xlfn.XLOOKUP(H306,Sheet1!C:C,Sheet1!B:B,"N/A",0)</f>
        <v>PS</v>
      </c>
      <c r="J306" t="str">
        <f>+_xlfn.XLOOKUP(H306,Sheet1!C:C,Sheet1!D:D,"N/A",0)</f>
        <v>275</v>
      </c>
    </row>
    <row r="307" spans="1:10" x14ac:dyDescent="0.25">
      <c r="A307" t="s">
        <v>4</v>
      </c>
      <c r="B307" t="s">
        <v>5</v>
      </c>
      <c r="C307" t="s">
        <v>291</v>
      </c>
      <c r="D307" t="s">
        <v>292</v>
      </c>
      <c r="E307" s="1">
        <v>3.0000000000000001E-3</v>
      </c>
      <c r="F307" s="3">
        <f t="shared" si="15"/>
        <v>3.0720000000000001</v>
      </c>
      <c r="G307" s="3">
        <f t="shared" si="16"/>
        <v>3.0720000000000001</v>
      </c>
      <c r="H307" t="str">
        <f t="shared" si="17"/>
        <v>PAN</v>
      </c>
      <c r="I307" t="str">
        <f>+_xlfn.XLOOKUP(H307,Sheet1!C:C,Sheet1!B:B,"N/A",0)</f>
        <v>PA</v>
      </c>
      <c r="J307" t="str">
        <f>+_xlfn.XLOOKUP(H307,Sheet1!C:C,Sheet1!D:D,"N/A",0)</f>
        <v>591</v>
      </c>
    </row>
    <row r="308" spans="1:10" x14ac:dyDescent="0.25">
      <c r="A308" t="s">
        <v>4</v>
      </c>
      <c r="B308" t="s">
        <v>5</v>
      </c>
      <c r="C308" t="s">
        <v>492</v>
      </c>
      <c r="D308" t="s">
        <v>493</v>
      </c>
      <c r="E308" s="1">
        <v>5.0000000000000001E-3</v>
      </c>
      <c r="F308" s="3">
        <f t="shared" si="15"/>
        <v>5.12</v>
      </c>
      <c r="G308" s="3">
        <f t="shared" si="16"/>
        <v>5.12</v>
      </c>
      <c r="H308" t="str">
        <f t="shared" si="17"/>
        <v>PNG</v>
      </c>
      <c r="I308" t="str">
        <f>+_xlfn.XLOOKUP(H308,Sheet1!C:C,Sheet1!B:B,"N/A",0)</f>
        <v>PG</v>
      </c>
      <c r="J308" t="str">
        <f>+_xlfn.XLOOKUP(H308,Sheet1!C:C,Sheet1!D:D,"N/A",0)</f>
        <v>598</v>
      </c>
    </row>
    <row r="309" spans="1:10" x14ac:dyDescent="0.25">
      <c r="A309" t="s">
        <v>4</v>
      </c>
      <c r="B309" t="s">
        <v>5</v>
      </c>
      <c r="C309" t="s">
        <v>595</v>
      </c>
      <c r="D309" t="s">
        <v>493</v>
      </c>
      <c r="E309" s="1">
        <v>0.01</v>
      </c>
      <c r="F309" s="3">
        <f t="shared" si="15"/>
        <v>10.24</v>
      </c>
      <c r="G309" s="3">
        <f t="shared" si="16"/>
        <v>5.12</v>
      </c>
      <c r="H309" t="str">
        <f t="shared" si="17"/>
        <v>PNG</v>
      </c>
      <c r="I309" t="str">
        <f>+_xlfn.XLOOKUP(H309,Sheet1!C:C,Sheet1!B:B,"N/A",0)</f>
        <v>PG</v>
      </c>
      <c r="J309" t="str">
        <f>+_xlfn.XLOOKUP(H309,Sheet1!C:C,Sheet1!D:D,"N/A",0)</f>
        <v>598</v>
      </c>
    </row>
    <row r="310" spans="1:10" x14ac:dyDescent="0.25">
      <c r="A310" t="s">
        <v>4</v>
      </c>
      <c r="B310" t="s">
        <v>5</v>
      </c>
      <c r="C310" t="s">
        <v>21</v>
      </c>
      <c r="D310" t="s">
        <v>22</v>
      </c>
      <c r="E310" s="1">
        <v>2.0929999999999998E-3</v>
      </c>
      <c r="F310" s="3">
        <f t="shared" si="15"/>
        <v>2.1432319999999998</v>
      </c>
      <c r="G310" s="3">
        <f t="shared" si="16"/>
        <v>1.0885119999999999</v>
      </c>
      <c r="H310" t="str">
        <f t="shared" si="17"/>
        <v>PRY</v>
      </c>
      <c r="I310" t="str">
        <f>+_xlfn.XLOOKUP(H310,Sheet1!C:C,Sheet1!B:B,"N/A",0)</f>
        <v>PY</v>
      </c>
      <c r="J310" t="str">
        <f>+_xlfn.XLOOKUP(H310,Sheet1!C:C,Sheet1!D:D,"N/A",0)</f>
        <v>600</v>
      </c>
    </row>
    <row r="311" spans="1:10" x14ac:dyDescent="0.25">
      <c r="A311" t="s">
        <v>4</v>
      </c>
      <c r="B311" t="s">
        <v>5</v>
      </c>
      <c r="C311" t="s">
        <v>443</v>
      </c>
      <c r="D311" t="s">
        <v>22</v>
      </c>
      <c r="E311" s="1">
        <v>1.0629999999999999E-3</v>
      </c>
      <c r="F311" s="3">
        <f t="shared" si="15"/>
        <v>1.0885119999999999</v>
      </c>
      <c r="G311" s="3">
        <f t="shared" si="16"/>
        <v>1.0885119999999999</v>
      </c>
      <c r="H311" t="str">
        <f t="shared" si="17"/>
        <v>PRY</v>
      </c>
      <c r="I311" t="str">
        <f>+_xlfn.XLOOKUP(H311,Sheet1!C:C,Sheet1!B:B,"N/A",0)</f>
        <v>PY</v>
      </c>
      <c r="J311" t="str">
        <f>+_xlfn.XLOOKUP(H311,Sheet1!C:C,Sheet1!D:D,"N/A",0)</f>
        <v>600</v>
      </c>
    </row>
    <row r="312" spans="1:10" x14ac:dyDescent="0.25">
      <c r="A312" t="s">
        <v>4</v>
      </c>
      <c r="B312" t="s">
        <v>5</v>
      </c>
      <c r="C312" t="s">
        <v>124</v>
      </c>
      <c r="D312" t="s">
        <v>125</v>
      </c>
      <c r="E312" s="1">
        <v>1E-3</v>
      </c>
      <c r="F312" s="3">
        <f t="shared" si="15"/>
        <v>1.024</v>
      </c>
      <c r="G312" s="3">
        <f t="shared" si="16"/>
        <v>1.024</v>
      </c>
      <c r="H312" t="str">
        <f t="shared" si="17"/>
        <v>PER</v>
      </c>
      <c r="I312" t="str">
        <f>+_xlfn.XLOOKUP(H312,Sheet1!C:C,Sheet1!B:B,"N/A",0)</f>
        <v>PE</v>
      </c>
      <c r="J312" t="str">
        <f>+_xlfn.XLOOKUP(H312,Sheet1!C:C,Sheet1!D:D,"N/A",0)</f>
        <v>604</v>
      </c>
    </row>
    <row r="313" spans="1:10" x14ac:dyDescent="0.25">
      <c r="A313" t="s">
        <v>4</v>
      </c>
      <c r="B313" t="s">
        <v>5</v>
      </c>
      <c r="C313" t="s">
        <v>568</v>
      </c>
      <c r="D313" t="s">
        <v>125</v>
      </c>
      <c r="E313" s="1">
        <v>2E-3</v>
      </c>
      <c r="F313" s="3">
        <f t="shared" si="15"/>
        <v>2.048</v>
      </c>
      <c r="G313" s="3">
        <f t="shared" si="16"/>
        <v>1.024</v>
      </c>
      <c r="H313" t="str">
        <f t="shared" si="17"/>
        <v>PER</v>
      </c>
      <c r="I313" t="str">
        <f>+_xlfn.XLOOKUP(H313,Sheet1!C:C,Sheet1!B:B,"N/A",0)</f>
        <v>PE</v>
      </c>
      <c r="J313" t="str">
        <f>+_xlfn.XLOOKUP(H313,Sheet1!C:C,Sheet1!D:D,"N/A",0)</f>
        <v>604</v>
      </c>
    </row>
    <row r="314" spans="1:10" x14ac:dyDescent="0.25">
      <c r="A314" t="s">
        <v>4</v>
      </c>
      <c r="B314" t="s">
        <v>5</v>
      </c>
      <c r="C314" t="s">
        <v>584</v>
      </c>
      <c r="D314" t="s">
        <v>125</v>
      </c>
      <c r="E314" s="1">
        <v>1.614E-3</v>
      </c>
      <c r="F314" s="3">
        <f t="shared" si="15"/>
        <v>1.652736</v>
      </c>
      <c r="G314" s="3">
        <f t="shared" si="16"/>
        <v>1.024</v>
      </c>
      <c r="H314" t="str">
        <f t="shared" si="17"/>
        <v>PER</v>
      </c>
      <c r="I314" t="str">
        <f>+_xlfn.XLOOKUP(H314,Sheet1!C:C,Sheet1!B:B,"N/A",0)</f>
        <v>PE</v>
      </c>
      <c r="J314" t="str">
        <f>+_xlfn.XLOOKUP(H314,Sheet1!C:C,Sheet1!D:D,"N/A",0)</f>
        <v>604</v>
      </c>
    </row>
    <row r="315" spans="1:10" x14ac:dyDescent="0.25">
      <c r="A315" t="s">
        <v>4</v>
      </c>
      <c r="B315" t="s">
        <v>5</v>
      </c>
      <c r="C315" t="s">
        <v>12</v>
      </c>
      <c r="D315" t="s">
        <v>13</v>
      </c>
      <c r="E315" s="1">
        <v>3.0010000000000002E-3</v>
      </c>
      <c r="F315" s="3">
        <f t="shared" si="15"/>
        <v>3.0730240000000002</v>
      </c>
      <c r="G315" s="3">
        <f t="shared" si="16"/>
        <v>0.56832000000000005</v>
      </c>
      <c r="H315" t="str">
        <f t="shared" si="17"/>
        <v>PHL</v>
      </c>
      <c r="I315" t="str">
        <f>+_xlfn.XLOOKUP(H315,Sheet1!C:C,Sheet1!B:B,"N/A",0)</f>
        <v>PH</v>
      </c>
      <c r="J315" t="str">
        <f>+_xlfn.XLOOKUP(H315,Sheet1!C:C,Sheet1!D:D,"N/A",0)</f>
        <v>608</v>
      </c>
    </row>
    <row r="316" spans="1:10" x14ac:dyDescent="0.25">
      <c r="A316" t="s">
        <v>4</v>
      </c>
      <c r="B316" t="s">
        <v>5</v>
      </c>
      <c r="C316" t="s">
        <v>437</v>
      </c>
      <c r="D316" t="s">
        <v>13</v>
      </c>
      <c r="E316" s="1">
        <v>5.5500000000000005E-4</v>
      </c>
      <c r="F316" s="3">
        <f t="shared" si="15"/>
        <v>0.56832000000000005</v>
      </c>
      <c r="G316" s="3">
        <f t="shared" si="16"/>
        <v>0.56832000000000005</v>
      </c>
      <c r="H316" t="str">
        <f t="shared" si="17"/>
        <v>PHL</v>
      </c>
      <c r="I316" t="str">
        <f>+_xlfn.XLOOKUP(H316,Sheet1!C:C,Sheet1!B:B,"N/A",0)</f>
        <v>PH</v>
      </c>
      <c r="J316" t="str">
        <f>+_xlfn.XLOOKUP(H316,Sheet1!C:C,Sheet1!D:D,"N/A",0)</f>
        <v>608</v>
      </c>
    </row>
    <row r="317" spans="1:10" x14ac:dyDescent="0.25">
      <c r="A317" t="s">
        <v>4</v>
      </c>
      <c r="B317" t="s">
        <v>5</v>
      </c>
      <c r="C317" t="s">
        <v>241</v>
      </c>
      <c r="D317" t="s">
        <v>242</v>
      </c>
      <c r="E317" s="1">
        <v>5.3799999999999996E-4</v>
      </c>
      <c r="F317" s="3">
        <f t="shared" si="15"/>
        <v>0.55091199999999996</v>
      </c>
      <c r="G317" s="3">
        <f t="shared" si="16"/>
        <v>0.55091199999999996</v>
      </c>
      <c r="H317" t="str">
        <f t="shared" si="17"/>
        <v>POL</v>
      </c>
      <c r="I317" t="str">
        <f>+_xlfn.XLOOKUP(H317,Sheet1!C:C,Sheet1!B:B,"N/A",0)</f>
        <v>PL</v>
      </c>
      <c r="J317" t="str">
        <f>+_xlfn.XLOOKUP(H317,Sheet1!C:C,Sheet1!D:D,"N/A",0)</f>
        <v>616</v>
      </c>
    </row>
    <row r="318" spans="1:10" x14ac:dyDescent="0.25">
      <c r="A318" t="s">
        <v>4</v>
      </c>
      <c r="B318" t="s">
        <v>5</v>
      </c>
      <c r="C318" t="s">
        <v>255</v>
      </c>
      <c r="D318" t="s">
        <v>242</v>
      </c>
      <c r="E318" s="1">
        <v>8.5999999999999998E-4</v>
      </c>
      <c r="F318" s="3">
        <f t="shared" si="15"/>
        <v>0.88063999999999998</v>
      </c>
      <c r="G318" s="3">
        <f t="shared" si="16"/>
        <v>0.55091199999999996</v>
      </c>
      <c r="H318" t="str">
        <f t="shared" si="17"/>
        <v>POL</v>
      </c>
      <c r="I318" t="str">
        <f>+_xlfn.XLOOKUP(H318,Sheet1!C:C,Sheet1!B:B,"N/A",0)</f>
        <v>PL</v>
      </c>
      <c r="J318" t="str">
        <f>+_xlfn.XLOOKUP(H318,Sheet1!C:C,Sheet1!D:D,"N/A",0)</f>
        <v>616</v>
      </c>
    </row>
    <row r="319" spans="1:10" x14ac:dyDescent="0.25">
      <c r="A319" t="s">
        <v>4</v>
      </c>
      <c r="B319" t="s">
        <v>5</v>
      </c>
      <c r="C319" t="s">
        <v>451</v>
      </c>
      <c r="D319" t="s">
        <v>242</v>
      </c>
      <c r="E319" s="1">
        <v>7.18E-4</v>
      </c>
      <c r="F319" s="3">
        <f t="shared" si="15"/>
        <v>0.735232</v>
      </c>
      <c r="G319" s="3">
        <f t="shared" si="16"/>
        <v>0.55091199999999996</v>
      </c>
      <c r="H319" t="str">
        <f t="shared" si="17"/>
        <v>POL</v>
      </c>
      <c r="I319" t="str">
        <f>+_xlfn.XLOOKUP(H319,Sheet1!C:C,Sheet1!B:B,"N/A",0)</f>
        <v>PL</v>
      </c>
      <c r="J319" t="str">
        <f>+_xlfn.XLOOKUP(H319,Sheet1!C:C,Sheet1!D:D,"N/A",0)</f>
        <v>616</v>
      </c>
    </row>
    <row r="320" spans="1:10" x14ac:dyDescent="0.25">
      <c r="A320" t="s">
        <v>4</v>
      </c>
      <c r="B320" t="s">
        <v>5</v>
      </c>
      <c r="C320" t="s">
        <v>523</v>
      </c>
      <c r="D320" t="s">
        <v>242</v>
      </c>
      <c r="E320" s="1">
        <v>1.1249999999999999E-3</v>
      </c>
      <c r="F320" s="3">
        <f t="shared" si="15"/>
        <v>1.1519999999999999</v>
      </c>
      <c r="G320" s="3">
        <f t="shared" si="16"/>
        <v>0.55091199999999996</v>
      </c>
      <c r="H320" t="str">
        <f t="shared" si="17"/>
        <v>POL</v>
      </c>
      <c r="I320" t="str">
        <f>+_xlfn.XLOOKUP(H320,Sheet1!C:C,Sheet1!B:B,"N/A",0)</f>
        <v>PL</v>
      </c>
      <c r="J320" t="str">
        <f>+_xlfn.XLOOKUP(H320,Sheet1!C:C,Sheet1!D:D,"N/A",0)</f>
        <v>616</v>
      </c>
    </row>
    <row r="321" spans="1:10" x14ac:dyDescent="0.25">
      <c r="A321" t="s">
        <v>4</v>
      </c>
      <c r="B321" t="s">
        <v>5</v>
      </c>
      <c r="C321" t="s">
        <v>109</v>
      </c>
      <c r="D321" t="s">
        <v>110</v>
      </c>
      <c r="E321" s="1">
        <v>7.6599999999999997E-4</v>
      </c>
      <c r="F321" s="3">
        <f t="shared" si="15"/>
        <v>0.78438399999999997</v>
      </c>
      <c r="G321" s="3">
        <f t="shared" si="16"/>
        <v>0.51302400000000004</v>
      </c>
      <c r="H321" t="str">
        <f t="shared" si="17"/>
        <v>PRT</v>
      </c>
      <c r="I321" t="str">
        <f>+_xlfn.XLOOKUP(H321,Sheet1!C:C,Sheet1!B:B,"N/A",0)</f>
        <v>PT</v>
      </c>
      <c r="J321" t="str">
        <f>+_xlfn.XLOOKUP(H321,Sheet1!C:C,Sheet1!D:D,"N/A",0)</f>
        <v>620</v>
      </c>
    </row>
    <row r="322" spans="1:10" x14ac:dyDescent="0.25">
      <c r="A322" t="s">
        <v>4</v>
      </c>
      <c r="B322" t="s">
        <v>5</v>
      </c>
      <c r="C322" t="s">
        <v>267</v>
      </c>
      <c r="D322" t="s">
        <v>110</v>
      </c>
      <c r="E322" s="1">
        <v>5.0799999999999999E-4</v>
      </c>
      <c r="F322" s="3">
        <f t="shared" si="15"/>
        <v>0.52019199999999999</v>
      </c>
      <c r="G322" s="3">
        <f t="shared" si="16"/>
        <v>0.51302400000000004</v>
      </c>
      <c r="H322" t="str">
        <f t="shared" si="17"/>
        <v>PRT</v>
      </c>
      <c r="I322" t="str">
        <f>+_xlfn.XLOOKUP(H322,Sheet1!C:C,Sheet1!B:B,"N/A",0)</f>
        <v>PT</v>
      </c>
      <c r="J322" t="str">
        <f>+_xlfn.XLOOKUP(H322,Sheet1!C:C,Sheet1!D:D,"N/A",0)</f>
        <v>620</v>
      </c>
    </row>
    <row r="323" spans="1:10" x14ac:dyDescent="0.25">
      <c r="A323" t="s">
        <v>4</v>
      </c>
      <c r="B323" t="s">
        <v>5</v>
      </c>
      <c r="C323" t="s">
        <v>578</v>
      </c>
      <c r="D323" t="s">
        <v>110</v>
      </c>
      <c r="E323" s="1">
        <v>5.0100000000000003E-4</v>
      </c>
      <c r="F323" s="3">
        <f t="shared" ref="F323:F386" si="18">E323*1024</f>
        <v>0.51302400000000004</v>
      </c>
      <c r="G323" s="3">
        <f t="shared" si="16"/>
        <v>0.51302400000000004</v>
      </c>
      <c r="H323" t="str">
        <f t="shared" si="17"/>
        <v>PRT</v>
      </c>
      <c r="I323" t="str">
        <f>+_xlfn.XLOOKUP(H323,Sheet1!C:C,Sheet1!B:B,"N/A",0)</f>
        <v>PT</v>
      </c>
      <c r="J323" t="str">
        <f>+_xlfn.XLOOKUP(H323,Sheet1!C:C,Sheet1!D:D,"N/A",0)</f>
        <v>620</v>
      </c>
    </row>
    <row r="324" spans="1:10" x14ac:dyDescent="0.25">
      <c r="A324" t="s">
        <v>4</v>
      </c>
      <c r="B324" t="s">
        <v>5</v>
      </c>
      <c r="C324" t="s">
        <v>6</v>
      </c>
      <c r="D324" t="s">
        <v>7</v>
      </c>
      <c r="E324" s="1">
        <v>3.0000000000000001E-3</v>
      </c>
      <c r="F324" s="3">
        <f t="shared" si="18"/>
        <v>3.0720000000000001</v>
      </c>
      <c r="G324" s="3">
        <f t="shared" si="16"/>
        <v>1.0260480000000001</v>
      </c>
      <c r="H324" t="str">
        <f t="shared" si="17"/>
        <v>PRI</v>
      </c>
      <c r="I324" t="str">
        <f>+_xlfn.XLOOKUP(H324,Sheet1!C:C,Sheet1!B:B,"N/A",0)</f>
        <v>PR</v>
      </c>
      <c r="J324" t="str">
        <f>+_xlfn.XLOOKUP(H324,Sheet1!C:C,Sheet1!D:D,"N/A",0)</f>
        <v>630</v>
      </c>
    </row>
    <row r="325" spans="1:10" x14ac:dyDescent="0.25">
      <c r="A325" t="s">
        <v>4</v>
      </c>
      <c r="B325" t="s">
        <v>5</v>
      </c>
      <c r="C325" t="s">
        <v>20</v>
      </c>
      <c r="D325" t="s">
        <v>7</v>
      </c>
      <c r="E325" s="1">
        <v>1.0020000000000001E-3</v>
      </c>
      <c r="F325" s="3">
        <f t="shared" si="18"/>
        <v>1.0260480000000001</v>
      </c>
      <c r="G325" s="3">
        <f t="shared" si="16"/>
        <v>1.0260480000000001</v>
      </c>
      <c r="H325" t="str">
        <f t="shared" si="17"/>
        <v>PRI</v>
      </c>
      <c r="I325" t="str">
        <f>+_xlfn.XLOOKUP(H325,Sheet1!C:C,Sheet1!B:B,"N/A",0)</f>
        <v>PR</v>
      </c>
      <c r="J325" t="str">
        <f>+_xlfn.XLOOKUP(H325,Sheet1!C:C,Sheet1!D:D,"N/A",0)</f>
        <v>630</v>
      </c>
    </row>
    <row r="326" spans="1:10" x14ac:dyDescent="0.25">
      <c r="A326" t="s">
        <v>4</v>
      </c>
      <c r="B326" t="s">
        <v>5</v>
      </c>
      <c r="C326" t="s">
        <v>395</v>
      </c>
      <c r="D326" t="s">
        <v>396</v>
      </c>
      <c r="E326" s="1">
        <v>1.5E-3</v>
      </c>
      <c r="F326" s="3">
        <f t="shared" si="18"/>
        <v>1.536</v>
      </c>
      <c r="G326" s="3">
        <f t="shared" si="16"/>
        <v>1.024</v>
      </c>
      <c r="H326" t="str">
        <f t="shared" si="17"/>
        <v>QAT</v>
      </c>
      <c r="I326" t="str">
        <f>+_xlfn.XLOOKUP(H326,Sheet1!C:C,Sheet1!B:B,"N/A",0)</f>
        <v>QA</v>
      </c>
      <c r="J326" t="str">
        <f>+_xlfn.XLOOKUP(H326,Sheet1!C:C,Sheet1!D:D,"N/A",0)</f>
        <v>634</v>
      </c>
    </row>
    <row r="327" spans="1:10" x14ac:dyDescent="0.25">
      <c r="A327" t="s">
        <v>4</v>
      </c>
      <c r="B327" t="s">
        <v>5</v>
      </c>
      <c r="C327" t="s">
        <v>481</v>
      </c>
      <c r="D327" t="s">
        <v>396</v>
      </c>
      <c r="E327" s="1">
        <v>1E-3</v>
      </c>
      <c r="F327" s="3">
        <f t="shared" si="18"/>
        <v>1.024</v>
      </c>
      <c r="G327" s="3">
        <f t="shared" si="16"/>
        <v>1.024</v>
      </c>
      <c r="H327" t="str">
        <f t="shared" si="17"/>
        <v>QAT</v>
      </c>
      <c r="I327" t="str">
        <f>+_xlfn.XLOOKUP(H327,Sheet1!C:C,Sheet1!B:B,"N/A",0)</f>
        <v>QA</v>
      </c>
      <c r="J327" t="str">
        <f>+_xlfn.XLOOKUP(H327,Sheet1!C:C,Sheet1!D:D,"N/A",0)</f>
        <v>634</v>
      </c>
    </row>
    <row r="328" spans="1:10" x14ac:dyDescent="0.25">
      <c r="A328" t="s">
        <v>4</v>
      </c>
      <c r="B328" t="s">
        <v>5</v>
      </c>
      <c r="C328" t="s">
        <v>295</v>
      </c>
      <c r="D328" t="s">
        <v>296</v>
      </c>
      <c r="E328" s="1">
        <v>7.18E-4</v>
      </c>
      <c r="F328" s="3">
        <f t="shared" si="18"/>
        <v>0.735232</v>
      </c>
      <c r="G328" s="3">
        <f t="shared" si="16"/>
        <v>0.735232</v>
      </c>
      <c r="H328" t="str">
        <f t="shared" si="17"/>
        <v>REU</v>
      </c>
      <c r="I328" t="str">
        <f>+_xlfn.XLOOKUP(H328,Sheet1!C:C,Sheet1!B:B,"N/A",0)</f>
        <v>RE</v>
      </c>
      <c r="J328" t="str">
        <f>+_xlfn.XLOOKUP(H328,Sheet1!C:C,Sheet1!D:D,"N/A",0)</f>
        <v>638</v>
      </c>
    </row>
    <row r="329" spans="1:10" x14ac:dyDescent="0.25">
      <c r="A329" t="s">
        <v>4</v>
      </c>
      <c r="B329" t="s">
        <v>5</v>
      </c>
      <c r="C329" t="s">
        <v>27</v>
      </c>
      <c r="D329" t="s">
        <v>28</v>
      </c>
      <c r="E329" s="1">
        <v>9.5E-4</v>
      </c>
      <c r="F329" s="3">
        <f t="shared" si="18"/>
        <v>0.9728</v>
      </c>
      <c r="G329" s="3">
        <f t="shared" si="16"/>
        <v>0.23347200000000001</v>
      </c>
      <c r="H329" t="s">
        <v>1219</v>
      </c>
      <c r="I329" t="s">
        <v>1218</v>
      </c>
      <c r="J329" s="8" t="s">
        <v>1220</v>
      </c>
    </row>
    <row r="330" spans="1:10" x14ac:dyDescent="0.25">
      <c r="A330" t="s">
        <v>4</v>
      </c>
      <c r="B330" t="s">
        <v>5</v>
      </c>
      <c r="C330" t="s">
        <v>186</v>
      </c>
      <c r="D330" t="s">
        <v>28</v>
      </c>
      <c r="E330" s="1">
        <v>2.2800000000000001E-4</v>
      </c>
      <c r="F330" s="3">
        <f t="shared" si="18"/>
        <v>0.23347200000000001</v>
      </c>
      <c r="G330" s="3">
        <f t="shared" si="16"/>
        <v>0.23347200000000001</v>
      </c>
      <c r="H330" t="s">
        <v>1219</v>
      </c>
      <c r="I330" t="s">
        <v>1218</v>
      </c>
      <c r="J330" s="8" t="s">
        <v>1220</v>
      </c>
    </row>
    <row r="331" spans="1:10" x14ac:dyDescent="0.25">
      <c r="A331" t="s">
        <v>4</v>
      </c>
      <c r="B331" t="s">
        <v>5</v>
      </c>
      <c r="C331" t="s">
        <v>517</v>
      </c>
      <c r="D331" t="s">
        <v>28</v>
      </c>
      <c r="E331" s="1">
        <v>7.6599999999999997E-4</v>
      </c>
      <c r="F331" s="3">
        <f t="shared" si="18"/>
        <v>0.78438399999999997</v>
      </c>
      <c r="G331" s="3">
        <f t="shared" si="16"/>
        <v>0.23347200000000001</v>
      </c>
      <c r="H331" t="s">
        <v>1219</v>
      </c>
      <c r="I331" t="s">
        <v>1218</v>
      </c>
      <c r="J331" s="8" t="s">
        <v>1220</v>
      </c>
    </row>
    <row r="332" spans="1:10" x14ac:dyDescent="0.25">
      <c r="A332" t="s">
        <v>4</v>
      </c>
      <c r="B332" t="s">
        <v>5</v>
      </c>
      <c r="C332" t="s">
        <v>587</v>
      </c>
      <c r="D332" t="s">
        <v>28</v>
      </c>
      <c r="E332" s="1">
        <v>7.18E-4</v>
      </c>
      <c r="F332" s="3">
        <f t="shared" si="18"/>
        <v>0.735232</v>
      </c>
      <c r="G332" s="3">
        <f t="shared" si="16"/>
        <v>0.23347200000000001</v>
      </c>
      <c r="H332" t="s">
        <v>1219</v>
      </c>
      <c r="I332" t="s">
        <v>1218</v>
      </c>
      <c r="J332" s="8" t="s">
        <v>1220</v>
      </c>
    </row>
    <row r="333" spans="1:10" x14ac:dyDescent="0.25">
      <c r="A333" t="s">
        <v>4</v>
      </c>
      <c r="B333" t="s">
        <v>5</v>
      </c>
      <c r="C333" t="s">
        <v>126</v>
      </c>
      <c r="D333" t="s">
        <v>127</v>
      </c>
      <c r="E333" s="1">
        <v>2.6217000000000001E-2</v>
      </c>
      <c r="F333" s="3">
        <f t="shared" si="18"/>
        <v>26.846208000000001</v>
      </c>
      <c r="G333" s="3">
        <f t="shared" si="16"/>
        <v>2.117632</v>
      </c>
      <c r="H333" t="str">
        <f t="shared" si="17"/>
        <v>RUS</v>
      </c>
      <c r="I333" t="str">
        <f>+_xlfn.XLOOKUP(H333,Sheet1!C:C,Sheet1!B:B,"N/A",0)</f>
        <v>RU</v>
      </c>
      <c r="J333" t="str">
        <f>+_xlfn.XLOOKUP(H333,Sheet1!C:C,Sheet1!D:D,"N/A",0)</f>
        <v>643</v>
      </c>
    </row>
    <row r="334" spans="1:10" x14ac:dyDescent="0.25">
      <c r="A334" t="s">
        <v>4</v>
      </c>
      <c r="B334" t="s">
        <v>5</v>
      </c>
      <c r="C334" t="s">
        <v>280</v>
      </c>
      <c r="D334" t="s">
        <v>127</v>
      </c>
      <c r="E334" s="1">
        <v>2.068E-3</v>
      </c>
      <c r="F334" s="3">
        <f t="shared" si="18"/>
        <v>2.117632</v>
      </c>
      <c r="G334" s="3">
        <f t="shared" si="16"/>
        <v>2.117632</v>
      </c>
      <c r="H334" t="str">
        <f t="shared" si="17"/>
        <v>RUS</v>
      </c>
      <c r="I334" t="str">
        <f>+_xlfn.XLOOKUP(H334,Sheet1!C:C,Sheet1!B:B,"N/A",0)</f>
        <v>RU</v>
      </c>
      <c r="J334" t="str">
        <f>+_xlfn.XLOOKUP(H334,Sheet1!C:C,Sheet1!D:D,"N/A",0)</f>
        <v>643</v>
      </c>
    </row>
    <row r="335" spans="1:10" x14ac:dyDescent="0.25">
      <c r="A335" t="s">
        <v>4</v>
      </c>
      <c r="B335" t="s">
        <v>5</v>
      </c>
      <c r="C335" t="s">
        <v>293</v>
      </c>
      <c r="D335" t="s">
        <v>127</v>
      </c>
      <c r="E335" s="1">
        <v>4.5539999999999999E-3</v>
      </c>
      <c r="F335" s="3">
        <f t="shared" si="18"/>
        <v>4.6632959999999999</v>
      </c>
      <c r="G335" s="3">
        <f t="shared" si="16"/>
        <v>2.117632</v>
      </c>
      <c r="H335" t="str">
        <f t="shared" si="17"/>
        <v>RUS</v>
      </c>
      <c r="I335" t="str">
        <f>+_xlfn.XLOOKUP(H335,Sheet1!C:C,Sheet1!B:B,"N/A",0)</f>
        <v>RU</v>
      </c>
      <c r="J335" t="str">
        <f>+_xlfn.XLOOKUP(H335,Sheet1!C:C,Sheet1!D:D,"N/A",0)</f>
        <v>643</v>
      </c>
    </row>
    <row r="336" spans="1:10" x14ac:dyDescent="0.25">
      <c r="A336" t="s">
        <v>4</v>
      </c>
      <c r="B336" t="s">
        <v>5</v>
      </c>
      <c r="C336" t="s">
        <v>524</v>
      </c>
      <c r="D336" t="s">
        <v>127</v>
      </c>
      <c r="E336" s="1">
        <v>6.0000000000000001E-3</v>
      </c>
      <c r="F336" s="3">
        <f t="shared" si="18"/>
        <v>6.1440000000000001</v>
      </c>
      <c r="G336" s="3">
        <f t="shared" si="16"/>
        <v>2.117632</v>
      </c>
      <c r="H336" t="str">
        <f t="shared" si="17"/>
        <v>RUS</v>
      </c>
      <c r="I336" t="str">
        <f>+_xlfn.XLOOKUP(H336,Sheet1!C:C,Sheet1!B:B,"N/A",0)</f>
        <v>RU</v>
      </c>
      <c r="J336" t="str">
        <f>+_xlfn.XLOOKUP(H336,Sheet1!C:C,Sheet1!D:D,"N/A",0)</f>
        <v>643</v>
      </c>
    </row>
    <row r="337" spans="1:10" x14ac:dyDescent="0.25">
      <c r="A337" t="s">
        <v>4</v>
      </c>
      <c r="B337" t="s">
        <v>5</v>
      </c>
      <c r="C337" t="s">
        <v>68</v>
      </c>
      <c r="D337" t="s">
        <v>69</v>
      </c>
      <c r="E337" s="1">
        <v>2.3E-3</v>
      </c>
      <c r="F337" s="3">
        <f t="shared" si="18"/>
        <v>2.3552</v>
      </c>
      <c r="G337" s="3">
        <f t="shared" si="16"/>
        <v>2.048</v>
      </c>
      <c r="H337" t="str">
        <f t="shared" si="17"/>
        <v>RWA</v>
      </c>
      <c r="I337" t="str">
        <f>+_xlfn.XLOOKUP(H337,Sheet1!C:C,Sheet1!B:B,"N/A",0)</f>
        <v>RW</v>
      </c>
      <c r="J337" t="str">
        <f>+_xlfn.XLOOKUP(H337,Sheet1!C:C,Sheet1!D:D,"N/A",0)</f>
        <v>646</v>
      </c>
    </row>
    <row r="338" spans="1:10" x14ac:dyDescent="0.25">
      <c r="A338" t="s">
        <v>4</v>
      </c>
      <c r="B338" t="s">
        <v>5</v>
      </c>
      <c r="C338" t="s">
        <v>294</v>
      </c>
      <c r="D338" t="s">
        <v>69</v>
      </c>
      <c r="E338" s="1">
        <v>2E-3</v>
      </c>
      <c r="F338" s="3">
        <f t="shared" si="18"/>
        <v>2.048</v>
      </c>
      <c r="G338" s="3">
        <f t="shared" si="16"/>
        <v>2.048</v>
      </c>
      <c r="H338" t="str">
        <f t="shared" si="17"/>
        <v>RWA</v>
      </c>
      <c r="I338" t="str">
        <f>+_xlfn.XLOOKUP(H338,Sheet1!C:C,Sheet1!B:B,"N/A",0)</f>
        <v>RW</v>
      </c>
      <c r="J338" t="str">
        <f>+_xlfn.XLOOKUP(H338,Sheet1!C:C,Sheet1!D:D,"N/A",0)</f>
        <v>646</v>
      </c>
    </row>
    <row r="339" spans="1:10" x14ac:dyDescent="0.25">
      <c r="A339" t="s">
        <v>4</v>
      </c>
      <c r="B339" t="s">
        <v>5</v>
      </c>
      <c r="C339" t="s">
        <v>572</v>
      </c>
      <c r="D339" t="s">
        <v>573</v>
      </c>
      <c r="E339" s="1">
        <v>3.0000000000000001E-3</v>
      </c>
      <c r="F339" s="3">
        <f t="shared" si="18"/>
        <v>3.0720000000000001</v>
      </c>
      <c r="G339" s="3">
        <f t="shared" ref="G339:G402" si="19">_xlfn.MINIFS(F:F,D:D,D339,F:F,"&lt;&gt;0")</f>
        <v>3.0720000000000001</v>
      </c>
      <c r="H339" t="str">
        <f t="shared" ref="H339:H402" si="20">_xlfn.TEXTBEFORE(_xlfn.TEXTAFTER(C339,"("),")")</f>
        <v>KNA</v>
      </c>
      <c r="I339" t="str">
        <f>+_xlfn.XLOOKUP(H339,Sheet1!C:C,Sheet1!B:B,"N/A",0)</f>
        <v>KN</v>
      </c>
      <c r="J339" t="str">
        <f>+_xlfn.XLOOKUP(H339,Sheet1!C:C,Sheet1!D:D,"N/A",0)</f>
        <v>659</v>
      </c>
    </row>
    <row r="340" spans="1:10" x14ac:dyDescent="0.25">
      <c r="A340" t="s">
        <v>4</v>
      </c>
      <c r="B340" t="s">
        <v>5</v>
      </c>
      <c r="C340" t="s">
        <v>224</v>
      </c>
      <c r="D340" t="s">
        <v>225</v>
      </c>
      <c r="E340" s="1">
        <v>3.0000000000000001E-3</v>
      </c>
      <c r="F340" s="3">
        <f t="shared" si="18"/>
        <v>3.0720000000000001</v>
      </c>
      <c r="G340" s="3">
        <f t="shared" si="19"/>
        <v>3.0720000000000001</v>
      </c>
      <c r="H340" t="str">
        <f t="shared" si="20"/>
        <v>LCA</v>
      </c>
      <c r="I340" t="str">
        <f>+_xlfn.XLOOKUP(H340,Sheet1!C:C,Sheet1!B:B,"N/A",0)</f>
        <v>LC</v>
      </c>
      <c r="J340" t="str">
        <f>+_xlfn.XLOOKUP(H340,Sheet1!C:C,Sheet1!D:D,"N/A",0)</f>
        <v>662</v>
      </c>
    </row>
    <row r="341" spans="1:10" x14ac:dyDescent="0.25">
      <c r="A341" t="s">
        <v>4</v>
      </c>
      <c r="B341" t="s">
        <v>5</v>
      </c>
      <c r="C341" t="s">
        <v>154</v>
      </c>
      <c r="D341" t="s">
        <v>155</v>
      </c>
      <c r="E341" s="1">
        <v>3.0000000000000001E-3</v>
      </c>
      <c r="F341" s="3">
        <f t="shared" si="18"/>
        <v>3.0720000000000001</v>
      </c>
      <c r="G341" s="3">
        <f t="shared" si="19"/>
        <v>3.0720000000000001</v>
      </c>
      <c r="H341" t="str">
        <f t="shared" si="20"/>
        <v>VCT</v>
      </c>
      <c r="I341" t="str">
        <f>+_xlfn.XLOOKUP(H341,Sheet1!C:C,Sheet1!B:B,"N/A",0)</f>
        <v>VC</v>
      </c>
      <c r="J341" t="str">
        <f>+_xlfn.XLOOKUP(H341,Sheet1!C:C,Sheet1!D:D,"N/A",0)</f>
        <v>670</v>
      </c>
    </row>
    <row r="342" spans="1:10" x14ac:dyDescent="0.25">
      <c r="A342" t="s">
        <v>4</v>
      </c>
      <c r="B342" t="s">
        <v>5</v>
      </c>
      <c r="C342" t="s">
        <v>128</v>
      </c>
      <c r="D342" t="s">
        <v>129</v>
      </c>
      <c r="E342" s="1">
        <v>4.0000000000000001E-3</v>
      </c>
      <c r="F342" s="3">
        <f t="shared" si="18"/>
        <v>4.0960000000000001</v>
      </c>
      <c r="G342" s="3">
        <f t="shared" si="19"/>
        <v>4.0960000000000001</v>
      </c>
      <c r="H342" t="str">
        <f t="shared" si="20"/>
        <v>WSM</v>
      </c>
      <c r="I342" t="str">
        <f>+_xlfn.XLOOKUP(H342,Sheet1!C:C,Sheet1!B:B,"N/A",0)</f>
        <v>WS</v>
      </c>
      <c r="J342" t="str">
        <f>+_xlfn.XLOOKUP(H342,Sheet1!C:C,Sheet1!D:D,"N/A",0)</f>
        <v>882</v>
      </c>
    </row>
    <row r="343" spans="1:10" x14ac:dyDescent="0.25">
      <c r="A343" t="s">
        <v>4</v>
      </c>
      <c r="B343" t="s">
        <v>5</v>
      </c>
      <c r="C343" t="s">
        <v>360</v>
      </c>
      <c r="D343" t="s">
        <v>361</v>
      </c>
      <c r="E343" s="1">
        <v>7.0000000000000001E-3</v>
      </c>
      <c r="F343" s="3">
        <f t="shared" si="18"/>
        <v>7.1680000000000001</v>
      </c>
      <c r="G343" s="3">
        <f t="shared" si="19"/>
        <v>7.1680000000000001</v>
      </c>
      <c r="H343" t="str">
        <f t="shared" si="20"/>
        <v>STP</v>
      </c>
      <c r="I343" t="str">
        <f>+_xlfn.XLOOKUP(H343,Sheet1!C:C,Sheet1!B:B,"N/A",0)</f>
        <v>ST</v>
      </c>
      <c r="J343" t="str">
        <f>+_xlfn.XLOOKUP(H343,Sheet1!C:C,Sheet1!D:D,"N/A",0)</f>
        <v>678</v>
      </c>
    </row>
    <row r="344" spans="1:10" x14ac:dyDescent="0.25">
      <c r="A344" t="s">
        <v>4</v>
      </c>
      <c r="B344" t="s">
        <v>5</v>
      </c>
      <c r="C344" t="s">
        <v>287</v>
      </c>
      <c r="D344" t="s">
        <v>288</v>
      </c>
      <c r="E344" s="1">
        <v>4.6109999999999996E-3</v>
      </c>
      <c r="F344" s="3">
        <f t="shared" si="18"/>
        <v>4.7216639999999996</v>
      </c>
      <c r="G344" s="3">
        <f t="shared" si="19"/>
        <v>2.048</v>
      </c>
      <c r="H344" t="str">
        <f t="shared" si="20"/>
        <v>SAU</v>
      </c>
      <c r="I344" t="str">
        <f>+_xlfn.XLOOKUP(H344,Sheet1!C:C,Sheet1!B:B,"N/A",0)</f>
        <v>SA</v>
      </c>
      <c r="J344" t="str">
        <f>+_xlfn.XLOOKUP(H344,Sheet1!C:C,Sheet1!D:D,"N/A",0)</f>
        <v>682</v>
      </c>
    </row>
    <row r="345" spans="1:10" x14ac:dyDescent="0.25">
      <c r="A345" t="s">
        <v>4</v>
      </c>
      <c r="B345" t="s">
        <v>5</v>
      </c>
      <c r="C345" t="s">
        <v>302</v>
      </c>
      <c r="D345" t="s">
        <v>288</v>
      </c>
      <c r="E345" s="1">
        <v>2E-3</v>
      </c>
      <c r="F345" s="3">
        <f t="shared" si="18"/>
        <v>2.048</v>
      </c>
      <c r="G345" s="3">
        <f t="shared" si="19"/>
        <v>2.048</v>
      </c>
      <c r="H345" t="str">
        <f t="shared" si="20"/>
        <v>SAU</v>
      </c>
      <c r="I345" t="str">
        <f>+_xlfn.XLOOKUP(H345,Sheet1!C:C,Sheet1!B:B,"N/A",0)</f>
        <v>SA</v>
      </c>
      <c r="J345" t="str">
        <f>+_xlfn.XLOOKUP(H345,Sheet1!C:C,Sheet1!D:D,"N/A",0)</f>
        <v>682</v>
      </c>
    </row>
    <row r="346" spans="1:10" x14ac:dyDescent="0.25">
      <c r="A346" t="s">
        <v>4</v>
      </c>
      <c r="B346" t="s">
        <v>5</v>
      </c>
      <c r="C346" t="s">
        <v>515</v>
      </c>
      <c r="D346" t="s">
        <v>288</v>
      </c>
      <c r="E346" s="1">
        <v>5.2050000000000004E-3</v>
      </c>
      <c r="F346" s="3">
        <f t="shared" si="18"/>
        <v>5.3299200000000004</v>
      </c>
      <c r="G346" s="3">
        <f t="shared" si="19"/>
        <v>2.048</v>
      </c>
      <c r="H346" t="str">
        <f t="shared" si="20"/>
        <v>SAU</v>
      </c>
      <c r="I346" t="str">
        <f>+_xlfn.XLOOKUP(H346,Sheet1!C:C,Sheet1!B:B,"N/A",0)</f>
        <v>SA</v>
      </c>
      <c r="J346" t="str">
        <f>+_xlfn.XLOOKUP(H346,Sheet1!C:C,Sheet1!D:D,"N/A",0)</f>
        <v>682</v>
      </c>
    </row>
    <row r="347" spans="1:10" x14ac:dyDescent="0.25">
      <c r="A347" t="s">
        <v>4</v>
      </c>
      <c r="B347" t="s">
        <v>5</v>
      </c>
      <c r="C347" t="s">
        <v>160</v>
      </c>
      <c r="D347" t="s">
        <v>161</v>
      </c>
      <c r="E347" s="1">
        <v>1.044E-3</v>
      </c>
      <c r="F347" s="3">
        <f t="shared" si="18"/>
        <v>1.069056</v>
      </c>
      <c r="G347" s="3">
        <f t="shared" si="19"/>
        <v>1.069056</v>
      </c>
      <c r="H347" t="str">
        <f t="shared" si="20"/>
        <v>SEN</v>
      </c>
      <c r="I347" t="str">
        <f>+_xlfn.XLOOKUP(H347,Sheet1!C:C,Sheet1!B:B,"N/A",0)</f>
        <v>SN</v>
      </c>
      <c r="J347" t="str">
        <f>+_xlfn.XLOOKUP(H347,Sheet1!C:C,Sheet1!D:D,"N/A",0)</f>
        <v>686</v>
      </c>
    </row>
    <row r="348" spans="1:10" x14ac:dyDescent="0.25">
      <c r="A348" t="s">
        <v>4</v>
      </c>
      <c r="B348" t="s">
        <v>5</v>
      </c>
      <c r="C348" t="s">
        <v>170</v>
      </c>
      <c r="D348" t="s">
        <v>161</v>
      </c>
      <c r="E348" s="1">
        <v>2.153E-3</v>
      </c>
      <c r="F348" s="3">
        <f t="shared" si="18"/>
        <v>2.204672</v>
      </c>
      <c r="G348" s="3">
        <f t="shared" si="19"/>
        <v>1.069056</v>
      </c>
      <c r="H348" t="str">
        <f t="shared" si="20"/>
        <v>SEN</v>
      </c>
      <c r="I348" t="str">
        <f>+_xlfn.XLOOKUP(H348,Sheet1!C:C,Sheet1!B:B,"N/A",0)</f>
        <v>SN</v>
      </c>
      <c r="J348" t="str">
        <f>+_xlfn.XLOOKUP(H348,Sheet1!C:C,Sheet1!D:D,"N/A",0)</f>
        <v>686</v>
      </c>
    </row>
    <row r="349" spans="1:10" x14ac:dyDescent="0.25">
      <c r="A349" t="s">
        <v>4</v>
      </c>
      <c r="B349" t="s">
        <v>5</v>
      </c>
      <c r="C349" t="s">
        <v>29</v>
      </c>
      <c r="D349" t="s">
        <v>30</v>
      </c>
      <c r="E349" s="1">
        <v>8.34E-4</v>
      </c>
      <c r="F349" s="3">
        <f t="shared" si="18"/>
        <v>0.854016</v>
      </c>
      <c r="G349" s="3">
        <f t="shared" si="19"/>
        <v>0.63692800000000005</v>
      </c>
      <c r="H349" t="str">
        <f t="shared" si="20"/>
        <v>SRB</v>
      </c>
      <c r="I349" t="str">
        <f>+_xlfn.XLOOKUP(H349,Sheet1!C:C,Sheet1!B:B,"N/A",0)</f>
        <v>RS</v>
      </c>
      <c r="J349" t="str">
        <f>+_xlfn.XLOOKUP(H349,Sheet1!C:C,Sheet1!D:D,"N/A",0)</f>
        <v>688</v>
      </c>
    </row>
    <row r="350" spans="1:10" x14ac:dyDescent="0.25">
      <c r="A350" t="s">
        <v>4</v>
      </c>
      <c r="B350" t="s">
        <v>5</v>
      </c>
      <c r="C350" t="s">
        <v>162</v>
      </c>
      <c r="D350" t="s">
        <v>30</v>
      </c>
      <c r="E350" s="1">
        <v>9.4700000000000003E-4</v>
      </c>
      <c r="F350" s="3">
        <f t="shared" si="18"/>
        <v>0.96972800000000003</v>
      </c>
      <c r="G350" s="3">
        <f t="shared" si="19"/>
        <v>0.63692800000000005</v>
      </c>
      <c r="H350" t="str">
        <f t="shared" si="20"/>
        <v>SRB</v>
      </c>
      <c r="I350" t="str">
        <f>+_xlfn.XLOOKUP(H350,Sheet1!C:C,Sheet1!B:B,"N/A",0)</f>
        <v>RS</v>
      </c>
      <c r="J350" t="str">
        <f>+_xlfn.XLOOKUP(H350,Sheet1!C:C,Sheet1!D:D,"N/A",0)</f>
        <v>688</v>
      </c>
    </row>
    <row r="351" spans="1:10" x14ac:dyDescent="0.25">
      <c r="A351" t="s">
        <v>4</v>
      </c>
      <c r="B351" t="s">
        <v>5</v>
      </c>
      <c r="C351" t="s">
        <v>303</v>
      </c>
      <c r="D351" t="s">
        <v>30</v>
      </c>
      <c r="E351" s="1">
        <v>6.2200000000000005E-4</v>
      </c>
      <c r="F351" s="3">
        <f t="shared" si="18"/>
        <v>0.63692800000000005</v>
      </c>
      <c r="G351" s="3">
        <f t="shared" si="19"/>
        <v>0.63692800000000005</v>
      </c>
      <c r="H351" t="str">
        <f t="shared" si="20"/>
        <v>SRB</v>
      </c>
      <c r="I351" t="str">
        <f>+_xlfn.XLOOKUP(H351,Sheet1!C:C,Sheet1!B:B,"N/A",0)</f>
        <v>RS</v>
      </c>
      <c r="J351" t="str">
        <f>+_xlfn.XLOOKUP(H351,Sheet1!C:C,Sheet1!D:D,"N/A",0)</f>
        <v>688</v>
      </c>
    </row>
    <row r="352" spans="1:10" x14ac:dyDescent="0.25">
      <c r="A352" t="s">
        <v>4</v>
      </c>
      <c r="B352" t="s">
        <v>5</v>
      </c>
      <c r="C352" t="s">
        <v>331</v>
      </c>
      <c r="D352" t="s">
        <v>332</v>
      </c>
      <c r="E352" s="1">
        <v>2E-3</v>
      </c>
      <c r="F352" s="3">
        <f t="shared" si="18"/>
        <v>2.048</v>
      </c>
      <c r="G352" s="3">
        <f t="shared" si="19"/>
        <v>2.048</v>
      </c>
      <c r="H352" t="str">
        <f t="shared" si="20"/>
        <v>SYC</v>
      </c>
      <c r="I352" t="str">
        <f>+_xlfn.XLOOKUP(H352,Sheet1!C:C,Sheet1!B:B,"N/A",0)</f>
        <v>SC</v>
      </c>
      <c r="J352" t="str">
        <f>+_xlfn.XLOOKUP(H352,Sheet1!C:C,Sheet1!D:D,"N/A",0)</f>
        <v>690</v>
      </c>
    </row>
    <row r="353" spans="1:10" x14ac:dyDescent="0.25">
      <c r="A353" t="s">
        <v>4</v>
      </c>
      <c r="B353" t="s">
        <v>5</v>
      </c>
      <c r="C353" t="s">
        <v>327</v>
      </c>
      <c r="D353" t="s">
        <v>328</v>
      </c>
      <c r="E353" s="1">
        <v>5.44E-4</v>
      </c>
      <c r="F353" s="3">
        <f t="shared" si="18"/>
        <v>0.557056</v>
      </c>
      <c r="G353" s="3">
        <f t="shared" si="19"/>
        <v>0.557056</v>
      </c>
      <c r="H353" t="str">
        <f t="shared" si="20"/>
        <v>SGP</v>
      </c>
      <c r="I353" t="str">
        <f>+_xlfn.XLOOKUP(H353,Sheet1!C:C,Sheet1!B:B,"N/A",0)</f>
        <v>SG</v>
      </c>
      <c r="J353" t="str">
        <f>+_xlfn.XLOOKUP(H353,Sheet1!C:C,Sheet1!D:D,"N/A",0)</f>
        <v>702</v>
      </c>
    </row>
    <row r="354" spans="1:10" x14ac:dyDescent="0.25">
      <c r="A354" t="s">
        <v>4</v>
      </c>
      <c r="B354" t="s">
        <v>5</v>
      </c>
      <c r="C354" t="s">
        <v>556</v>
      </c>
      <c r="D354" t="s">
        <v>328</v>
      </c>
      <c r="E354" s="1">
        <v>2E-3</v>
      </c>
      <c r="F354" s="3">
        <f t="shared" si="18"/>
        <v>2.048</v>
      </c>
      <c r="G354" s="3">
        <f t="shared" si="19"/>
        <v>0.557056</v>
      </c>
      <c r="H354" t="str">
        <f t="shared" si="20"/>
        <v>SGP</v>
      </c>
      <c r="I354" t="str">
        <f>+_xlfn.XLOOKUP(H354,Sheet1!C:C,Sheet1!B:B,"N/A",0)</f>
        <v>SG</v>
      </c>
      <c r="J354" t="str">
        <f>+_xlfn.XLOOKUP(H354,Sheet1!C:C,Sheet1!D:D,"N/A",0)</f>
        <v>702</v>
      </c>
    </row>
    <row r="355" spans="1:10" x14ac:dyDescent="0.25">
      <c r="A355" t="s">
        <v>4</v>
      </c>
      <c r="B355" t="s">
        <v>5</v>
      </c>
      <c r="C355" t="s">
        <v>563</v>
      </c>
      <c r="D355" t="s">
        <v>328</v>
      </c>
      <c r="E355" s="1">
        <v>5.5500000000000005E-4</v>
      </c>
      <c r="F355" s="3">
        <f t="shared" si="18"/>
        <v>0.56832000000000005</v>
      </c>
      <c r="G355" s="3">
        <f t="shared" si="19"/>
        <v>0.557056</v>
      </c>
      <c r="H355" t="str">
        <f t="shared" si="20"/>
        <v>SGP</v>
      </c>
      <c r="I355" t="str">
        <f>+_xlfn.XLOOKUP(H355,Sheet1!C:C,Sheet1!B:B,"N/A",0)</f>
        <v>SG</v>
      </c>
      <c r="J355" t="str">
        <f>+_xlfn.XLOOKUP(H355,Sheet1!C:C,Sheet1!D:D,"N/A",0)</f>
        <v>702</v>
      </c>
    </row>
    <row r="356" spans="1:10" x14ac:dyDescent="0.25">
      <c r="A356" t="s">
        <v>4</v>
      </c>
      <c r="B356" t="s">
        <v>5</v>
      </c>
      <c r="C356" t="s">
        <v>73</v>
      </c>
      <c r="D356" t="s">
        <v>74</v>
      </c>
      <c r="E356" s="1">
        <v>7.18E-4</v>
      </c>
      <c r="F356" s="3">
        <f t="shared" si="18"/>
        <v>0.735232</v>
      </c>
      <c r="G356" s="3">
        <f t="shared" si="19"/>
        <v>0.53043200000000001</v>
      </c>
      <c r="H356" t="str">
        <f t="shared" si="20"/>
        <v>SVK</v>
      </c>
      <c r="I356" t="str">
        <f>+_xlfn.XLOOKUP(H356,Sheet1!C:C,Sheet1!B:B,"N/A",0)</f>
        <v>SK</v>
      </c>
      <c r="J356" t="str">
        <f>+_xlfn.XLOOKUP(H356,Sheet1!C:C,Sheet1!D:D,"N/A",0)</f>
        <v>703</v>
      </c>
    </row>
    <row r="357" spans="1:10" x14ac:dyDescent="0.25">
      <c r="A357" t="s">
        <v>4</v>
      </c>
      <c r="B357" t="s">
        <v>5</v>
      </c>
      <c r="C357" t="s">
        <v>182</v>
      </c>
      <c r="D357" t="s">
        <v>74</v>
      </c>
      <c r="E357" s="1">
        <v>8.5999999999999998E-4</v>
      </c>
      <c r="F357" s="3">
        <f t="shared" si="18"/>
        <v>0.88063999999999998</v>
      </c>
      <c r="G357" s="3">
        <f t="shared" si="19"/>
        <v>0.53043200000000001</v>
      </c>
      <c r="H357" t="str">
        <f t="shared" si="20"/>
        <v>SVK</v>
      </c>
      <c r="I357" t="str">
        <f>+_xlfn.XLOOKUP(H357,Sheet1!C:C,Sheet1!B:B,"N/A",0)</f>
        <v>SK</v>
      </c>
      <c r="J357" t="str">
        <f>+_xlfn.XLOOKUP(H357,Sheet1!C:C,Sheet1!D:D,"N/A",0)</f>
        <v>703</v>
      </c>
    </row>
    <row r="358" spans="1:10" x14ac:dyDescent="0.25">
      <c r="A358" t="s">
        <v>4</v>
      </c>
      <c r="B358" t="s">
        <v>5</v>
      </c>
      <c r="C358" t="s">
        <v>428</v>
      </c>
      <c r="D358" t="s">
        <v>74</v>
      </c>
      <c r="E358" s="1">
        <v>5.1800000000000001E-4</v>
      </c>
      <c r="F358" s="3">
        <f t="shared" si="18"/>
        <v>0.53043200000000001</v>
      </c>
      <c r="G358" s="3">
        <f t="shared" si="19"/>
        <v>0.53043200000000001</v>
      </c>
      <c r="H358" t="str">
        <f t="shared" si="20"/>
        <v>SVK</v>
      </c>
      <c r="I358" t="str">
        <f>+_xlfn.XLOOKUP(H358,Sheet1!C:C,Sheet1!B:B,"N/A",0)</f>
        <v>SK</v>
      </c>
      <c r="J358" t="str">
        <f>+_xlfn.XLOOKUP(H358,Sheet1!C:C,Sheet1!D:D,"N/A",0)</f>
        <v>703</v>
      </c>
    </row>
    <row r="359" spans="1:10" x14ac:dyDescent="0.25">
      <c r="A359" t="s">
        <v>4</v>
      </c>
      <c r="B359" t="s">
        <v>5</v>
      </c>
      <c r="C359" t="s">
        <v>79</v>
      </c>
      <c r="D359" t="s">
        <v>80</v>
      </c>
      <c r="E359" s="1">
        <v>6.2200000000000005E-4</v>
      </c>
      <c r="F359" s="3">
        <f t="shared" si="18"/>
        <v>0.63692800000000005</v>
      </c>
      <c r="G359" s="3">
        <f t="shared" si="19"/>
        <v>0.59596800000000005</v>
      </c>
      <c r="H359" t="str">
        <f t="shared" si="20"/>
        <v>SVN</v>
      </c>
      <c r="I359" t="str">
        <f>+_xlfn.XLOOKUP(H359,Sheet1!C:C,Sheet1!B:B,"N/A",0)</f>
        <v>SI</v>
      </c>
      <c r="J359" t="str">
        <f>+_xlfn.XLOOKUP(H359,Sheet1!C:C,Sheet1!D:D,"N/A",0)</f>
        <v>705</v>
      </c>
    </row>
    <row r="360" spans="1:10" x14ac:dyDescent="0.25">
      <c r="A360" t="s">
        <v>4</v>
      </c>
      <c r="B360" t="s">
        <v>5</v>
      </c>
      <c r="C360" t="s">
        <v>133</v>
      </c>
      <c r="D360" t="s">
        <v>80</v>
      </c>
      <c r="E360" s="1">
        <v>5.8200000000000005E-4</v>
      </c>
      <c r="F360" s="3">
        <f t="shared" si="18"/>
        <v>0.59596800000000005</v>
      </c>
      <c r="G360" s="3">
        <f t="shared" si="19"/>
        <v>0.59596800000000005</v>
      </c>
      <c r="H360" t="str">
        <f t="shared" si="20"/>
        <v>SVN</v>
      </c>
      <c r="I360" t="str">
        <f>+_xlfn.XLOOKUP(H360,Sheet1!C:C,Sheet1!B:B,"N/A",0)</f>
        <v>SI</v>
      </c>
      <c r="J360" t="str">
        <f>+_xlfn.XLOOKUP(H360,Sheet1!C:C,Sheet1!D:D,"N/A",0)</f>
        <v>705</v>
      </c>
    </row>
    <row r="361" spans="1:10" x14ac:dyDescent="0.25">
      <c r="A361" t="s">
        <v>4</v>
      </c>
      <c r="B361" t="s">
        <v>5</v>
      </c>
      <c r="C361" t="s">
        <v>240</v>
      </c>
      <c r="D361" t="s">
        <v>80</v>
      </c>
      <c r="E361" s="1">
        <v>8.1099999999999998E-4</v>
      </c>
      <c r="F361" s="3">
        <f t="shared" si="18"/>
        <v>0.83046399999999998</v>
      </c>
      <c r="G361" s="3">
        <f t="shared" si="19"/>
        <v>0.59596800000000005</v>
      </c>
      <c r="H361" t="str">
        <f t="shared" si="20"/>
        <v>SVN</v>
      </c>
      <c r="I361" t="str">
        <f>+_xlfn.XLOOKUP(H361,Sheet1!C:C,Sheet1!B:B,"N/A",0)</f>
        <v>SI</v>
      </c>
      <c r="J361" t="str">
        <f>+_xlfn.XLOOKUP(H361,Sheet1!C:C,Sheet1!D:D,"N/A",0)</f>
        <v>705</v>
      </c>
    </row>
    <row r="362" spans="1:10" x14ac:dyDescent="0.25">
      <c r="A362" t="s">
        <v>4</v>
      </c>
      <c r="B362" t="s">
        <v>5</v>
      </c>
      <c r="C362" t="s">
        <v>62</v>
      </c>
      <c r="D362" t="s">
        <v>63</v>
      </c>
      <c r="E362" s="1">
        <v>1.75E-3</v>
      </c>
      <c r="F362" s="3">
        <f t="shared" si="18"/>
        <v>1.792</v>
      </c>
      <c r="G362" s="3">
        <f t="shared" si="19"/>
        <v>1.4336</v>
      </c>
      <c r="H362" t="str">
        <f t="shared" si="20"/>
        <v>ZAF</v>
      </c>
      <c r="I362" t="str">
        <f>+_xlfn.XLOOKUP(H362,Sheet1!C:C,Sheet1!B:B,"N/A",0)</f>
        <v>ZA</v>
      </c>
      <c r="J362" t="str">
        <f>+_xlfn.XLOOKUP(H362,Sheet1!C:C,Sheet1!D:D,"N/A",0)</f>
        <v>710</v>
      </c>
    </row>
    <row r="363" spans="1:10" x14ac:dyDescent="0.25">
      <c r="A363" t="s">
        <v>4</v>
      </c>
      <c r="B363" t="s">
        <v>5</v>
      </c>
      <c r="C363" t="s">
        <v>120</v>
      </c>
      <c r="D363" t="s">
        <v>63</v>
      </c>
      <c r="E363" s="1">
        <v>1.4E-3</v>
      </c>
      <c r="F363" s="3">
        <f t="shared" si="18"/>
        <v>1.4336</v>
      </c>
      <c r="G363" s="3">
        <f t="shared" si="19"/>
        <v>1.4336</v>
      </c>
      <c r="H363" t="str">
        <f t="shared" si="20"/>
        <v>ZAF</v>
      </c>
      <c r="I363" t="str">
        <f>+_xlfn.XLOOKUP(H363,Sheet1!C:C,Sheet1!B:B,"N/A",0)</f>
        <v>ZA</v>
      </c>
      <c r="J363" t="str">
        <f>+_xlfn.XLOOKUP(H363,Sheet1!C:C,Sheet1!D:D,"N/A",0)</f>
        <v>710</v>
      </c>
    </row>
    <row r="364" spans="1:10" x14ac:dyDescent="0.25">
      <c r="A364" t="s">
        <v>4</v>
      </c>
      <c r="B364" t="s">
        <v>5</v>
      </c>
      <c r="C364" t="s">
        <v>521</v>
      </c>
      <c r="D364" t="s">
        <v>63</v>
      </c>
      <c r="E364" s="1">
        <v>2E-3</v>
      </c>
      <c r="F364" s="3">
        <f t="shared" si="18"/>
        <v>2.048</v>
      </c>
      <c r="G364" s="3">
        <f t="shared" si="19"/>
        <v>1.4336</v>
      </c>
      <c r="H364" t="str">
        <f t="shared" si="20"/>
        <v>ZAF</v>
      </c>
      <c r="I364" t="str">
        <f>+_xlfn.XLOOKUP(H364,Sheet1!C:C,Sheet1!B:B,"N/A",0)</f>
        <v>ZA</v>
      </c>
      <c r="J364" t="str">
        <f>+_xlfn.XLOOKUP(H364,Sheet1!C:C,Sheet1!D:D,"N/A",0)</f>
        <v>710</v>
      </c>
    </row>
    <row r="365" spans="1:10" x14ac:dyDescent="0.25">
      <c r="A365" t="s">
        <v>4</v>
      </c>
      <c r="B365" t="s">
        <v>5</v>
      </c>
      <c r="C365" t="s">
        <v>204</v>
      </c>
      <c r="D365" t="s">
        <v>205</v>
      </c>
      <c r="E365" s="1">
        <v>1.067E-3</v>
      </c>
      <c r="F365" s="3">
        <f t="shared" si="18"/>
        <v>1.092608</v>
      </c>
      <c r="G365" s="3">
        <f t="shared" si="19"/>
        <v>0.76800000000000002</v>
      </c>
      <c r="H365" t="str">
        <f t="shared" si="20"/>
        <v>KOR</v>
      </c>
      <c r="I365" t="str">
        <f>+_xlfn.XLOOKUP(H365,Sheet1!C:C,Sheet1!B:B,"N/A",0)</f>
        <v>KR</v>
      </c>
      <c r="J365" t="str">
        <f>+_xlfn.XLOOKUP(H365,Sheet1!C:C,Sheet1!D:D,"N/A",0)</f>
        <v>410</v>
      </c>
    </row>
    <row r="366" spans="1:10" x14ac:dyDescent="0.25">
      <c r="A366" t="s">
        <v>4</v>
      </c>
      <c r="B366" t="s">
        <v>5</v>
      </c>
      <c r="C366" t="s">
        <v>258</v>
      </c>
      <c r="D366" t="s">
        <v>205</v>
      </c>
      <c r="E366" s="1">
        <v>7.5000000000000002E-4</v>
      </c>
      <c r="F366" s="3">
        <f t="shared" si="18"/>
        <v>0.76800000000000002</v>
      </c>
      <c r="G366" s="3">
        <f t="shared" si="19"/>
        <v>0.76800000000000002</v>
      </c>
      <c r="H366" t="str">
        <f t="shared" si="20"/>
        <v>KOR</v>
      </c>
      <c r="I366" t="str">
        <f>+_xlfn.XLOOKUP(H366,Sheet1!C:C,Sheet1!B:B,"N/A",0)</f>
        <v>KR</v>
      </c>
      <c r="J366" t="str">
        <f>+_xlfn.XLOOKUP(H366,Sheet1!C:C,Sheet1!D:D,"N/A",0)</f>
        <v>410</v>
      </c>
    </row>
    <row r="367" spans="1:10" x14ac:dyDescent="0.25">
      <c r="A367" t="s">
        <v>4</v>
      </c>
      <c r="B367" t="s">
        <v>5</v>
      </c>
      <c r="C367" t="s">
        <v>338</v>
      </c>
      <c r="D367" t="s">
        <v>205</v>
      </c>
      <c r="E367" s="1">
        <v>1.067E-3</v>
      </c>
      <c r="F367" s="3">
        <f t="shared" si="18"/>
        <v>1.092608</v>
      </c>
      <c r="G367" s="3">
        <f t="shared" si="19"/>
        <v>0.76800000000000002</v>
      </c>
      <c r="H367" t="str">
        <f t="shared" si="20"/>
        <v>KOR</v>
      </c>
      <c r="I367" t="str">
        <f>+_xlfn.XLOOKUP(H367,Sheet1!C:C,Sheet1!B:B,"N/A",0)</f>
        <v>KR</v>
      </c>
      <c r="J367" t="str">
        <f>+_xlfn.XLOOKUP(H367,Sheet1!C:C,Sheet1!D:D,"N/A",0)</f>
        <v>410</v>
      </c>
    </row>
    <row r="368" spans="1:10" x14ac:dyDescent="0.25">
      <c r="A368" t="s">
        <v>4</v>
      </c>
      <c r="B368" t="s">
        <v>5</v>
      </c>
      <c r="C368" t="s">
        <v>416</v>
      </c>
      <c r="D368" t="s">
        <v>205</v>
      </c>
      <c r="F368" s="3">
        <f t="shared" si="18"/>
        <v>0</v>
      </c>
      <c r="G368" s="3">
        <f t="shared" si="19"/>
        <v>0.76800000000000002</v>
      </c>
      <c r="H368" t="str">
        <f t="shared" si="20"/>
        <v>KOR</v>
      </c>
      <c r="I368" t="str">
        <f>+_xlfn.XLOOKUP(H368,Sheet1!C:C,Sheet1!B:B,"N/A",0)</f>
        <v>KR</v>
      </c>
      <c r="J368" t="str">
        <f>+_xlfn.XLOOKUP(H368,Sheet1!C:C,Sheet1!D:D,"N/A",0)</f>
        <v>410</v>
      </c>
    </row>
    <row r="369" spans="1:10" x14ac:dyDescent="0.25">
      <c r="A369" t="s">
        <v>4</v>
      </c>
      <c r="B369" t="s">
        <v>5</v>
      </c>
      <c r="C369" t="s">
        <v>362</v>
      </c>
      <c r="D369" t="s">
        <v>363</v>
      </c>
      <c r="E369" s="1">
        <v>7.6599999999999997E-4</v>
      </c>
      <c r="F369" s="3">
        <f t="shared" si="18"/>
        <v>0.78438399999999997</v>
      </c>
      <c r="G369" s="3">
        <f t="shared" si="19"/>
        <v>0.71679999999999999</v>
      </c>
      <c r="H369" t="str">
        <f t="shared" si="20"/>
        <v>ESP</v>
      </c>
      <c r="I369" t="str">
        <f>+_xlfn.XLOOKUP(H369,Sheet1!C:C,Sheet1!B:B,"N/A",0)</f>
        <v>ES</v>
      </c>
      <c r="J369" t="str">
        <f>+_xlfn.XLOOKUP(H369,Sheet1!C:C,Sheet1!D:D,"N/A",0)</f>
        <v>724</v>
      </c>
    </row>
    <row r="370" spans="1:10" x14ac:dyDescent="0.25">
      <c r="A370" t="s">
        <v>4</v>
      </c>
      <c r="B370" t="s">
        <v>5</v>
      </c>
      <c r="C370" t="s">
        <v>409</v>
      </c>
      <c r="D370" t="s">
        <v>363</v>
      </c>
      <c r="E370" s="1">
        <v>7.18E-4</v>
      </c>
      <c r="F370" s="3">
        <f t="shared" si="18"/>
        <v>0.735232</v>
      </c>
      <c r="G370" s="3">
        <f t="shared" si="19"/>
        <v>0.71679999999999999</v>
      </c>
      <c r="H370" t="str">
        <f t="shared" si="20"/>
        <v>ESP</v>
      </c>
      <c r="I370" t="str">
        <f>+_xlfn.XLOOKUP(H370,Sheet1!C:C,Sheet1!B:B,"N/A",0)</f>
        <v>ES</v>
      </c>
      <c r="J370" t="str">
        <f>+_xlfn.XLOOKUP(H370,Sheet1!C:C,Sheet1!D:D,"N/A",0)</f>
        <v>724</v>
      </c>
    </row>
    <row r="371" spans="1:10" x14ac:dyDescent="0.25">
      <c r="A371" t="s">
        <v>4</v>
      </c>
      <c r="B371" t="s">
        <v>5</v>
      </c>
      <c r="C371" t="s">
        <v>531</v>
      </c>
      <c r="D371" t="s">
        <v>363</v>
      </c>
      <c r="E371" s="1">
        <v>6.9999999999999999E-4</v>
      </c>
      <c r="F371" s="3">
        <f t="shared" si="18"/>
        <v>0.71679999999999999</v>
      </c>
      <c r="G371" s="3">
        <f t="shared" si="19"/>
        <v>0.71679999999999999</v>
      </c>
      <c r="H371" t="str">
        <f t="shared" si="20"/>
        <v>ESP</v>
      </c>
      <c r="I371" t="str">
        <f>+_xlfn.XLOOKUP(H371,Sheet1!C:C,Sheet1!B:B,"N/A",0)</f>
        <v>ES</v>
      </c>
      <c r="J371" t="str">
        <f>+_xlfn.XLOOKUP(H371,Sheet1!C:C,Sheet1!D:D,"N/A",0)</f>
        <v>724</v>
      </c>
    </row>
    <row r="372" spans="1:10" x14ac:dyDescent="0.25">
      <c r="A372" t="s">
        <v>4</v>
      </c>
      <c r="B372" t="s">
        <v>5</v>
      </c>
      <c r="C372" t="s">
        <v>289</v>
      </c>
      <c r="D372" t="s">
        <v>290</v>
      </c>
      <c r="E372" s="1">
        <v>1.616E-3</v>
      </c>
      <c r="F372" s="3">
        <f t="shared" si="18"/>
        <v>1.654784</v>
      </c>
      <c r="G372" s="3">
        <f t="shared" si="19"/>
        <v>1.024</v>
      </c>
      <c r="H372" t="str">
        <f t="shared" si="20"/>
        <v>LKA</v>
      </c>
      <c r="I372" t="str">
        <f>+_xlfn.XLOOKUP(H372,Sheet1!C:C,Sheet1!B:B,"N/A",0)</f>
        <v>LK</v>
      </c>
      <c r="J372" t="str">
        <f>+_xlfn.XLOOKUP(H372,Sheet1!C:C,Sheet1!D:D,"N/A",0)</f>
        <v>144</v>
      </c>
    </row>
    <row r="373" spans="1:10" x14ac:dyDescent="0.25">
      <c r="A373" t="s">
        <v>4</v>
      </c>
      <c r="B373" t="s">
        <v>5</v>
      </c>
      <c r="C373" t="s">
        <v>315</v>
      </c>
      <c r="D373" t="s">
        <v>290</v>
      </c>
      <c r="E373" s="1">
        <v>1E-3</v>
      </c>
      <c r="F373" s="3">
        <f t="shared" si="18"/>
        <v>1.024</v>
      </c>
      <c r="G373" s="3">
        <f t="shared" si="19"/>
        <v>1.024</v>
      </c>
      <c r="H373" t="str">
        <f t="shared" si="20"/>
        <v>LKA</v>
      </c>
      <c r="I373" t="str">
        <f>+_xlfn.XLOOKUP(H373,Sheet1!C:C,Sheet1!B:B,"N/A",0)</f>
        <v>LK</v>
      </c>
      <c r="J373" t="str">
        <f>+_xlfn.XLOOKUP(H373,Sheet1!C:C,Sheet1!D:D,"N/A",0)</f>
        <v>144</v>
      </c>
    </row>
    <row r="374" spans="1:10" x14ac:dyDescent="0.25">
      <c r="A374" t="s">
        <v>4</v>
      </c>
      <c r="B374" t="s">
        <v>5</v>
      </c>
      <c r="C374" t="s">
        <v>359</v>
      </c>
      <c r="D374" t="s">
        <v>290</v>
      </c>
      <c r="E374" s="1">
        <v>1.2999999999999999E-3</v>
      </c>
      <c r="F374" s="3">
        <f t="shared" si="18"/>
        <v>1.3311999999999999</v>
      </c>
      <c r="G374" s="3">
        <f t="shared" si="19"/>
        <v>1.024</v>
      </c>
      <c r="H374" t="str">
        <f t="shared" si="20"/>
        <v>LKA</v>
      </c>
      <c r="I374" t="str">
        <f>+_xlfn.XLOOKUP(H374,Sheet1!C:C,Sheet1!B:B,"N/A",0)</f>
        <v>LK</v>
      </c>
      <c r="J374" t="str">
        <f>+_xlfn.XLOOKUP(H374,Sheet1!C:C,Sheet1!D:D,"N/A",0)</f>
        <v>144</v>
      </c>
    </row>
    <row r="375" spans="1:10" x14ac:dyDescent="0.25">
      <c r="A375" t="s">
        <v>4</v>
      </c>
      <c r="B375" t="s">
        <v>5</v>
      </c>
      <c r="C375" t="s">
        <v>278</v>
      </c>
      <c r="D375" t="s">
        <v>279</v>
      </c>
      <c r="E375" s="1">
        <v>3.3500000000000001E-4</v>
      </c>
      <c r="F375" s="3">
        <f t="shared" si="18"/>
        <v>0.34304000000000001</v>
      </c>
      <c r="G375" s="3">
        <f t="shared" si="19"/>
        <v>0.26112000000000002</v>
      </c>
      <c r="H375" t="str">
        <f t="shared" si="20"/>
        <v>SWE</v>
      </c>
      <c r="I375" t="str">
        <f>+_xlfn.XLOOKUP(H375,Sheet1!C:C,Sheet1!B:B,"N/A",0)</f>
        <v>SE</v>
      </c>
      <c r="J375" t="str">
        <f>+_xlfn.XLOOKUP(H375,Sheet1!C:C,Sheet1!D:D,"N/A",0)</f>
        <v>752</v>
      </c>
    </row>
    <row r="376" spans="1:10" x14ac:dyDescent="0.25">
      <c r="A376" t="s">
        <v>4</v>
      </c>
      <c r="B376" t="s">
        <v>5</v>
      </c>
      <c r="C376" t="s">
        <v>318</v>
      </c>
      <c r="D376" t="s">
        <v>279</v>
      </c>
      <c r="E376" s="1">
        <v>5.2400000000000005E-4</v>
      </c>
      <c r="F376" s="3">
        <f t="shared" si="18"/>
        <v>0.53657600000000005</v>
      </c>
      <c r="G376" s="3">
        <f t="shared" si="19"/>
        <v>0.26112000000000002</v>
      </c>
      <c r="H376" t="str">
        <f t="shared" si="20"/>
        <v>SWE</v>
      </c>
      <c r="I376" t="str">
        <f>+_xlfn.XLOOKUP(H376,Sheet1!C:C,Sheet1!B:B,"N/A",0)</f>
        <v>SE</v>
      </c>
      <c r="J376" t="str">
        <f>+_xlfn.XLOOKUP(H376,Sheet1!C:C,Sheet1!D:D,"N/A",0)</f>
        <v>752</v>
      </c>
    </row>
    <row r="377" spans="1:10" x14ac:dyDescent="0.25">
      <c r="A377" t="s">
        <v>4</v>
      </c>
      <c r="B377" t="s">
        <v>5</v>
      </c>
      <c r="C377" t="s">
        <v>426</v>
      </c>
      <c r="D377" t="s">
        <v>279</v>
      </c>
      <c r="E377" s="1">
        <v>2.5500000000000002E-4</v>
      </c>
      <c r="F377" s="3">
        <f t="shared" si="18"/>
        <v>0.26112000000000002</v>
      </c>
      <c r="G377" s="3">
        <f t="shared" si="19"/>
        <v>0.26112000000000002</v>
      </c>
      <c r="H377" t="str">
        <f t="shared" si="20"/>
        <v>SWE</v>
      </c>
      <c r="I377" t="str">
        <f>+_xlfn.XLOOKUP(H377,Sheet1!C:C,Sheet1!B:B,"N/A",0)</f>
        <v>SE</v>
      </c>
      <c r="J377" t="str">
        <f>+_xlfn.XLOOKUP(H377,Sheet1!C:C,Sheet1!D:D,"N/A",0)</f>
        <v>752</v>
      </c>
    </row>
    <row r="378" spans="1:10" x14ac:dyDescent="0.25">
      <c r="A378" t="s">
        <v>4</v>
      </c>
      <c r="B378" t="s">
        <v>5</v>
      </c>
      <c r="C378" t="s">
        <v>583</v>
      </c>
      <c r="D378" t="s">
        <v>279</v>
      </c>
      <c r="E378" s="1">
        <v>8.1400000000000005E-4</v>
      </c>
      <c r="F378" s="3">
        <f t="shared" si="18"/>
        <v>0.83353600000000005</v>
      </c>
      <c r="G378" s="3">
        <f t="shared" si="19"/>
        <v>0.26112000000000002</v>
      </c>
      <c r="H378" t="str">
        <f t="shared" si="20"/>
        <v>SWE</v>
      </c>
      <c r="I378" t="str">
        <f>+_xlfn.XLOOKUP(H378,Sheet1!C:C,Sheet1!B:B,"N/A",0)</f>
        <v>SE</v>
      </c>
      <c r="J378" t="str">
        <f>+_xlfn.XLOOKUP(H378,Sheet1!C:C,Sheet1!D:D,"N/A",0)</f>
        <v>752</v>
      </c>
    </row>
    <row r="379" spans="1:10" x14ac:dyDescent="0.25">
      <c r="A379" t="s">
        <v>4</v>
      </c>
      <c r="B379" t="s">
        <v>5</v>
      </c>
      <c r="C379" t="s">
        <v>232</v>
      </c>
      <c r="D379" t="s">
        <v>233</v>
      </c>
      <c r="E379" s="1">
        <v>5.1800000000000001E-4</v>
      </c>
      <c r="F379" s="3">
        <f t="shared" si="18"/>
        <v>0.53043200000000001</v>
      </c>
      <c r="G379" s="3">
        <f t="shared" si="19"/>
        <v>0.53043200000000001</v>
      </c>
      <c r="H379" t="str">
        <f t="shared" si="20"/>
        <v>CHE</v>
      </c>
      <c r="I379" t="str">
        <f>+_xlfn.XLOOKUP(H379,Sheet1!C:C,Sheet1!B:B,"N/A",0)</f>
        <v>CH</v>
      </c>
      <c r="J379" t="str">
        <f>+_xlfn.XLOOKUP(H379,Sheet1!C:C,Sheet1!D:D,"N/A",0)</f>
        <v>756</v>
      </c>
    </row>
    <row r="380" spans="1:10" x14ac:dyDescent="0.25">
      <c r="A380" t="s">
        <v>4</v>
      </c>
      <c r="B380" t="s">
        <v>5</v>
      </c>
      <c r="C380" t="s">
        <v>389</v>
      </c>
      <c r="D380" t="s">
        <v>233</v>
      </c>
      <c r="E380" s="1">
        <v>9.8799999999999995E-4</v>
      </c>
      <c r="F380" s="3">
        <f t="shared" si="18"/>
        <v>1.0117119999999999</v>
      </c>
      <c r="G380" s="3">
        <f t="shared" si="19"/>
        <v>0.53043200000000001</v>
      </c>
      <c r="H380" t="str">
        <f t="shared" si="20"/>
        <v>CHE</v>
      </c>
      <c r="I380" t="str">
        <f>+_xlfn.XLOOKUP(H380,Sheet1!C:C,Sheet1!B:B,"N/A",0)</f>
        <v>CH</v>
      </c>
      <c r="J380" t="str">
        <f>+_xlfn.XLOOKUP(H380,Sheet1!C:C,Sheet1!D:D,"N/A",0)</f>
        <v>756</v>
      </c>
    </row>
    <row r="381" spans="1:10" x14ac:dyDescent="0.25">
      <c r="A381" t="s">
        <v>4</v>
      </c>
      <c r="B381" t="s">
        <v>5</v>
      </c>
      <c r="C381" t="s">
        <v>390</v>
      </c>
      <c r="D381" t="s">
        <v>233</v>
      </c>
      <c r="E381" s="1">
        <v>5.5400000000000002E-4</v>
      </c>
      <c r="F381" s="3">
        <f t="shared" si="18"/>
        <v>0.56729600000000002</v>
      </c>
      <c r="G381" s="3">
        <f t="shared" si="19"/>
        <v>0.53043200000000001</v>
      </c>
      <c r="H381" t="str">
        <f t="shared" si="20"/>
        <v>CHE</v>
      </c>
      <c r="I381" t="str">
        <f>+_xlfn.XLOOKUP(H381,Sheet1!C:C,Sheet1!B:B,"N/A",0)</f>
        <v>CH</v>
      </c>
      <c r="J381" t="str">
        <f>+_xlfn.XLOOKUP(H381,Sheet1!C:C,Sheet1!D:D,"N/A",0)</f>
        <v>756</v>
      </c>
    </row>
    <row r="382" spans="1:10" x14ac:dyDescent="0.25">
      <c r="A382" t="s">
        <v>4</v>
      </c>
      <c r="B382" t="s">
        <v>5</v>
      </c>
      <c r="C382" t="s">
        <v>412</v>
      </c>
      <c r="D382" t="s">
        <v>413</v>
      </c>
      <c r="E382" s="1">
        <v>7.2300000000000001E-4</v>
      </c>
      <c r="F382" s="3">
        <f t="shared" si="18"/>
        <v>0.74035200000000001</v>
      </c>
      <c r="G382" s="3">
        <f t="shared" si="19"/>
        <v>0.74035200000000001</v>
      </c>
      <c r="H382" t="str">
        <f t="shared" si="20"/>
        <v>TWN</v>
      </c>
      <c r="I382" t="str">
        <f>+_xlfn.XLOOKUP(H382,Sheet1!C:C,Sheet1!B:B,"N/A",0)</f>
        <v>TW</v>
      </c>
      <c r="J382" t="str">
        <f>+_xlfn.XLOOKUP(H382,Sheet1!C:C,Sheet1!D:D,"N/A",0)</f>
        <v>158</v>
      </c>
    </row>
    <row r="383" spans="1:10" x14ac:dyDescent="0.25">
      <c r="A383" t="s">
        <v>4</v>
      </c>
      <c r="B383" t="s">
        <v>5</v>
      </c>
      <c r="C383" t="s">
        <v>445</v>
      </c>
      <c r="D383" t="s">
        <v>413</v>
      </c>
      <c r="E383" s="1">
        <v>1.8420000000000001E-3</v>
      </c>
      <c r="F383" s="3">
        <f t="shared" si="18"/>
        <v>1.8862080000000001</v>
      </c>
      <c r="G383" s="3">
        <f t="shared" si="19"/>
        <v>0.74035200000000001</v>
      </c>
      <c r="H383" t="str">
        <f t="shared" si="20"/>
        <v>TWN</v>
      </c>
      <c r="I383" t="str">
        <f>+_xlfn.XLOOKUP(H383,Sheet1!C:C,Sheet1!B:B,"N/A",0)</f>
        <v>TW</v>
      </c>
      <c r="J383" t="str">
        <f>+_xlfn.XLOOKUP(H383,Sheet1!C:C,Sheet1!D:D,"N/A",0)</f>
        <v>158</v>
      </c>
    </row>
    <row r="384" spans="1:10" x14ac:dyDescent="0.25">
      <c r="A384" t="s">
        <v>4</v>
      </c>
      <c r="B384" t="s">
        <v>5</v>
      </c>
      <c r="C384" t="s">
        <v>519</v>
      </c>
      <c r="D384" t="s">
        <v>520</v>
      </c>
      <c r="E384" s="1">
        <v>4.4999999999999997E-3</v>
      </c>
      <c r="F384" s="3">
        <f t="shared" si="18"/>
        <v>4.6079999999999997</v>
      </c>
      <c r="G384" s="3">
        <f t="shared" si="19"/>
        <v>4.6079999999999997</v>
      </c>
      <c r="H384" t="str">
        <f t="shared" si="20"/>
        <v>TJK</v>
      </c>
      <c r="I384" t="str">
        <f>+_xlfn.XLOOKUP(H384,Sheet1!C:C,Sheet1!B:B,"N/A",0)</f>
        <v>TJ</v>
      </c>
      <c r="J384" t="str">
        <f>+_xlfn.XLOOKUP(H384,Sheet1!C:C,Sheet1!D:D,"N/A",0)</f>
        <v>762</v>
      </c>
    </row>
    <row r="385" spans="1:10" x14ac:dyDescent="0.25">
      <c r="A385" t="s">
        <v>4</v>
      </c>
      <c r="B385" t="s">
        <v>5</v>
      </c>
      <c r="C385" t="s">
        <v>199</v>
      </c>
      <c r="D385" t="s">
        <v>200</v>
      </c>
      <c r="E385" s="1">
        <v>6.0000000000000001E-3</v>
      </c>
      <c r="F385" s="3">
        <f t="shared" si="18"/>
        <v>6.1440000000000001</v>
      </c>
      <c r="G385" s="3">
        <f t="shared" si="19"/>
        <v>2.3552</v>
      </c>
      <c r="H385" t="str">
        <f t="shared" si="20"/>
        <v>TZA</v>
      </c>
      <c r="I385" t="str">
        <f>+_xlfn.XLOOKUP(H385,Sheet1!C:C,Sheet1!B:B,"N/A",0)</f>
        <v>TZ</v>
      </c>
      <c r="J385" t="str">
        <f>+_xlfn.XLOOKUP(H385,Sheet1!C:C,Sheet1!D:D,"N/A",0)</f>
        <v>834</v>
      </c>
    </row>
    <row r="386" spans="1:10" x14ac:dyDescent="0.25">
      <c r="A386" t="s">
        <v>4</v>
      </c>
      <c r="B386" t="s">
        <v>5</v>
      </c>
      <c r="C386" t="s">
        <v>478</v>
      </c>
      <c r="D386" t="s">
        <v>200</v>
      </c>
      <c r="E386" s="1">
        <v>2.3E-3</v>
      </c>
      <c r="F386" s="3">
        <f t="shared" si="18"/>
        <v>2.3552</v>
      </c>
      <c r="G386" s="3">
        <f t="shared" si="19"/>
        <v>2.3552</v>
      </c>
      <c r="H386" t="str">
        <f t="shared" si="20"/>
        <v>TZA</v>
      </c>
      <c r="I386" t="str">
        <f>+_xlfn.XLOOKUP(H386,Sheet1!C:C,Sheet1!B:B,"N/A",0)</f>
        <v>TZ</v>
      </c>
      <c r="J386" t="str">
        <f>+_xlfn.XLOOKUP(H386,Sheet1!C:C,Sheet1!D:D,"N/A",0)</f>
        <v>834</v>
      </c>
    </row>
    <row r="387" spans="1:10" x14ac:dyDescent="0.25">
      <c r="A387" t="s">
        <v>4</v>
      </c>
      <c r="B387" t="s">
        <v>5</v>
      </c>
      <c r="C387" t="s">
        <v>166</v>
      </c>
      <c r="D387" t="s">
        <v>167</v>
      </c>
      <c r="E387" s="1">
        <v>2.7999999999999998E-4</v>
      </c>
      <c r="F387" s="3">
        <f t="shared" ref="F387:F419" si="21">E387*1024</f>
        <v>0.28671999999999997</v>
      </c>
      <c r="G387" s="3">
        <f t="shared" si="19"/>
        <v>0.28671999999999997</v>
      </c>
      <c r="H387" t="str">
        <f t="shared" si="20"/>
        <v>THA</v>
      </c>
      <c r="I387" t="str">
        <f>+_xlfn.XLOOKUP(H387,Sheet1!C:C,Sheet1!B:B,"N/A",0)</f>
        <v>TH</v>
      </c>
      <c r="J387" t="str">
        <f>+_xlfn.XLOOKUP(H387,Sheet1!C:C,Sheet1!D:D,"N/A",0)</f>
        <v>764</v>
      </c>
    </row>
    <row r="388" spans="1:10" x14ac:dyDescent="0.25">
      <c r="A388" t="s">
        <v>4</v>
      </c>
      <c r="B388" t="s">
        <v>5</v>
      </c>
      <c r="C388" t="s">
        <v>226</v>
      </c>
      <c r="D388" t="s">
        <v>167</v>
      </c>
      <c r="E388" s="1">
        <v>5.4900000000000001E-4</v>
      </c>
      <c r="F388" s="3">
        <f t="shared" si="21"/>
        <v>0.56217600000000001</v>
      </c>
      <c r="G388" s="3">
        <f t="shared" si="19"/>
        <v>0.28671999999999997</v>
      </c>
      <c r="H388" t="str">
        <f t="shared" si="20"/>
        <v>THA</v>
      </c>
      <c r="I388" t="str">
        <f>+_xlfn.XLOOKUP(H388,Sheet1!C:C,Sheet1!B:B,"N/A",0)</f>
        <v>TH</v>
      </c>
      <c r="J388" t="str">
        <f>+_xlfn.XLOOKUP(H388,Sheet1!C:C,Sheet1!D:D,"N/A",0)</f>
        <v>764</v>
      </c>
    </row>
    <row r="389" spans="1:10" x14ac:dyDescent="0.25">
      <c r="A389" t="s">
        <v>4</v>
      </c>
      <c r="B389" t="s">
        <v>5</v>
      </c>
      <c r="C389" t="s">
        <v>229</v>
      </c>
      <c r="D389" t="s">
        <v>167</v>
      </c>
      <c r="E389" s="1">
        <v>5.5500000000000005E-4</v>
      </c>
      <c r="F389" s="3">
        <f t="shared" si="21"/>
        <v>0.56832000000000005</v>
      </c>
      <c r="G389" s="3">
        <f t="shared" si="19"/>
        <v>0.28671999999999997</v>
      </c>
      <c r="H389" t="str">
        <f t="shared" si="20"/>
        <v>THA</v>
      </c>
      <c r="I389" t="str">
        <f>+_xlfn.XLOOKUP(H389,Sheet1!C:C,Sheet1!B:B,"N/A",0)</f>
        <v>TH</v>
      </c>
      <c r="J389" t="str">
        <f>+_xlfn.XLOOKUP(H389,Sheet1!C:C,Sheet1!D:D,"N/A",0)</f>
        <v>764</v>
      </c>
    </row>
    <row r="390" spans="1:10" x14ac:dyDescent="0.25">
      <c r="A390" t="s">
        <v>4</v>
      </c>
      <c r="B390" t="s">
        <v>5</v>
      </c>
      <c r="C390" t="s">
        <v>102</v>
      </c>
      <c r="D390" t="s">
        <v>103</v>
      </c>
      <c r="E390" s="1">
        <v>3.0769999999999999E-3</v>
      </c>
      <c r="F390" s="3">
        <f t="shared" si="21"/>
        <v>3.1508479999999999</v>
      </c>
      <c r="G390" s="3">
        <f t="shared" si="19"/>
        <v>1.536</v>
      </c>
      <c r="H390" t="str">
        <f t="shared" si="20"/>
        <v>TUN</v>
      </c>
      <c r="I390" t="str">
        <f>+_xlfn.XLOOKUP(H390,Sheet1!C:C,Sheet1!B:B,"N/A",0)</f>
        <v>TN</v>
      </c>
      <c r="J390" t="str">
        <f>+_xlfn.XLOOKUP(H390,Sheet1!C:C,Sheet1!D:D,"N/A",0)</f>
        <v>788</v>
      </c>
    </row>
    <row r="391" spans="1:10" x14ac:dyDescent="0.25">
      <c r="A391" t="s">
        <v>4</v>
      </c>
      <c r="B391" t="s">
        <v>5</v>
      </c>
      <c r="C391" t="s">
        <v>108</v>
      </c>
      <c r="D391" t="s">
        <v>103</v>
      </c>
      <c r="E391" s="1">
        <v>3.6259999999999999E-3</v>
      </c>
      <c r="F391" s="3">
        <f t="shared" si="21"/>
        <v>3.7130239999999999</v>
      </c>
      <c r="G391" s="3">
        <f t="shared" si="19"/>
        <v>1.536</v>
      </c>
      <c r="H391" t="str">
        <f t="shared" si="20"/>
        <v>TUN</v>
      </c>
      <c r="I391" t="str">
        <f>+_xlfn.XLOOKUP(H391,Sheet1!C:C,Sheet1!B:B,"N/A",0)</f>
        <v>TN</v>
      </c>
      <c r="J391" t="str">
        <f>+_xlfn.XLOOKUP(H391,Sheet1!C:C,Sheet1!D:D,"N/A",0)</f>
        <v>788</v>
      </c>
    </row>
    <row r="392" spans="1:10" x14ac:dyDescent="0.25">
      <c r="A392" t="s">
        <v>4</v>
      </c>
      <c r="B392" t="s">
        <v>5</v>
      </c>
      <c r="C392" t="s">
        <v>171</v>
      </c>
      <c r="D392" t="s">
        <v>103</v>
      </c>
      <c r="E392" s="1">
        <v>1.5E-3</v>
      </c>
      <c r="F392" s="3">
        <f t="shared" si="21"/>
        <v>1.536</v>
      </c>
      <c r="G392" s="3">
        <f t="shared" si="19"/>
        <v>1.536</v>
      </c>
      <c r="H392" t="str">
        <f t="shared" si="20"/>
        <v>TUN</v>
      </c>
      <c r="I392" t="str">
        <f>+_xlfn.XLOOKUP(H392,Sheet1!C:C,Sheet1!B:B,"N/A",0)</f>
        <v>TN</v>
      </c>
      <c r="J392" t="str">
        <f>+_xlfn.XLOOKUP(H392,Sheet1!C:C,Sheet1!D:D,"N/A",0)</f>
        <v>788</v>
      </c>
    </row>
    <row r="393" spans="1:10" x14ac:dyDescent="0.25">
      <c r="A393" t="s">
        <v>4</v>
      </c>
      <c r="B393" t="s">
        <v>5</v>
      </c>
      <c r="C393" t="s">
        <v>40</v>
      </c>
      <c r="D393" t="s">
        <v>41</v>
      </c>
      <c r="E393" s="1">
        <v>3.7599999999999998E-4</v>
      </c>
      <c r="F393" s="3">
        <f t="shared" si="21"/>
        <v>0.38502399999999998</v>
      </c>
      <c r="G393" s="3">
        <f t="shared" si="19"/>
        <v>0.38502399999999998</v>
      </c>
      <c r="H393" t="str">
        <f t="shared" si="20"/>
        <v>TUR</v>
      </c>
      <c r="I393" t="str">
        <f>+_xlfn.XLOOKUP(H393,Sheet1!C:C,Sheet1!B:B,"N/A",0)</f>
        <v>TR</v>
      </c>
      <c r="J393" t="str">
        <f>+_xlfn.XLOOKUP(H393,Sheet1!C:C,Sheet1!D:D,"N/A",0)</f>
        <v>792</v>
      </c>
    </row>
    <row r="394" spans="1:10" x14ac:dyDescent="0.25">
      <c r="A394" t="s">
        <v>4</v>
      </c>
      <c r="B394" t="s">
        <v>5</v>
      </c>
      <c r="C394" t="s">
        <v>97</v>
      </c>
      <c r="D394" t="s">
        <v>41</v>
      </c>
      <c r="E394" s="1">
        <v>8.0099999999999995E-4</v>
      </c>
      <c r="F394" s="3">
        <f t="shared" si="21"/>
        <v>0.82022399999999995</v>
      </c>
      <c r="G394" s="3">
        <f t="shared" si="19"/>
        <v>0.38502399999999998</v>
      </c>
      <c r="H394" t="str">
        <f t="shared" si="20"/>
        <v>TUR</v>
      </c>
      <c r="I394" t="str">
        <f>+_xlfn.XLOOKUP(H394,Sheet1!C:C,Sheet1!B:B,"N/A",0)</f>
        <v>TR</v>
      </c>
      <c r="J394" t="str">
        <f>+_xlfn.XLOOKUP(H394,Sheet1!C:C,Sheet1!D:D,"N/A",0)</f>
        <v>792</v>
      </c>
    </row>
    <row r="395" spans="1:10" x14ac:dyDescent="0.25">
      <c r="A395" t="s">
        <v>4</v>
      </c>
      <c r="B395" t="s">
        <v>5</v>
      </c>
      <c r="C395" t="s">
        <v>440</v>
      </c>
      <c r="D395" t="s">
        <v>41</v>
      </c>
      <c r="E395" s="1">
        <v>5.8299999999999997E-4</v>
      </c>
      <c r="F395" s="3">
        <f t="shared" si="21"/>
        <v>0.59699199999999997</v>
      </c>
      <c r="G395" s="3">
        <f t="shared" si="19"/>
        <v>0.38502399999999998</v>
      </c>
      <c r="H395" t="str">
        <f t="shared" si="20"/>
        <v>TUR</v>
      </c>
      <c r="I395" t="str">
        <f>+_xlfn.XLOOKUP(H395,Sheet1!C:C,Sheet1!B:B,"N/A",0)</f>
        <v>TR</v>
      </c>
      <c r="J395" t="str">
        <f>+_xlfn.XLOOKUP(H395,Sheet1!C:C,Sheet1!D:D,"N/A",0)</f>
        <v>792</v>
      </c>
    </row>
    <row r="396" spans="1:10" x14ac:dyDescent="0.25">
      <c r="A396" t="s">
        <v>4</v>
      </c>
      <c r="B396" t="s">
        <v>5</v>
      </c>
      <c r="C396" t="s">
        <v>305</v>
      </c>
      <c r="D396" t="s">
        <v>306</v>
      </c>
      <c r="E396" s="1">
        <v>3.0000000000000001E-3</v>
      </c>
      <c r="F396" s="3">
        <f t="shared" si="21"/>
        <v>3.0720000000000001</v>
      </c>
      <c r="G396" s="3">
        <f t="shared" si="19"/>
        <v>3.0720000000000001</v>
      </c>
      <c r="H396" t="str">
        <f t="shared" si="20"/>
        <v>TCA</v>
      </c>
      <c r="I396" t="str">
        <f>+_xlfn.XLOOKUP(H396,Sheet1!C:C,Sheet1!B:B,"N/A",0)</f>
        <v>TC</v>
      </c>
      <c r="J396" t="str">
        <f>+_xlfn.XLOOKUP(H396,Sheet1!C:C,Sheet1!D:D,"N/A",0)</f>
        <v>796</v>
      </c>
    </row>
    <row r="397" spans="1:10" x14ac:dyDescent="0.25">
      <c r="A397" t="s">
        <v>4</v>
      </c>
      <c r="B397" t="s">
        <v>5</v>
      </c>
      <c r="C397" t="s">
        <v>54</v>
      </c>
      <c r="D397" t="s">
        <v>55</v>
      </c>
      <c r="E397" s="1">
        <v>2.0100000000000001E-3</v>
      </c>
      <c r="F397" s="3">
        <f t="shared" si="21"/>
        <v>2.0582400000000001</v>
      </c>
      <c r="G397" s="3">
        <f t="shared" si="19"/>
        <v>2.0582400000000001</v>
      </c>
      <c r="H397" t="str">
        <f t="shared" si="20"/>
        <v>ARE</v>
      </c>
      <c r="I397" t="str">
        <f>+_xlfn.XLOOKUP(H397,Sheet1!C:C,Sheet1!B:B,"N/A",0)</f>
        <v>AE</v>
      </c>
      <c r="J397" t="str">
        <f>+_xlfn.XLOOKUP(H397,Sheet1!C:C,Sheet1!D:D,"N/A",0)</f>
        <v>784</v>
      </c>
    </row>
    <row r="398" spans="1:10" x14ac:dyDescent="0.25">
      <c r="A398" t="s">
        <v>4</v>
      </c>
      <c r="B398" t="s">
        <v>5</v>
      </c>
      <c r="C398" t="s">
        <v>367</v>
      </c>
      <c r="D398" t="s">
        <v>55</v>
      </c>
      <c r="E398" s="1">
        <v>7.2439999999999996E-3</v>
      </c>
      <c r="F398" s="3">
        <f t="shared" si="21"/>
        <v>7.4178559999999996</v>
      </c>
      <c r="G398" s="3">
        <f t="shared" si="19"/>
        <v>2.0582400000000001</v>
      </c>
      <c r="H398" t="str">
        <f t="shared" si="20"/>
        <v>ARE</v>
      </c>
      <c r="I398" t="str">
        <f>+_xlfn.XLOOKUP(H398,Sheet1!C:C,Sheet1!B:B,"N/A",0)</f>
        <v>AE</v>
      </c>
      <c r="J398" t="str">
        <f>+_xlfn.XLOOKUP(H398,Sheet1!C:C,Sheet1!D:D,"N/A",0)</f>
        <v>784</v>
      </c>
    </row>
    <row r="399" spans="1:10" x14ac:dyDescent="0.25">
      <c r="A399" t="s">
        <v>4</v>
      </c>
      <c r="B399" t="s">
        <v>5</v>
      </c>
      <c r="C399" t="s">
        <v>324</v>
      </c>
      <c r="D399" t="s">
        <v>325</v>
      </c>
      <c r="E399" s="1">
        <v>2E-3</v>
      </c>
      <c r="F399" s="3">
        <f t="shared" si="21"/>
        <v>2.048</v>
      </c>
      <c r="G399" s="3">
        <f t="shared" si="19"/>
        <v>2.048</v>
      </c>
      <c r="H399" t="str">
        <f t="shared" si="20"/>
        <v>UGA</v>
      </c>
      <c r="I399" t="str">
        <f>+_xlfn.XLOOKUP(H399,Sheet1!C:C,Sheet1!B:B,"N/A",0)</f>
        <v>UG</v>
      </c>
      <c r="J399" t="str">
        <f>+_xlfn.XLOOKUP(H399,Sheet1!C:C,Sheet1!D:D,"N/A",0)</f>
        <v>800</v>
      </c>
    </row>
    <row r="400" spans="1:10" x14ac:dyDescent="0.25">
      <c r="A400" t="s">
        <v>4</v>
      </c>
      <c r="B400" t="s">
        <v>5</v>
      </c>
      <c r="C400" t="s">
        <v>202</v>
      </c>
      <c r="D400" t="s">
        <v>203</v>
      </c>
      <c r="E400" s="1">
        <v>6.9999999999999999E-4</v>
      </c>
      <c r="F400" s="3">
        <f t="shared" si="21"/>
        <v>0.71679999999999999</v>
      </c>
      <c r="G400" s="3">
        <f t="shared" si="19"/>
        <v>0.41881600000000002</v>
      </c>
      <c r="H400" t="str">
        <f t="shared" si="20"/>
        <v>GBR</v>
      </c>
      <c r="I400" t="str">
        <f>+_xlfn.XLOOKUP(H400,Sheet1!C:C,Sheet1!B:B,"N/A",0)</f>
        <v>GB</v>
      </c>
      <c r="J400" t="str">
        <f>+_xlfn.XLOOKUP(H400,Sheet1!C:C,Sheet1!D:D,"N/A",0)</f>
        <v>826</v>
      </c>
    </row>
    <row r="401" spans="1:10" x14ac:dyDescent="0.25">
      <c r="A401" t="s">
        <v>4</v>
      </c>
      <c r="B401" t="s">
        <v>5</v>
      </c>
      <c r="C401" t="s">
        <v>326</v>
      </c>
      <c r="D401" t="s">
        <v>203</v>
      </c>
      <c r="E401" s="1">
        <v>7.2000000000000005E-4</v>
      </c>
      <c r="F401" s="3">
        <f t="shared" si="21"/>
        <v>0.73728000000000005</v>
      </c>
      <c r="G401" s="3">
        <f t="shared" si="19"/>
        <v>0.41881600000000002</v>
      </c>
      <c r="H401" t="str">
        <f t="shared" si="20"/>
        <v>GBR</v>
      </c>
      <c r="I401" t="str">
        <f>+_xlfn.XLOOKUP(H401,Sheet1!C:C,Sheet1!B:B,"N/A",0)</f>
        <v>GB</v>
      </c>
      <c r="J401" t="str">
        <f>+_xlfn.XLOOKUP(H401,Sheet1!C:C,Sheet1!D:D,"N/A",0)</f>
        <v>826</v>
      </c>
    </row>
    <row r="402" spans="1:10" x14ac:dyDescent="0.25">
      <c r="A402" t="s">
        <v>4</v>
      </c>
      <c r="B402" t="s">
        <v>5</v>
      </c>
      <c r="C402" t="s">
        <v>423</v>
      </c>
      <c r="D402" t="s">
        <v>203</v>
      </c>
      <c r="E402" s="1">
        <v>8.1400000000000005E-4</v>
      </c>
      <c r="F402" s="3">
        <f t="shared" si="21"/>
        <v>0.83353600000000005</v>
      </c>
      <c r="G402" s="3">
        <f t="shared" si="19"/>
        <v>0.41881600000000002</v>
      </c>
      <c r="H402" t="str">
        <f t="shared" si="20"/>
        <v>GBR</v>
      </c>
      <c r="I402" t="str">
        <f>+_xlfn.XLOOKUP(H402,Sheet1!C:C,Sheet1!B:B,"N/A",0)</f>
        <v>GB</v>
      </c>
      <c r="J402" t="str">
        <f>+_xlfn.XLOOKUP(H402,Sheet1!C:C,Sheet1!D:D,"N/A",0)</f>
        <v>826</v>
      </c>
    </row>
    <row r="403" spans="1:10" x14ac:dyDescent="0.25">
      <c r="A403" t="s">
        <v>4</v>
      </c>
      <c r="B403" t="s">
        <v>5</v>
      </c>
      <c r="C403" t="s">
        <v>567</v>
      </c>
      <c r="D403" t="s">
        <v>203</v>
      </c>
      <c r="E403" s="1">
        <v>4.0900000000000002E-4</v>
      </c>
      <c r="F403" s="3">
        <f t="shared" si="21"/>
        <v>0.41881600000000002</v>
      </c>
      <c r="G403" s="3">
        <f t="shared" ref="G403:G419" si="22">_xlfn.MINIFS(F:F,D:D,D403,F:F,"&lt;&gt;0")</f>
        <v>0.41881600000000002</v>
      </c>
      <c r="H403" t="str">
        <f t="shared" ref="H403:H419" si="23">_xlfn.TEXTBEFORE(_xlfn.TEXTAFTER(C403,"("),")")</f>
        <v>GBR</v>
      </c>
      <c r="I403" t="str">
        <f>+_xlfn.XLOOKUP(H403,Sheet1!C:C,Sheet1!B:B,"N/A",0)</f>
        <v>GB</v>
      </c>
      <c r="J403" t="str">
        <f>+_xlfn.XLOOKUP(H403,Sheet1!C:C,Sheet1!D:D,"N/A",0)</f>
        <v>826</v>
      </c>
    </row>
    <row r="404" spans="1:10" x14ac:dyDescent="0.25">
      <c r="A404" t="s">
        <v>4</v>
      </c>
      <c r="B404" t="s">
        <v>5</v>
      </c>
      <c r="C404" t="s">
        <v>44</v>
      </c>
      <c r="D404" t="s">
        <v>45</v>
      </c>
      <c r="E404" s="1">
        <v>9.7999999999999997E-5</v>
      </c>
      <c r="F404" s="3">
        <f t="shared" si="21"/>
        <v>0.100352</v>
      </c>
      <c r="G404" s="3">
        <f t="shared" si="22"/>
        <v>0.100352</v>
      </c>
      <c r="H404" t="str">
        <f t="shared" si="23"/>
        <v>UKR</v>
      </c>
      <c r="I404" t="str">
        <f>+_xlfn.XLOOKUP(H404,Sheet1!C:C,Sheet1!B:B,"N/A",0)</f>
        <v>UA</v>
      </c>
      <c r="J404" t="str">
        <f>+_xlfn.XLOOKUP(H404,Sheet1!C:C,Sheet1!D:D,"N/A",0)</f>
        <v>804</v>
      </c>
    </row>
    <row r="405" spans="1:10" x14ac:dyDescent="0.25">
      <c r="A405" t="s">
        <v>4</v>
      </c>
      <c r="B405" t="s">
        <v>5</v>
      </c>
      <c r="C405" t="s">
        <v>319</v>
      </c>
      <c r="D405" t="s">
        <v>45</v>
      </c>
      <c r="E405" s="1">
        <v>2.5500000000000002E-4</v>
      </c>
      <c r="F405" s="3">
        <f t="shared" si="21"/>
        <v>0.26112000000000002</v>
      </c>
      <c r="G405" s="3">
        <f t="shared" si="22"/>
        <v>0.100352</v>
      </c>
      <c r="H405" t="str">
        <f t="shared" si="23"/>
        <v>UKR</v>
      </c>
      <c r="I405" t="str">
        <f>+_xlfn.XLOOKUP(H405,Sheet1!C:C,Sheet1!B:B,"N/A",0)</f>
        <v>UA</v>
      </c>
      <c r="J405" t="str">
        <f>+_xlfn.XLOOKUP(H405,Sheet1!C:C,Sheet1!D:D,"N/A",0)</f>
        <v>804</v>
      </c>
    </row>
    <row r="406" spans="1:10" x14ac:dyDescent="0.25">
      <c r="A406" t="s">
        <v>4</v>
      </c>
      <c r="B406" t="s">
        <v>5</v>
      </c>
      <c r="C406" t="s">
        <v>495</v>
      </c>
      <c r="D406" t="s">
        <v>45</v>
      </c>
      <c r="E406" s="1">
        <v>2.5000000000000001E-4</v>
      </c>
      <c r="F406" s="3">
        <f t="shared" si="21"/>
        <v>0.25600000000000001</v>
      </c>
      <c r="G406" s="3">
        <f t="shared" si="22"/>
        <v>0.100352</v>
      </c>
      <c r="H406" t="str">
        <f t="shared" si="23"/>
        <v>UKR</v>
      </c>
      <c r="I406" t="str">
        <f>+_xlfn.XLOOKUP(H406,Sheet1!C:C,Sheet1!B:B,"N/A",0)</f>
        <v>UA</v>
      </c>
      <c r="J406" t="str">
        <f>+_xlfn.XLOOKUP(H406,Sheet1!C:C,Sheet1!D:D,"N/A",0)</f>
        <v>804</v>
      </c>
    </row>
    <row r="407" spans="1:10" x14ac:dyDescent="0.25">
      <c r="A407" t="s">
        <v>4</v>
      </c>
      <c r="B407" t="s">
        <v>5</v>
      </c>
      <c r="C407" t="s">
        <v>92</v>
      </c>
      <c r="D407" t="s">
        <v>93</v>
      </c>
      <c r="E407" s="1">
        <v>2.0019999999999999E-3</v>
      </c>
      <c r="F407" s="3">
        <f t="shared" si="21"/>
        <v>2.0500479999999999</v>
      </c>
      <c r="G407" s="3">
        <f t="shared" si="22"/>
        <v>1.6537599999999999</v>
      </c>
      <c r="H407" t="str">
        <f t="shared" si="23"/>
        <v>URY</v>
      </c>
      <c r="I407" t="str">
        <f>+_xlfn.XLOOKUP(H407,Sheet1!C:C,Sheet1!B:B,"N/A",0)</f>
        <v>UY</v>
      </c>
      <c r="J407" t="str">
        <f>+_xlfn.XLOOKUP(H407,Sheet1!C:C,Sheet1!D:D,"N/A",0)</f>
        <v>858</v>
      </c>
    </row>
    <row r="408" spans="1:10" x14ac:dyDescent="0.25">
      <c r="A408" t="s">
        <v>4</v>
      </c>
      <c r="B408" t="s">
        <v>5</v>
      </c>
      <c r="C408" t="s">
        <v>514</v>
      </c>
      <c r="D408" t="s">
        <v>93</v>
      </c>
      <c r="E408" s="1">
        <v>1.6149999999999999E-3</v>
      </c>
      <c r="F408" s="3">
        <f t="shared" si="21"/>
        <v>1.6537599999999999</v>
      </c>
      <c r="G408" s="3">
        <f t="shared" si="22"/>
        <v>1.6537599999999999</v>
      </c>
      <c r="H408" t="str">
        <f t="shared" si="23"/>
        <v>URY</v>
      </c>
      <c r="I408" t="str">
        <f>+_xlfn.XLOOKUP(H408,Sheet1!C:C,Sheet1!B:B,"N/A",0)</f>
        <v>UY</v>
      </c>
      <c r="J408" t="str">
        <f>+_xlfn.XLOOKUP(H408,Sheet1!C:C,Sheet1!D:D,"N/A",0)</f>
        <v>858</v>
      </c>
    </row>
    <row r="409" spans="1:10" x14ac:dyDescent="0.25">
      <c r="A409" t="s">
        <v>4</v>
      </c>
      <c r="B409" t="s">
        <v>5</v>
      </c>
      <c r="C409" t="s">
        <v>56</v>
      </c>
      <c r="D409" t="s">
        <v>57</v>
      </c>
      <c r="E409" s="1">
        <v>1.25E-3</v>
      </c>
      <c r="F409" s="3">
        <f t="shared" si="21"/>
        <v>1.28</v>
      </c>
      <c r="G409" s="3">
        <f t="shared" si="22"/>
        <v>0.33279999999999998</v>
      </c>
      <c r="H409" t="str">
        <f t="shared" si="23"/>
        <v>USA</v>
      </c>
      <c r="I409" t="str">
        <f>+_xlfn.XLOOKUP(H409,Sheet1!C:C,Sheet1!B:B,"N/A",0)</f>
        <v>US</v>
      </c>
      <c r="J409" t="str">
        <f>+_xlfn.XLOOKUP(H409,Sheet1!C:C,Sheet1!D:D,"N/A",0)</f>
        <v>840</v>
      </c>
    </row>
    <row r="410" spans="1:10" x14ac:dyDescent="0.25">
      <c r="A410" t="s">
        <v>4</v>
      </c>
      <c r="B410" t="s">
        <v>5</v>
      </c>
      <c r="C410" t="s">
        <v>94</v>
      </c>
      <c r="D410" t="s">
        <v>57</v>
      </c>
      <c r="E410" s="1">
        <v>3.0000000000000001E-3</v>
      </c>
      <c r="F410" s="3">
        <f t="shared" si="21"/>
        <v>3.0720000000000001</v>
      </c>
      <c r="G410" s="3">
        <f t="shared" si="22"/>
        <v>0.33279999999999998</v>
      </c>
      <c r="H410" t="str">
        <f t="shared" si="23"/>
        <v>USA</v>
      </c>
      <c r="I410" t="str">
        <f>+_xlfn.XLOOKUP(H410,Sheet1!C:C,Sheet1!B:B,"N/A",0)</f>
        <v>US</v>
      </c>
      <c r="J410" t="str">
        <f>+_xlfn.XLOOKUP(H410,Sheet1!C:C,Sheet1!D:D,"N/A",0)</f>
        <v>840</v>
      </c>
    </row>
    <row r="411" spans="1:10" x14ac:dyDescent="0.25">
      <c r="A411" t="s">
        <v>4</v>
      </c>
      <c r="B411" t="s">
        <v>5</v>
      </c>
      <c r="C411" t="s">
        <v>252</v>
      </c>
      <c r="D411" t="s">
        <v>57</v>
      </c>
      <c r="E411" s="1">
        <v>3.2499999999999999E-4</v>
      </c>
      <c r="F411" s="3">
        <f t="shared" si="21"/>
        <v>0.33279999999999998</v>
      </c>
      <c r="G411" s="3">
        <f t="shared" si="22"/>
        <v>0.33279999999999998</v>
      </c>
      <c r="H411" t="str">
        <f t="shared" si="23"/>
        <v>USA</v>
      </c>
      <c r="I411" t="str">
        <f>+_xlfn.XLOOKUP(H411,Sheet1!C:C,Sheet1!B:B,"N/A",0)</f>
        <v>US</v>
      </c>
      <c r="J411" t="str">
        <f>+_xlfn.XLOOKUP(H411,Sheet1!C:C,Sheet1!D:D,"N/A",0)</f>
        <v>840</v>
      </c>
    </row>
    <row r="412" spans="1:10" x14ac:dyDescent="0.25">
      <c r="A412" t="s">
        <v>4</v>
      </c>
      <c r="B412" t="s">
        <v>5</v>
      </c>
      <c r="C412" t="s">
        <v>527</v>
      </c>
      <c r="D412" t="s">
        <v>57</v>
      </c>
      <c r="E412" s="1">
        <v>4.1000000000000003E-3</v>
      </c>
      <c r="F412" s="3">
        <f t="shared" si="21"/>
        <v>4.1984000000000004</v>
      </c>
      <c r="G412" s="3">
        <f t="shared" si="22"/>
        <v>0.33279999999999998</v>
      </c>
      <c r="H412" t="str">
        <f t="shared" si="23"/>
        <v>USA</v>
      </c>
      <c r="I412" t="str">
        <f>+_xlfn.XLOOKUP(H412,Sheet1!C:C,Sheet1!B:B,"N/A",0)</f>
        <v>US</v>
      </c>
      <c r="J412" t="str">
        <f>+_xlfn.XLOOKUP(H412,Sheet1!C:C,Sheet1!D:D,"N/A",0)</f>
        <v>840</v>
      </c>
    </row>
    <row r="413" spans="1:10" x14ac:dyDescent="0.25">
      <c r="A413" t="s">
        <v>4</v>
      </c>
      <c r="B413" t="s">
        <v>5</v>
      </c>
      <c r="C413" t="s">
        <v>90</v>
      </c>
      <c r="D413" t="s">
        <v>91</v>
      </c>
      <c r="E413" s="1">
        <v>5.0000000000000001E-3</v>
      </c>
      <c r="F413" s="3">
        <f t="shared" si="21"/>
        <v>5.12</v>
      </c>
      <c r="G413" s="3">
        <f t="shared" si="22"/>
        <v>1.536</v>
      </c>
      <c r="H413" t="str">
        <f t="shared" si="23"/>
        <v>UZB</v>
      </c>
      <c r="I413" t="str">
        <f>+_xlfn.XLOOKUP(H413,Sheet1!C:C,Sheet1!B:B,"N/A",0)</f>
        <v>UZ</v>
      </c>
      <c r="J413" t="str">
        <f>+_xlfn.XLOOKUP(H413,Sheet1!C:C,Sheet1!D:D,"N/A",0)</f>
        <v>860</v>
      </c>
    </row>
    <row r="414" spans="1:10" x14ac:dyDescent="0.25">
      <c r="A414" t="s">
        <v>4</v>
      </c>
      <c r="B414" t="s">
        <v>5</v>
      </c>
      <c r="C414" t="s">
        <v>579</v>
      </c>
      <c r="D414" t="s">
        <v>91</v>
      </c>
      <c r="E414" s="1">
        <v>1.5E-3</v>
      </c>
      <c r="F414" s="3">
        <f t="shared" si="21"/>
        <v>1.536</v>
      </c>
      <c r="G414" s="3">
        <f t="shared" si="22"/>
        <v>1.536</v>
      </c>
      <c r="H414" t="str">
        <f t="shared" si="23"/>
        <v>UZB</v>
      </c>
      <c r="I414" t="str">
        <f>+_xlfn.XLOOKUP(H414,Sheet1!C:C,Sheet1!B:B,"N/A",0)</f>
        <v>UZ</v>
      </c>
      <c r="J414" t="str">
        <f>+_xlfn.XLOOKUP(H414,Sheet1!C:C,Sheet1!D:D,"N/A",0)</f>
        <v>860</v>
      </c>
    </row>
    <row r="415" spans="1:10" x14ac:dyDescent="0.25">
      <c r="A415" t="s">
        <v>4</v>
      </c>
      <c r="B415" t="s">
        <v>5</v>
      </c>
      <c r="C415" t="s">
        <v>502</v>
      </c>
      <c r="D415" t="s">
        <v>503</v>
      </c>
      <c r="E415" s="1">
        <v>3.5000000000000001E-3</v>
      </c>
      <c r="F415" s="3">
        <f t="shared" si="21"/>
        <v>3.5840000000000001</v>
      </c>
      <c r="G415" s="3">
        <f t="shared" si="22"/>
        <v>3.5840000000000001</v>
      </c>
      <c r="H415" t="str">
        <f t="shared" si="23"/>
        <v>VEN</v>
      </c>
      <c r="I415" t="str">
        <f>+_xlfn.XLOOKUP(H415,Sheet1!C:C,Sheet1!B:B,"N/A",0)</f>
        <v>VE</v>
      </c>
      <c r="J415" t="str">
        <f>+_xlfn.XLOOKUP(H415,Sheet1!C:C,Sheet1!D:D,"N/A",0)</f>
        <v>862</v>
      </c>
    </row>
    <row r="416" spans="1:10" x14ac:dyDescent="0.25">
      <c r="A416" t="s">
        <v>4</v>
      </c>
      <c r="B416" t="s">
        <v>5</v>
      </c>
      <c r="C416" t="s">
        <v>145</v>
      </c>
      <c r="D416" t="s">
        <v>146</v>
      </c>
      <c r="E416" s="1">
        <v>6.9999999999999999E-4</v>
      </c>
      <c r="F416" s="3">
        <f t="shared" si="21"/>
        <v>0.71679999999999999</v>
      </c>
      <c r="G416" s="3">
        <f t="shared" si="22"/>
        <v>0.58060800000000001</v>
      </c>
      <c r="H416" t="str">
        <f t="shared" si="23"/>
        <v>VNM</v>
      </c>
      <c r="I416" t="str">
        <f>+_xlfn.XLOOKUP(H416,Sheet1!C:C,Sheet1!B:B,"N/A",0)</f>
        <v>VN</v>
      </c>
      <c r="J416" t="str">
        <f>+_xlfn.XLOOKUP(H416,Sheet1!C:C,Sheet1!D:D,"N/A",0)</f>
        <v>704</v>
      </c>
    </row>
    <row r="417" spans="1:10" x14ac:dyDescent="0.25">
      <c r="A417" t="s">
        <v>4</v>
      </c>
      <c r="B417" t="s">
        <v>5</v>
      </c>
      <c r="C417" t="s">
        <v>215</v>
      </c>
      <c r="D417" t="s">
        <v>146</v>
      </c>
      <c r="E417" s="1">
        <v>8.3000000000000001E-4</v>
      </c>
      <c r="F417" s="3">
        <f t="shared" si="21"/>
        <v>0.84992000000000001</v>
      </c>
      <c r="G417" s="3">
        <f t="shared" si="22"/>
        <v>0.58060800000000001</v>
      </c>
      <c r="H417" t="str">
        <f t="shared" si="23"/>
        <v>VNM</v>
      </c>
      <c r="I417" t="str">
        <f>+_xlfn.XLOOKUP(H417,Sheet1!C:C,Sheet1!B:B,"N/A",0)</f>
        <v>VN</v>
      </c>
      <c r="J417" t="str">
        <f>+_xlfn.XLOOKUP(H417,Sheet1!C:C,Sheet1!D:D,"N/A",0)</f>
        <v>704</v>
      </c>
    </row>
    <row r="418" spans="1:10" x14ac:dyDescent="0.25">
      <c r="A418" t="s">
        <v>4</v>
      </c>
      <c r="B418" t="s">
        <v>5</v>
      </c>
      <c r="C418" t="s">
        <v>458</v>
      </c>
      <c r="D418" t="s">
        <v>146</v>
      </c>
      <c r="E418" s="1">
        <v>5.6700000000000001E-4</v>
      </c>
      <c r="F418" s="3">
        <f t="shared" si="21"/>
        <v>0.58060800000000001</v>
      </c>
      <c r="G418" s="3">
        <f t="shared" si="22"/>
        <v>0.58060800000000001</v>
      </c>
      <c r="H418" t="str">
        <f t="shared" si="23"/>
        <v>VNM</v>
      </c>
      <c r="I418" t="str">
        <f>+_xlfn.XLOOKUP(H418,Sheet1!C:C,Sheet1!B:B,"N/A",0)</f>
        <v>VN</v>
      </c>
      <c r="J418" t="str">
        <f>+_xlfn.XLOOKUP(H418,Sheet1!C:C,Sheet1!D:D,"N/A",0)</f>
        <v>704</v>
      </c>
    </row>
    <row r="419" spans="1:10" x14ac:dyDescent="0.25">
      <c r="A419" t="s">
        <v>4</v>
      </c>
      <c r="B419" t="s">
        <v>5</v>
      </c>
      <c r="C419" t="s">
        <v>547</v>
      </c>
      <c r="D419" t="s">
        <v>548</v>
      </c>
      <c r="E419" s="1">
        <v>5.0350000000000004E-3</v>
      </c>
      <c r="F419" s="3">
        <f t="shared" si="21"/>
        <v>5.1558400000000004</v>
      </c>
      <c r="G419" s="3">
        <f t="shared" si="22"/>
        <v>5.1558400000000004</v>
      </c>
      <c r="H419" t="str">
        <f t="shared" si="23"/>
        <v>ZWE</v>
      </c>
      <c r="I419" t="str">
        <f>+_xlfn.XLOOKUP(H419,Sheet1!C:C,Sheet1!B:B,"N/A",0)</f>
        <v>ZW</v>
      </c>
      <c r="J419" t="str">
        <f>+_xlfn.XLOOKUP(H419,Sheet1!C:C,Sheet1!D:D,"N/A",0)</f>
        <v>716</v>
      </c>
    </row>
  </sheetData>
  <autoFilter ref="A1:E419" xr:uid="{00000000-0009-0000-0000-000000000000}">
    <sortState xmlns:xlrd2="http://schemas.microsoft.com/office/spreadsheetml/2017/richdata2" ref="A2:E419">
      <sortCondition ref="D1"/>
    </sortState>
  </autoFilter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D403-EF5F-41F6-8333-65BEC4456E6A}">
  <dimension ref="A1:D251"/>
  <sheetViews>
    <sheetView workbookViewId="0">
      <selection activeCell="A203" sqref="A203"/>
    </sheetView>
  </sheetViews>
  <sheetFormatPr defaultRowHeight="15" x14ac:dyDescent="0.25"/>
  <cols>
    <col min="1" max="1" width="41.5703125" style="5" customWidth="1"/>
    <col min="2" max="16384" width="9.140625" style="5"/>
  </cols>
  <sheetData>
    <row r="1" spans="1:4" x14ac:dyDescent="0.25">
      <c r="A1" s="4" t="s">
        <v>608</v>
      </c>
      <c r="B1" s="4" t="s">
        <v>609</v>
      </c>
      <c r="C1" s="4" t="s">
        <v>610</v>
      </c>
      <c r="D1" s="4" t="s">
        <v>611</v>
      </c>
    </row>
    <row r="2" spans="1:4" x14ac:dyDescent="0.25">
      <c r="A2" s="4" t="s">
        <v>26</v>
      </c>
      <c r="B2" s="4" t="s">
        <v>612</v>
      </c>
      <c r="C2" s="4" t="s">
        <v>613</v>
      </c>
      <c r="D2" s="4" t="s">
        <v>614</v>
      </c>
    </row>
    <row r="3" spans="1:4" x14ac:dyDescent="0.25">
      <c r="A3" s="4" t="s">
        <v>196</v>
      </c>
      <c r="B3" s="4" t="s">
        <v>615</v>
      </c>
      <c r="C3" s="4" t="s">
        <v>616</v>
      </c>
      <c r="D3" s="4" t="s">
        <v>617</v>
      </c>
    </row>
    <row r="4" spans="1:4" x14ac:dyDescent="0.25">
      <c r="A4" s="4" t="s">
        <v>61</v>
      </c>
      <c r="B4" s="4" t="s">
        <v>618</v>
      </c>
      <c r="C4" s="4" t="s">
        <v>619</v>
      </c>
      <c r="D4" s="4" t="s">
        <v>620</v>
      </c>
    </row>
    <row r="5" spans="1:4" x14ac:dyDescent="0.25">
      <c r="A5" s="4" t="s">
        <v>621</v>
      </c>
      <c r="B5" s="4" t="s">
        <v>622</v>
      </c>
      <c r="C5" s="4" t="s">
        <v>623</v>
      </c>
      <c r="D5" s="4" t="s">
        <v>624</v>
      </c>
    </row>
    <row r="6" spans="1:4" x14ac:dyDescent="0.25">
      <c r="A6" s="4" t="s">
        <v>164</v>
      </c>
      <c r="B6" s="4" t="s">
        <v>625</v>
      </c>
      <c r="C6" s="4" t="s">
        <v>626</v>
      </c>
      <c r="D6" s="4" t="s">
        <v>627</v>
      </c>
    </row>
    <row r="7" spans="1:4" x14ac:dyDescent="0.25">
      <c r="A7" s="4" t="s">
        <v>394</v>
      </c>
      <c r="B7" s="4" t="s">
        <v>628</v>
      </c>
      <c r="C7" s="4" t="s">
        <v>629</v>
      </c>
      <c r="D7" s="4" t="s">
        <v>630</v>
      </c>
    </row>
    <row r="8" spans="1:4" x14ac:dyDescent="0.25">
      <c r="A8" s="4" t="s">
        <v>376</v>
      </c>
      <c r="B8" s="4" t="s">
        <v>631</v>
      </c>
      <c r="C8" s="4" t="s">
        <v>632</v>
      </c>
      <c r="D8" s="4" t="s">
        <v>633</v>
      </c>
    </row>
    <row r="9" spans="1:4" x14ac:dyDescent="0.25">
      <c r="A9" s="4" t="s">
        <v>634</v>
      </c>
      <c r="B9" s="4" t="s">
        <v>635</v>
      </c>
      <c r="C9" s="4" t="s">
        <v>636</v>
      </c>
      <c r="D9" s="4" t="s">
        <v>637</v>
      </c>
    </row>
    <row r="10" spans="1:4" x14ac:dyDescent="0.25">
      <c r="A10" s="4" t="s">
        <v>19</v>
      </c>
      <c r="B10" s="4" t="s">
        <v>638</v>
      </c>
      <c r="C10" s="4" t="s">
        <v>639</v>
      </c>
      <c r="D10" s="4" t="s">
        <v>640</v>
      </c>
    </row>
    <row r="11" spans="1:4" x14ac:dyDescent="0.25">
      <c r="A11" s="4" t="s">
        <v>159</v>
      </c>
      <c r="B11" s="4" t="s">
        <v>641</v>
      </c>
      <c r="C11" s="4" t="s">
        <v>642</v>
      </c>
      <c r="D11" s="4" t="s">
        <v>643</v>
      </c>
    </row>
    <row r="12" spans="1:4" x14ac:dyDescent="0.25">
      <c r="A12" s="4" t="s">
        <v>317</v>
      </c>
      <c r="B12" s="4" t="s">
        <v>644</v>
      </c>
      <c r="C12" s="4" t="s">
        <v>645</v>
      </c>
      <c r="D12" s="4" t="s">
        <v>646</v>
      </c>
    </row>
    <row r="13" spans="1:4" x14ac:dyDescent="0.25">
      <c r="A13" s="4" t="s">
        <v>497</v>
      </c>
      <c r="B13" s="4" t="s">
        <v>647</v>
      </c>
      <c r="C13" s="4" t="s">
        <v>648</v>
      </c>
      <c r="D13" s="4" t="s">
        <v>649</v>
      </c>
    </row>
    <row r="14" spans="1:4" x14ac:dyDescent="0.25">
      <c r="A14" s="4" t="s">
        <v>118</v>
      </c>
      <c r="B14" s="4" t="s">
        <v>650</v>
      </c>
      <c r="C14" s="4" t="s">
        <v>651</v>
      </c>
      <c r="D14" s="4" t="s">
        <v>652</v>
      </c>
    </row>
    <row r="15" spans="1:4" x14ac:dyDescent="0.25">
      <c r="A15" s="4" t="s">
        <v>47</v>
      </c>
      <c r="B15" s="4" t="s">
        <v>653</v>
      </c>
      <c r="C15" s="4" t="s">
        <v>654</v>
      </c>
      <c r="D15" s="4" t="s">
        <v>655</v>
      </c>
    </row>
    <row r="16" spans="1:4" x14ac:dyDescent="0.25">
      <c r="A16" s="4" t="s">
        <v>137</v>
      </c>
      <c r="B16" s="4" t="s">
        <v>656</v>
      </c>
      <c r="C16" s="4" t="s">
        <v>657</v>
      </c>
      <c r="D16" s="4" t="s">
        <v>658</v>
      </c>
    </row>
    <row r="17" spans="1:4" x14ac:dyDescent="0.25">
      <c r="A17" s="4" t="s">
        <v>659</v>
      </c>
      <c r="B17" s="4" t="s">
        <v>660</v>
      </c>
      <c r="C17" s="4" t="s">
        <v>661</v>
      </c>
      <c r="D17" s="4" t="s">
        <v>662</v>
      </c>
    </row>
    <row r="18" spans="1:4" x14ac:dyDescent="0.25">
      <c r="A18" s="4" t="s">
        <v>470</v>
      </c>
      <c r="B18" s="4" t="s">
        <v>663</v>
      </c>
      <c r="C18" s="4" t="s">
        <v>664</v>
      </c>
      <c r="D18" s="4" t="s">
        <v>665</v>
      </c>
    </row>
    <row r="19" spans="1:4" x14ac:dyDescent="0.25">
      <c r="A19" s="4" t="s">
        <v>262</v>
      </c>
      <c r="B19" s="4" t="s">
        <v>666</v>
      </c>
      <c r="C19" s="4" t="s">
        <v>667</v>
      </c>
      <c r="D19" s="4" t="s">
        <v>668</v>
      </c>
    </row>
    <row r="20" spans="1:4" x14ac:dyDescent="0.25">
      <c r="A20" s="4" t="s">
        <v>439</v>
      </c>
      <c r="B20" s="4" t="s">
        <v>669</v>
      </c>
      <c r="C20" s="4" t="s">
        <v>670</v>
      </c>
      <c r="D20" s="4" t="s">
        <v>671</v>
      </c>
    </row>
    <row r="21" spans="1:4" x14ac:dyDescent="0.25">
      <c r="A21" s="4" t="s">
        <v>245</v>
      </c>
      <c r="B21" s="4" t="s">
        <v>672</v>
      </c>
      <c r="C21" s="4" t="s">
        <v>673</v>
      </c>
      <c r="D21" s="4" t="s">
        <v>674</v>
      </c>
    </row>
    <row r="22" spans="1:4" x14ac:dyDescent="0.25">
      <c r="A22" s="4" t="s">
        <v>284</v>
      </c>
      <c r="B22" s="4" t="s">
        <v>675</v>
      </c>
      <c r="C22" s="4" t="s">
        <v>676</v>
      </c>
      <c r="D22" s="4" t="s">
        <v>677</v>
      </c>
    </row>
    <row r="23" spans="1:4" x14ac:dyDescent="0.25">
      <c r="A23" s="4" t="s">
        <v>678</v>
      </c>
      <c r="B23" s="4" t="s">
        <v>679</v>
      </c>
      <c r="C23" s="4" t="s">
        <v>680</v>
      </c>
      <c r="D23" s="4" t="s">
        <v>681</v>
      </c>
    </row>
    <row r="24" spans="1:4" x14ac:dyDescent="0.25">
      <c r="A24" s="4" t="s">
        <v>590</v>
      </c>
      <c r="B24" s="4" t="s">
        <v>682</v>
      </c>
      <c r="C24" s="4" t="s">
        <v>683</v>
      </c>
      <c r="D24" s="4" t="s">
        <v>684</v>
      </c>
    </row>
    <row r="25" spans="1:4" x14ac:dyDescent="0.25">
      <c r="A25" s="4" t="s">
        <v>501</v>
      </c>
      <c r="B25" s="4" t="s">
        <v>685</v>
      </c>
      <c r="C25" s="4" t="s">
        <v>686</v>
      </c>
      <c r="D25" s="4" t="s">
        <v>687</v>
      </c>
    </row>
    <row r="26" spans="1:4" x14ac:dyDescent="0.25">
      <c r="A26" s="4" t="s">
        <v>688</v>
      </c>
      <c r="B26" s="4" t="s">
        <v>689</v>
      </c>
      <c r="C26" s="4" t="s">
        <v>690</v>
      </c>
      <c r="D26" s="4" t="s">
        <v>691</v>
      </c>
    </row>
    <row r="27" spans="1:4" x14ac:dyDescent="0.25">
      <c r="A27" s="4" t="s">
        <v>692</v>
      </c>
      <c r="B27" s="4" t="s">
        <v>693</v>
      </c>
      <c r="C27" s="4" t="s">
        <v>694</v>
      </c>
      <c r="D27" s="4" t="s">
        <v>695</v>
      </c>
    </row>
    <row r="28" spans="1:4" x14ac:dyDescent="0.25">
      <c r="A28" s="4" t="s">
        <v>696</v>
      </c>
      <c r="B28" s="4" t="s">
        <v>697</v>
      </c>
      <c r="C28" s="4" t="s">
        <v>698</v>
      </c>
      <c r="D28" s="4" t="s">
        <v>699</v>
      </c>
    </row>
    <row r="29" spans="1:4" x14ac:dyDescent="0.25">
      <c r="A29" s="4" t="s">
        <v>169</v>
      </c>
      <c r="B29" s="4" t="s">
        <v>700</v>
      </c>
      <c r="C29" s="4" t="s">
        <v>701</v>
      </c>
      <c r="D29" s="4" t="s">
        <v>702</v>
      </c>
    </row>
    <row r="30" spans="1:4" x14ac:dyDescent="0.25">
      <c r="A30" s="4" t="s">
        <v>530</v>
      </c>
      <c r="B30" s="4" t="s">
        <v>703</v>
      </c>
      <c r="C30" s="4" t="s">
        <v>704</v>
      </c>
      <c r="D30" s="4" t="s">
        <v>705</v>
      </c>
    </row>
    <row r="31" spans="1:4" x14ac:dyDescent="0.25">
      <c r="A31" s="4" t="s">
        <v>706</v>
      </c>
      <c r="B31" s="4" t="s">
        <v>707</v>
      </c>
      <c r="C31" s="4" t="s">
        <v>708</v>
      </c>
      <c r="D31" s="4" t="s">
        <v>709</v>
      </c>
    </row>
    <row r="32" spans="1:4" x14ac:dyDescent="0.25">
      <c r="A32" s="4" t="s">
        <v>349</v>
      </c>
      <c r="B32" s="4" t="s">
        <v>710</v>
      </c>
      <c r="C32" s="4" t="s">
        <v>711</v>
      </c>
      <c r="D32" s="4" t="s">
        <v>712</v>
      </c>
    </row>
    <row r="33" spans="1:4" x14ac:dyDescent="0.25">
      <c r="A33" s="4" t="s">
        <v>713</v>
      </c>
      <c r="B33" s="4" t="s">
        <v>714</v>
      </c>
      <c r="C33" s="4" t="s">
        <v>715</v>
      </c>
      <c r="D33" s="4" t="s">
        <v>716</v>
      </c>
    </row>
    <row r="34" spans="1:4" x14ac:dyDescent="0.25">
      <c r="A34" s="4" t="s">
        <v>717</v>
      </c>
      <c r="B34" s="4" t="s">
        <v>718</v>
      </c>
      <c r="C34" s="4" t="s">
        <v>719</v>
      </c>
      <c r="D34" s="4" t="s">
        <v>720</v>
      </c>
    </row>
    <row r="35" spans="1:4" x14ac:dyDescent="0.25">
      <c r="A35" s="4" t="s">
        <v>353</v>
      </c>
      <c r="B35" s="4" t="s">
        <v>721</v>
      </c>
      <c r="C35" s="4" t="s">
        <v>722</v>
      </c>
      <c r="D35" s="4" t="s">
        <v>723</v>
      </c>
    </row>
    <row r="36" spans="1:4" x14ac:dyDescent="0.25">
      <c r="A36" s="4" t="s">
        <v>51</v>
      </c>
      <c r="B36" s="4" t="s">
        <v>724</v>
      </c>
      <c r="C36" s="4" t="s">
        <v>725</v>
      </c>
      <c r="D36" s="4" t="s">
        <v>726</v>
      </c>
    </row>
    <row r="37" spans="1:4" x14ac:dyDescent="0.25">
      <c r="A37" s="4" t="s">
        <v>727</v>
      </c>
      <c r="B37" s="4" t="s">
        <v>728</v>
      </c>
      <c r="C37" s="4" t="s">
        <v>729</v>
      </c>
      <c r="D37" s="4" t="s">
        <v>730</v>
      </c>
    </row>
    <row r="38" spans="1:4" x14ac:dyDescent="0.25">
      <c r="A38" s="4" t="s">
        <v>731</v>
      </c>
      <c r="B38" s="4" t="s">
        <v>732</v>
      </c>
      <c r="C38" s="4" t="s">
        <v>733</v>
      </c>
      <c r="D38" s="4" t="s">
        <v>734</v>
      </c>
    </row>
    <row r="39" spans="1:4" x14ac:dyDescent="0.25">
      <c r="A39" s="4" t="s">
        <v>11</v>
      </c>
      <c r="B39" s="4" t="s">
        <v>735</v>
      </c>
      <c r="C39" s="4" t="s">
        <v>736</v>
      </c>
      <c r="D39" s="4" t="s">
        <v>737</v>
      </c>
    </row>
    <row r="40" spans="1:4" x14ac:dyDescent="0.25">
      <c r="A40" s="4" t="s">
        <v>248</v>
      </c>
      <c r="B40" s="4" t="s">
        <v>738</v>
      </c>
      <c r="C40" s="4" t="s">
        <v>739</v>
      </c>
      <c r="D40" s="4" t="s">
        <v>740</v>
      </c>
    </row>
    <row r="41" spans="1:4" x14ac:dyDescent="0.25">
      <c r="A41" s="4" t="s">
        <v>53</v>
      </c>
      <c r="B41" s="4" t="s">
        <v>741</v>
      </c>
      <c r="C41" s="4" t="s">
        <v>742</v>
      </c>
      <c r="D41" s="4" t="s">
        <v>743</v>
      </c>
    </row>
    <row r="42" spans="1:4" x14ac:dyDescent="0.25">
      <c r="A42" s="4" t="s">
        <v>744</v>
      </c>
      <c r="B42" s="4" t="s">
        <v>745</v>
      </c>
      <c r="C42" s="4" t="s">
        <v>746</v>
      </c>
      <c r="D42" s="4" t="s">
        <v>747</v>
      </c>
    </row>
    <row r="43" spans="1:4" x14ac:dyDescent="0.25">
      <c r="A43" s="4" t="s">
        <v>748</v>
      </c>
      <c r="B43" s="4" t="s">
        <v>749</v>
      </c>
      <c r="C43" s="4" t="s">
        <v>750</v>
      </c>
      <c r="D43" s="4" t="s">
        <v>751</v>
      </c>
    </row>
    <row r="44" spans="1:4" x14ac:dyDescent="0.25">
      <c r="A44" s="4" t="s">
        <v>400</v>
      </c>
      <c r="B44" s="4" t="s">
        <v>752</v>
      </c>
      <c r="C44" s="4" t="s">
        <v>753</v>
      </c>
      <c r="D44" s="4" t="s">
        <v>754</v>
      </c>
    </row>
    <row r="45" spans="1:4" x14ac:dyDescent="0.25">
      <c r="A45" s="4" t="s">
        <v>116</v>
      </c>
      <c r="B45" s="4" t="s">
        <v>755</v>
      </c>
      <c r="C45" s="4" t="s">
        <v>756</v>
      </c>
      <c r="D45" s="4" t="s">
        <v>757</v>
      </c>
    </row>
    <row r="46" spans="1:4" x14ac:dyDescent="0.25">
      <c r="A46" s="4" t="s">
        <v>434</v>
      </c>
      <c r="B46" s="4" t="s">
        <v>758</v>
      </c>
      <c r="C46" s="4" t="s">
        <v>759</v>
      </c>
      <c r="D46" s="4" t="s">
        <v>760</v>
      </c>
    </row>
    <row r="47" spans="1:4" x14ac:dyDescent="0.25">
      <c r="A47" s="4" t="s">
        <v>761</v>
      </c>
      <c r="B47" s="4" t="s">
        <v>762</v>
      </c>
      <c r="C47" s="4" t="s">
        <v>763</v>
      </c>
      <c r="D47" s="4" t="s">
        <v>764</v>
      </c>
    </row>
    <row r="48" spans="1:4" x14ac:dyDescent="0.25">
      <c r="A48" s="4" t="s">
        <v>765</v>
      </c>
      <c r="B48" s="4" t="s">
        <v>766</v>
      </c>
      <c r="C48" s="4" t="s">
        <v>767</v>
      </c>
      <c r="D48" s="4" t="s">
        <v>768</v>
      </c>
    </row>
    <row r="49" spans="1:4" x14ac:dyDescent="0.25">
      <c r="A49" s="4" t="s">
        <v>231</v>
      </c>
      <c r="B49" s="4" t="s">
        <v>769</v>
      </c>
      <c r="C49" s="4" t="s">
        <v>770</v>
      </c>
      <c r="D49" s="4" t="s">
        <v>771</v>
      </c>
    </row>
    <row r="50" spans="1:4" x14ac:dyDescent="0.25">
      <c r="A50" s="4" t="s">
        <v>772</v>
      </c>
      <c r="B50" s="4" t="s">
        <v>773</v>
      </c>
      <c r="C50" s="4" t="s">
        <v>774</v>
      </c>
      <c r="D50" s="4" t="s">
        <v>775</v>
      </c>
    </row>
    <row r="51" spans="1:4" x14ac:dyDescent="0.25">
      <c r="A51" s="4" t="s">
        <v>776</v>
      </c>
      <c r="B51" s="4" t="s">
        <v>777</v>
      </c>
      <c r="C51" s="4" t="s">
        <v>778</v>
      </c>
      <c r="D51" s="4" t="s">
        <v>779</v>
      </c>
    </row>
    <row r="52" spans="1:4" x14ac:dyDescent="0.25">
      <c r="A52" s="4" t="s">
        <v>780</v>
      </c>
      <c r="B52" s="4" t="s">
        <v>781</v>
      </c>
      <c r="C52" s="4" t="s">
        <v>782</v>
      </c>
      <c r="D52" s="4" t="s">
        <v>783</v>
      </c>
    </row>
    <row r="53" spans="1:4" x14ac:dyDescent="0.25">
      <c r="A53" s="4" t="s">
        <v>784</v>
      </c>
      <c r="B53" s="4" t="s">
        <v>785</v>
      </c>
      <c r="C53" s="4" t="s">
        <v>786</v>
      </c>
      <c r="D53" s="4" t="s">
        <v>787</v>
      </c>
    </row>
    <row r="54" spans="1:4" x14ac:dyDescent="0.25">
      <c r="A54" s="4" t="s">
        <v>114</v>
      </c>
      <c r="B54" s="4" t="s">
        <v>788</v>
      </c>
      <c r="C54" s="4" t="s">
        <v>789</v>
      </c>
      <c r="D54" s="4" t="s">
        <v>790</v>
      </c>
    </row>
    <row r="55" spans="1:4" x14ac:dyDescent="0.25">
      <c r="A55" s="4" t="s">
        <v>477</v>
      </c>
      <c r="B55" s="4" t="s">
        <v>791</v>
      </c>
      <c r="C55" s="4" t="s">
        <v>792</v>
      </c>
      <c r="D55" s="4" t="s">
        <v>793</v>
      </c>
    </row>
    <row r="56" spans="1:4" x14ac:dyDescent="0.25">
      <c r="A56" s="4" t="s">
        <v>467</v>
      </c>
      <c r="B56" s="4" t="s">
        <v>794</v>
      </c>
      <c r="C56" s="4" t="s">
        <v>795</v>
      </c>
      <c r="D56" s="4" t="s">
        <v>796</v>
      </c>
    </row>
    <row r="57" spans="1:4" x14ac:dyDescent="0.25">
      <c r="A57" s="4" t="s">
        <v>797</v>
      </c>
      <c r="B57" s="4" t="s">
        <v>798</v>
      </c>
      <c r="C57" s="4" t="s">
        <v>799</v>
      </c>
      <c r="D57" s="4" t="s">
        <v>800</v>
      </c>
    </row>
    <row r="58" spans="1:4" x14ac:dyDescent="0.25">
      <c r="A58" s="4" t="s">
        <v>71</v>
      </c>
      <c r="B58" s="4" t="s">
        <v>801</v>
      </c>
      <c r="C58" s="4" t="s">
        <v>802</v>
      </c>
      <c r="D58" s="4" t="s">
        <v>803</v>
      </c>
    </row>
    <row r="59" spans="1:4" x14ac:dyDescent="0.25">
      <c r="A59" s="4" t="s">
        <v>804</v>
      </c>
      <c r="B59" s="4" t="s">
        <v>805</v>
      </c>
      <c r="C59" s="4" t="s">
        <v>806</v>
      </c>
      <c r="D59" s="4" t="s">
        <v>807</v>
      </c>
    </row>
    <row r="60" spans="1:4" x14ac:dyDescent="0.25">
      <c r="A60" s="4" t="s">
        <v>808</v>
      </c>
      <c r="B60" s="4" t="s">
        <v>809</v>
      </c>
      <c r="C60" s="4" t="s">
        <v>810</v>
      </c>
      <c r="D60" s="4" t="s">
        <v>811</v>
      </c>
    </row>
    <row r="61" spans="1:4" x14ac:dyDescent="0.25">
      <c r="A61" s="4" t="s">
        <v>112</v>
      </c>
      <c r="B61" s="4" t="s">
        <v>812</v>
      </c>
      <c r="C61" s="4" t="s">
        <v>813</v>
      </c>
      <c r="D61" s="4" t="s">
        <v>814</v>
      </c>
    </row>
    <row r="62" spans="1:4" x14ac:dyDescent="0.25">
      <c r="A62" s="4" t="s">
        <v>815</v>
      </c>
      <c r="B62" s="4" t="s">
        <v>816</v>
      </c>
      <c r="C62" s="4" t="s">
        <v>817</v>
      </c>
      <c r="D62" s="4" t="s">
        <v>818</v>
      </c>
    </row>
    <row r="63" spans="1:4" x14ac:dyDescent="0.25">
      <c r="A63" s="4" t="s">
        <v>405</v>
      </c>
      <c r="B63" s="4" t="s">
        <v>819</v>
      </c>
      <c r="C63" s="4" t="s">
        <v>820</v>
      </c>
      <c r="D63" s="4" t="s">
        <v>821</v>
      </c>
    </row>
    <row r="64" spans="1:4" x14ac:dyDescent="0.25">
      <c r="A64" s="4" t="s">
        <v>822</v>
      </c>
      <c r="B64" s="4" t="s">
        <v>823</v>
      </c>
      <c r="C64" s="4" t="s">
        <v>824</v>
      </c>
      <c r="D64" s="4" t="s">
        <v>825</v>
      </c>
    </row>
    <row r="65" spans="1:4" x14ac:dyDescent="0.25">
      <c r="A65" s="4" t="s">
        <v>78</v>
      </c>
      <c r="B65" s="4" t="s">
        <v>826</v>
      </c>
      <c r="C65" s="4" t="s">
        <v>827</v>
      </c>
      <c r="D65" s="4" t="s">
        <v>828</v>
      </c>
    </row>
    <row r="66" spans="1:4" x14ac:dyDescent="0.25">
      <c r="A66" s="4" t="s">
        <v>217</v>
      </c>
      <c r="B66" s="4" t="s">
        <v>829</v>
      </c>
      <c r="C66" s="4" t="s">
        <v>830</v>
      </c>
      <c r="D66" s="4" t="s">
        <v>831</v>
      </c>
    </row>
    <row r="67" spans="1:4" x14ac:dyDescent="0.25">
      <c r="A67" s="4" t="s">
        <v>135</v>
      </c>
      <c r="B67" s="4" t="s">
        <v>832</v>
      </c>
      <c r="C67" s="4" t="s">
        <v>833</v>
      </c>
      <c r="D67" s="4" t="s">
        <v>834</v>
      </c>
    </row>
    <row r="68" spans="1:4" x14ac:dyDescent="0.25">
      <c r="A68" s="4" t="s">
        <v>835</v>
      </c>
      <c r="B68" s="4" t="s">
        <v>836</v>
      </c>
      <c r="C68" s="4" t="s">
        <v>837</v>
      </c>
      <c r="D68" s="4" t="s">
        <v>838</v>
      </c>
    </row>
    <row r="69" spans="1:4" x14ac:dyDescent="0.25">
      <c r="A69" s="4" t="s">
        <v>839</v>
      </c>
      <c r="B69" s="4" t="s">
        <v>840</v>
      </c>
      <c r="C69" s="4" t="s">
        <v>841</v>
      </c>
      <c r="D69" s="4" t="s">
        <v>842</v>
      </c>
    </row>
    <row r="70" spans="1:4" x14ac:dyDescent="0.25">
      <c r="A70" s="4" t="s">
        <v>383</v>
      </c>
      <c r="B70" s="4" t="s">
        <v>843</v>
      </c>
      <c r="C70" s="4" t="s">
        <v>844</v>
      </c>
      <c r="D70" s="4" t="s">
        <v>845</v>
      </c>
    </row>
    <row r="71" spans="1:4" x14ac:dyDescent="0.25">
      <c r="A71" s="4" t="s">
        <v>846</v>
      </c>
      <c r="B71" s="4" t="s">
        <v>847</v>
      </c>
      <c r="C71" s="4" t="s">
        <v>848</v>
      </c>
      <c r="D71" s="4" t="s">
        <v>849</v>
      </c>
    </row>
    <row r="72" spans="1:4" x14ac:dyDescent="0.25">
      <c r="A72" s="4" t="s">
        <v>540</v>
      </c>
      <c r="B72" s="4" t="s">
        <v>850</v>
      </c>
      <c r="C72" s="4" t="s">
        <v>851</v>
      </c>
      <c r="D72" s="4" t="s">
        <v>852</v>
      </c>
    </row>
    <row r="73" spans="1:4" x14ac:dyDescent="0.25">
      <c r="A73" s="4" t="s">
        <v>853</v>
      </c>
      <c r="B73" s="4" t="s">
        <v>854</v>
      </c>
      <c r="C73" s="4" t="s">
        <v>855</v>
      </c>
      <c r="D73" s="4" t="s">
        <v>856</v>
      </c>
    </row>
    <row r="74" spans="1:4" x14ac:dyDescent="0.25">
      <c r="A74" s="4" t="s">
        <v>857</v>
      </c>
      <c r="B74" s="4" t="s">
        <v>858</v>
      </c>
      <c r="C74" s="4" t="s">
        <v>859</v>
      </c>
      <c r="D74" s="4" t="s">
        <v>860</v>
      </c>
    </row>
    <row r="75" spans="1:4" x14ac:dyDescent="0.25">
      <c r="A75" s="4" t="s">
        <v>49</v>
      </c>
      <c r="B75" s="4" t="s">
        <v>861</v>
      </c>
      <c r="C75" s="4" t="s">
        <v>862</v>
      </c>
      <c r="D75" s="4" t="s">
        <v>863</v>
      </c>
    </row>
    <row r="76" spans="1:4" x14ac:dyDescent="0.25">
      <c r="A76" s="4" t="s">
        <v>105</v>
      </c>
      <c r="B76" s="4" t="s">
        <v>864</v>
      </c>
      <c r="C76" s="4" t="s">
        <v>865</v>
      </c>
      <c r="D76" s="4" t="s">
        <v>866</v>
      </c>
    </row>
    <row r="77" spans="1:4" x14ac:dyDescent="0.25">
      <c r="A77" s="4" t="s">
        <v>43</v>
      </c>
      <c r="B77" s="4" t="s">
        <v>867</v>
      </c>
      <c r="C77" s="4" t="s">
        <v>868</v>
      </c>
      <c r="D77" s="4" t="s">
        <v>869</v>
      </c>
    </row>
    <row r="78" spans="1:4" x14ac:dyDescent="0.25">
      <c r="A78" s="4" t="s">
        <v>870</v>
      </c>
      <c r="B78" s="4" t="s">
        <v>871</v>
      </c>
      <c r="C78" s="4" t="s">
        <v>872</v>
      </c>
      <c r="D78" s="4" t="s">
        <v>873</v>
      </c>
    </row>
    <row r="79" spans="1:4" x14ac:dyDescent="0.25">
      <c r="A79" s="4" t="s">
        <v>84</v>
      </c>
      <c r="B79" s="4" t="s">
        <v>874</v>
      </c>
      <c r="C79" s="4" t="s">
        <v>875</v>
      </c>
      <c r="D79" s="4" t="s">
        <v>876</v>
      </c>
    </row>
    <row r="80" spans="1:4" x14ac:dyDescent="0.25">
      <c r="A80" s="4" t="s">
        <v>877</v>
      </c>
      <c r="B80" s="4" t="s">
        <v>878</v>
      </c>
      <c r="C80" s="4" t="s">
        <v>879</v>
      </c>
      <c r="D80" s="4" t="s">
        <v>880</v>
      </c>
    </row>
    <row r="81" spans="1:4" x14ac:dyDescent="0.25">
      <c r="A81" s="4" t="s">
        <v>228</v>
      </c>
      <c r="B81" s="4" t="s">
        <v>881</v>
      </c>
      <c r="C81" s="4" t="s">
        <v>882</v>
      </c>
      <c r="D81" s="4" t="s">
        <v>883</v>
      </c>
    </row>
    <row r="82" spans="1:4" x14ac:dyDescent="0.25">
      <c r="A82" s="4" t="s">
        <v>884</v>
      </c>
      <c r="B82" s="4" t="s">
        <v>885</v>
      </c>
      <c r="C82" s="4" t="s">
        <v>886</v>
      </c>
      <c r="D82" s="4" t="s">
        <v>887</v>
      </c>
    </row>
    <row r="83" spans="1:4" x14ac:dyDescent="0.25">
      <c r="A83" s="4" t="s">
        <v>153</v>
      </c>
      <c r="B83" s="4" t="s">
        <v>888</v>
      </c>
      <c r="C83" s="4" t="s">
        <v>889</v>
      </c>
      <c r="D83" s="4" t="s">
        <v>890</v>
      </c>
    </row>
    <row r="84" spans="1:4" x14ac:dyDescent="0.25">
      <c r="A84" s="4" t="s">
        <v>346</v>
      </c>
      <c r="B84" s="4" t="s">
        <v>891</v>
      </c>
      <c r="C84" s="4" t="s">
        <v>892</v>
      </c>
      <c r="D84" s="4" t="s">
        <v>893</v>
      </c>
    </row>
    <row r="85" spans="1:4" x14ac:dyDescent="0.25">
      <c r="A85" s="4" t="s">
        <v>59</v>
      </c>
      <c r="B85" s="4" t="s">
        <v>894</v>
      </c>
      <c r="C85" s="4" t="s">
        <v>895</v>
      </c>
      <c r="D85" s="4" t="s">
        <v>896</v>
      </c>
    </row>
    <row r="86" spans="1:4" x14ac:dyDescent="0.25">
      <c r="A86" s="4" t="s">
        <v>175</v>
      </c>
      <c r="B86" s="4" t="s">
        <v>897</v>
      </c>
      <c r="C86" s="4" t="s">
        <v>898</v>
      </c>
      <c r="D86" s="4" t="s">
        <v>899</v>
      </c>
    </row>
    <row r="87" spans="1:4" x14ac:dyDescent="0.25">
      <c r="A87" s="4" t="s">
        <v>351</v>
      </c>
      <c r="B87" s="4" t="s">
        <v>900</v>
      </c>
      <c r="C87" s="4" t="s">
        <v>901</v>
      </c>
      <c r="D87" s="4" t="s">
        <v>902</v>
      </c>
    </row>
    <row r="88" spans="1:4" x14ac:dyDescent="0.25">
      <c r="A88" s="4" t="s">
        <v>96</v>
      </c>
      <c r="B88" s="4" t="s">
        <v>903</v>
      </c>
      <c r="C88" s="4" t="s">
        <v>904</v>
      </c>
      <c r="D88" s="4" t="s">
        <v>905</v>
      </c>
    </row>
    <row r="89" spans="1:4" x14ac:dyDescent="0.25">
      <c r="A89" s="4" t="s">
        <v>151</v>
      </c>
      <c r="B89" s="4" t="s">
        <v>906</v>
      </c>
      <c r="C89" s="4" t="s">
        <v>907</v>
      </c>
      <c r="D89" s="4" t="s">
        <v>908</v>
      </c>
    </row>
    <row r="90" spans="1:4" x14ac:dyDescent="0.25">
      <c r="A90" s="4" t="s">
        <v>909</v>
      </c>
      <c r="B90" s="4" t="s">
        <v>910</v>
      </c>
      <c r="C90" s="4" t="s">
        <v>911</v>
      </c>
      <c r="D90" s="4" t="s">
        <v>912</v>
      </c>
    </row>
    <row r="91" spans="1:4" x14ac:dyDescent="0.25">
      <c r="A91" s="4" t="s">
        <v>913</v>
      </c>
      <c r="B91" s="4" t="s">
        <v>914</v>
      </c>
      <c r="C91" s="4" t="s">
        <v>915</v>
      </c>
      <c r="D91" s="4" t="s">
        <v>916</v>
      </c>
    </row>
    <row r="92" spans="1:4" x14ac:dyDescent="0.25">
      <c r="A92" s="4" t="s">
        <v>65</v>
      </c>
      <c r="B92" s="4" t="s">
        <v>917</v>
      </c>
      <c r="C92" s="4" t="s">
        <v>918</v>
      </c>
      <c r="D92" s="4" t="s">
        <v>919</v>
      </c>
    </row>
    <row r="93" spans="1:4" x14ac:dyDescent="0.25">
      <c r="A93" s="4" t="s">
        <v>920</v>
      </c>
      <c r="B93" s="4" t="s">
        <v>921</v>
      </c>
      <c r="C93" s="4" t="s">
        <v>922</v>
      </c>
      <c r="D93" s="4" t="s">
        <v>923</v>
      </c>
    </row>
    <row r="94" spans="1:4" x14ac:dyDescent="0.25">
      <c r="A94" s="4" t="s">
        <v>82</v>
      </c>
      <c r="B94" s="4" t="s">
        <v>924</v>
      </c>
      <c r="C94" s="4" t="s">
        <v>925</v>
      </c>
      <c r="D94" s="4" t="s">
        <v>926</v>
      </c>
    </row>
    <row r="95" spans="1:4" x14ac:dyDescent="0.25">
      <c r="A95" s="4" t="s">
        <v>927</v>
      </c>
      <c r="B95" s="4" t="s">
        <v>928</v>
      </c>
      <c r="C95" s="4" t="s">
        <v>929</v>
      </c>
      <c r="D95" s="4" t="s">
        <v>930</v>
      </c>
    </row>
    <row r="96" spans="1:4" x14ac:dyDescent="0.25">
      <c r="A96" s="4" t="s">
        <v>179</v>
      </c>
      <c r="B96" s="4" t="s">
        <v>931</v>
      </c>
      <c r="C96" s="4" t="s">
        <v>932</v>
      </c>
      <c r="D96" s="4" t="s">
        <v>933</v>
      </c>
    </row>
    <row r="97" spans="1:4" x14ac:dyDescent="0.25">
      <c r="A97" s="4" t="s">
        <v>407</v>
      </c>
      <c r="B97" s="4" t="s">
        <v>934</v>
      </c>
      <c r="C97" s="4" t="s">
        <v>935</v>
      </c>
      <c r="D97" s="4" t="s">
        <v>936</v>
      </c>
    </row>
    <row r="98" spans="1:4" x14ac:dyDescent="0.25">
      <c r="A98" s="4" t="s">
        <v>937</v>
      </c>
      <c r="B98" s="4" t="s">
        <v>938</v>
      </c>
      <c r="C98" s="4" t="s">
        <v>939</v>
      </c>
      <c r="D98" s="4" t="s">
        <v>940</v>
      </c>
    </row>
    <row r="99" spans="1:4" x14ac:dyDescent="0.25">
      <c r="A99" s="4" t="s">
        <v>941</v>
      </c>
      <c r="B99" s="4" t="s">
        <v>942</v>
      </c>
      <c r="C99" s="4" t="s">
        <v>943</v>
      </c>
      <c r="D99" s="4" t="s">
        <v>944</v>
      </c>
    </row>
    <row r="100" spans="1:4" x14ac:dyDescent="0.25">
      <c r="A100" s="4" t="s">
        <v>945</v>
      </c>
      <c r="B100" s="4" t="s">
        <v>946</v>
      </c>
      <c r="C100" s="4" t="s">
        <v>947</v>
      </c>
      <c r="D100" s="4" t="s">
        <v>948</v>
      </c>
    </row>
    <row r="101" spans="1:4" x14ac:dyDescent="0.25">
      <c r="A101" s="4" t="s">
        <v>194</v>
      </c>
      <c r="B101" s="4" t="s">
        <v>949</v>
      </c>
      <c r="C101" s="4" t="s">
        <v>950</v>
      </c>
      <c r="D101" s="4" t="s">
        <v>951</v>
      </c>
    </row>
    <row r="102" spans="1:4" x14ac:dyDescent="0.25">
      <c r="A102" s="4" t="s">
        <v>9</v>
      </c>
      <c r="B102" s="4" t="s">
        <v>952</v>
      </c>
      <c r="C102" s="4" t="s">
        <v>953</v>
      </c>
      <c r="D102" s="4" t="s">
        <v>954</v>
      </c>
    </row>
    <row r="103" spans="1:4" x14ac:dyDescent="0.25">
      <c r="A103" s="4" t="s">
        <v>139</v>
      </c>
      <c r="B103" s="4" t="s">
        <v>955</v>
      </c>
      <c r="C103" s="4" t="s">
        <v>956</v>
      </c>
      <c r="D103" s="4" t="s">
        <v>957</v>
      </c>
    </row>
    <row r="104" spans="1:4" x14ac:dyDescent="0.25">
      <c r="A104" s="4" t="s">
        <v>32</v>
      </c>
      <c r="B104" s="4" t="s">
        <v>958</v>
      </c>
      <c r="C104" s="4" t="s">
        <v>959</v>
      </c>
      <c r="D104" s="4" t="s">
        <v>960</v>
      </c>
    </row>
    <row r="105" spans="1:4" x14ac:dyDescent="0.25">
      <c r="A105" s="4" t="s">
        <v>455</v>
      </c>
      <c r="B105" s="4" t="s">
        <v>961</v>
      </c>
      <c r="C105" s="4" t="s">
        <v>962</v>
      </c>
      <c r="D105" s="4" t="s">
        <v>963</v>
      </c>
    </row>
    <row r="106" spans="1:4" x14ac:dyDescent="0.25">
      <c r="A106" s="4" t="s">
        <v>964</v>
      </c>
      <c r="B106" s="4" t="s">
        <v>965</v>
      </c>
      <c r="C106" s="4" t="s">
        <v>966</v>
      </c>
      <c r="D106" s="4" t="s">
        <v>967</v>
      </c>
    </row>
    <row r="107" spans="1:4" x14ac:dyDescent="0.25">
      <c r="A107" s="4" t="s">
        <v>274</v>
      </c>
      <c r="B107" s="4" t="s">
        <v>968</v>
      </c>
      <c r="C107" s="4" t="s">
        <v>969</v>
      </c>
      <c r="D107" s="4" t="s">
        <v>970</v>
      </c>
    </row>
    <row r="108" spans="1:4" x14ac:dyDescent="0.25">
      <c r="A108" s="4" t="s">
        <v>184</v>
      </c>
      <c r="B108" s="4" t="s">
        <v>971</v>
      </c>
      <c r="C108" s="4" t="s">
        <v>972</v>
      </c>
      <c r="D108" s="4" t="s">
        <v>973</v>
      </c>
    </row>
    <row r="109" spans="1:4" x14ac:dyDescent="0.25">
      <c r="A109" s="4" t="s">
        <v>974</v>
      </c>
      <c r="B109" s="4" t="s">
        <v>975</v>
      </c>
      <c r="C109" s="4" t="s">
        <v>976</v>
      </c>
      <c r="D109" s="4" t="s">
        <v>977</v>
      </c>
    </row>
    <row r="110" spans="1:4" x14ac:dyDescent="0.25">
      <c r="A110" s="4" t="s">
        <v>144</v>
      </c>
      <c r="B110" s="4" t="s">
        <v>978</v>
      </c>
      <c r="C110" s="4" t="s">
        <v>979</v>
      </c>
      <c r="D110" s="4" t="s">
        <v>980</v>
      </c>
    </row>
    <row r="111" spans="1:4" x14ac:dyDescent="0.25">
      <c r="A111" s="4" t="s">
        <v>388</v>
      </c>
      <c r="B111" s="4" t="s">
        <v>981</v>
      </c>
      <c r="C111" s="4" t="s">
        <v>982</v>
      </c>
      <c r="D111" s="4" t="s">
        <v>983</v>
      </c>
    </row>
    <row r="112" spans="1:4" x14ac:dyDescent="0.25">
      <c r="A112" s="4" t="s">
        <v>132</v>
      </c>
      <c r="B112" s="4" t="s">
        <v>984</v>
      </c>
      <c r="C112" s="4" t="s">
        <v>985</v>
      </c>
      <c r="D112" s="4" t="s">
        <v>986</v>
      </c>
    </row>
    <row r="113" spans="1:4" x14ac:dyDescent="0.25">
      <c r="A113" s="4" t="s">
        <v>123</v>
      </c>
      <c r="B113" s="4" t="s">
        <v>987</v>
      </c>
      <c r="C113" s="4" t="s">
        <v>988</v>
      </c>
      <c r="D113" s="4" t="s">
        <v>989</v>
      </c>
    </row>
    <row r="114" spans="1:4" x14ac:dyDescent="0.25">
      <c r="A114" s="4" t="s">
        <v>990</v>
      </c>
      <c r="B114" s="4" t="s">
        <v>991</v>
      </c>
      <c r="C114" s="4" t="s">
        <v>992</v>
      </c>
      <c r="D114" s="4" t="s">
        <v>993</v>
      </c>
    </row>
    <row r="115" spans="1:4" x14ac:dyDescent="0.25">
      <c r="A115" s="4" t="s">
        <v>310</v>
      </c>
      <c r="B115" s="4" t="s">
        <v>994</v>
      </c>
      <c r="C115" s="4" t="s">
        <v>995</v>
      </c>
      <c r="D115" s="4" t="s">
        <v>996</v>
      </c>
    </row>
    <row r="116" spans="1:4" x14ac:dyDescent="0.25">
      <c r="A116" s="4" t="s">
        <v>192</v>
      </c>
      <c r="B116" s="4" t="s">
        <v>997</v>
      </c>
      <c r="C116" s="4" t="s">
        <v>998</v>
      </c>
      <c r="D116" s="4" t="s">
        <v>999</v>
      </c>
    </row>
    <row r="117" spans="1:4" x14ac:dyDescent="0.25">
      <c r="A117" s="4" t="s">
        <v>101</v>
      </c>
      <c r="B117" s="4" t="s">
        <v>1000</v>
      </c>
      <c r="C117" s="4" t="s">
        <v>1001</v>
      </c>
      <c r="D117" s="4" t="s">
        <v>1002</v>
      </c>
    </row>
    <row r="118" spans="1:4" x14ac:dyDescent="0.25">
      <c r="A118" s="4" t="s">
        <v>1003</v>
      </c>
      <c r="B118" s="4" t="s">
        <v>1004</v>
      </c>
      <c r="C118" s="4" t="s">
        <v>1005</v>
      </c>
      <c r="D118" s="4" t="s">
        <v>1006</v>
      </c>
    </row>
    <row r="119" spans="1:4" x14ac:dyDescent="0.25">
      <c r="A119" s="4" t="s">
        <v>1007</v>
      </c>
      <c r="B119" s="4" t="s">
        <v>1008</v>
      </c>
      <c r="C119" s="4" t="s">
        <v>1009</v>
      </c>
      <c r="D119" s="4" t="s">
        <v>1010</v>
      </c>
    </row>
    <row r="120" spans="1:4" x14ac:dyDescent="0.25">
      <c r="A120" s="4" t="s">
        <v>1011</v>
      </c>
      <c r="B120" s="4" t="s">
        <v>1012</v>
      </c>
      <c r="C120" s="4" t="s">
        <v>1013</v>
      </c>
      <c r="D120" s="4" t="s">
        <v>1014</v>
      </c>
    </row>
    <row r="121" spans="1:4" x14ac:dyDescent="0.25">
      <c r="A121" s="4" t="s">
        <v>337</v>
      </c>
      <c r="B121" s="4" t="s">
        <v>1015</v>
      </c>
      <c r="C121" s="4" t="s">
        <v>1016</v>
      </c>
      <c r="D121" s="4" t="s">
        <v>1017</v>
      </c>
    </row>
    <row r="122" spans="1:4" x14ac:dyDescent="0.25">
      <c r="A122" s="4" t="s">
        <v>223</v>
      </c>
      <c r="B122" s="4" t="s">
        <v>1018</v>
      </c>
      <c r="C122" s="4" t="s">
        <v>1019</v>
      </c>
      <c r="D122" s="4" t="s">
        <v>1020</v>
      </c>
    </row>
    <row r="123" spans="1:4" x14ac:dyDescent="0.25">
      <c r="A123" s="4" t="s">
        <v>1021</v>
      </c>
      <c r="B123" s="4" t="s">
        <v>1022</v>
      </c>
      <c r="C123" s="4" t="s">
        <v>1023</v>
      </c>
      <c r="D123" s="4" t="s">
        <v>1024</v>
      </c>
    </row>
    <row r="124" spans="1:4" x14ac:dyDescent="0.25">
      <c r="A124" s="4" t="s">
        <v>173</v>
      </c>
      <c r="B124" s="4" t="s">
        <v>1025</v>
      </c>
      <c r="C124" s="4" t="s">
        <v>1026</v>
      </c>
      <c r="D124" s="4" t="s">
        <v>1027</v>
      </c>
    </row>
    <row r="125" spans="1:4" x14ac:dyDescent="0.25">
      <c r="A125" s="4" t="s">
        <v>460</v>
      </c>
      <c r="B125" s="4" t="s">
        <v>1028</v>
      </c>
      <c r="C125" s="4" t="s">
        <v>1029</v>
      </c>
      <c r="D125" s="4" t="s">
        <v>1030</v>
      </c>
    </row>
    <row r="126" spans="1:4" x14ac:dyDescent="0.25">
      <c r="A126" s="4" t="s">
        <v>1031</v>
      </c>
      <c r="B126" s="4" t="s">
        <v>1032</v>
      </c>
      <c r="C126" s="4" t="s">
        <v>1033</v>
      </c>
      <c r="D126" s="4" t="s">
        <v>1034</v>
      </c>
    </row>
    <row r="127" spans="1:4" x14ac:dyDescent="0.25">
      <c r="A127" s="4" t="s">
        <v>190</v>
      </c>
      <c r="B127" s="4" t="s">
        <v>1035</v>
      </c>
      <c r="C127" s="4" t="s">
        <v>1036</v>
      </c>
      <c r="D127" s="4" t="s">
        <v>1037</v>
      </c>
    </row>
    <row r="128" spans="1:4" x14ac:dyDescent="0.25">
      <c r="A128" s="4" t="s">
        <v>372</v>
      </c>
      <c r="B128" s="4" t="s">
        <v>1038</v>
      </c>
      <c r="C128" s="4" t="s">
        <v>1039</v>
      </c>
      <c r="D128" s="4" t="s">
        <v>1040</v>
      </c>
    </row>
    <row r="129" spans="1:4" x14ac:dyDescent="0.25">
      <c r="A129" s="4" t="s">
        <v>462</v>
      </c>
      <c r="B129" s="4" t="s">
        <v>1041</v>
      </c>
      <c r="C129" s="4" t="s">
        <v>1042</v>
      </c>
      <c r="D129" s="4" t="s">
        <v>1043</v>
      </c>
    </row>
    <row r="130" spans="1:4" x14ac:dyDescent="0.25">
      <c r="A130" s="4" t="s">
        <v>76</v>
      </c>
      <c r="B130" s="4" t="s">
        <v>1044</v>
      </c>
      <c r="C130" s="4" t="s">
        <v>1045</v>
      </c>
      <c r="D130" s="4" t="s">
        <v>1046</v>
      </c>
    </row>
    <row r="131" spans="1:4" x14ac:dyDescent="0.25">
      <c r="A131" s="4" t="s">
        <v>177</v>
      </c>
      <c r="B131" s="4" t="s">
        <v>1047</v>
      </c>
      <c r="C131" s="4" t="s">
        <v>1048</v>
      </c>
      <c r="D131" s="4" t="s">
        <v>1049</v>
      </c>
    </row>
    <row r="132" spans="1:4" x14ac:dyDescent="0.25">
      <c r="A132" s="4" t="s">
        <v>550</v>
      </c>
      <c r="B132" s="4" t="s">
        <v>1050</v>
      </c>
      <c r="C132" s="4" t="s">
        <v>1051</v>
      </c>
      <c r="D132" s="4" t="s">
        <v>1052</v>
      </c>
    </row>
    <row r="133" spans="1:4" x14ac:dyDescent="0.25">
      <c r="A133" s="4" t="s">
        <v>537</v>
      </c>
      <c r="B133" s="4" t="s">
        <v>1053</v>
      </c>
      <c r="C133" s="4" t="s">
        <v>1054</v>
      </c>
      <c r="D133" s="4" t="s">
        <v>1055</v>
      </c>
    </row>
    <row r="134" spans="1:4" x14ac:dyDescent="0.25">
      <c r="A134" s="4" t="s">
        <v>1056</v>
      </c>
      <c r="B134" s="4" t="s">
        <v>1057</v>
      </c>
      <c r="C134" s="4" t="s">
        <v>1058</v>
      </c>
      <c r="D134" s="4" t="s">
        <v>1059</v>
      </c>
    </row>
    <row r="135" spans="1:4" x14ac:dyDescent="0.25">
      <c r="A135" s="4" t="s">
        <v>322</v>
      </c>
      <c r="B135" s="4" t="s">
        <v>1060</v>
      </c>
      <c r="C135" s="4" t="s">
        <v>1061</v>
      </c>
      <c r="D135" s="4" t="s">
        <v>1062</v>
      </c>
    </row>
    <row r="136" spans="1:4" x14ac:dyDescent="0.25">
      <c r="A136" s="4" t="s">
        <v>565</v>
      </c>
      <c r="B136" s="4" t="s">
        <v>1063</v>
      </c>
      <c r="C136" s="4" t="s">
        <v>1064</v>
      </c>
      <c r="D136" s="4" t="s">
        <v>1065</v>
      </c>
    </row>
    <row r="137" spans="1:4" x14ac:dyDescent="0.25">
      <c r="A137" s="4" t="s">
        <v>15</v>
      </c>
      <c r="B137" s="4" t="s">
        <v>1066</v>
      </c>
      <c r="C137" s="4" t="s">
        <v>1067</v>
      </c>
      <c r="D137" s="4" t="s">
        <v>1068</v>
      </c>
    </row>
    <row r="138" spans="1:4" x14ac:dyDescent="0.25">
      <c r="A138" s="4" t="s">
        <v>260</v>
      </c>
      <c r="B138" s="4" t="s">
        <v>1069</v>
      </c>
      <c r="C138" s="4" t="s">
        <v>1070</v>
      </c>
      <c r="D138" s="4" t="s">
        <v>1071</v>
      </c>
    </row>
    <row r="139" spans="1:4" x14ac:dyDescent="0.25">
      <c r="A139" s="4" t="s">
        <v>1072</v>
      </c>
      <c r="B139" s="4" t="s">
        <v>1073</v>
      </c>
      <c r="C139" s="4" t="s">
        <v>1074</v>
      </c>
      <c r="D139" s="4" t="s">
        <v>1075</v>
      </c>
    </row>
    <row r="140" spans="1:4" x14ac:dyDescent="0.25">
      <c r="A140" s="4" t="s">
        <v>1076</v>
      </c>
      <c r="B140" s="4" t="s">
        <v>1077</v>
      </c>
      <c r="C140" s="4" t="s">
        <v>1078</v>
      </c>
      <c r="D140" s="4" t="s">
        <v>1079</v>
      </c>
    </row>
    <row r="141" spans="1:4" x14ac:dyDescent="0.25">
      <c r="A141" s="4" t="s">
        <v>219</v>
      </c>
      <c r="B141" s="4" t="s">
        <v>1080</v>
      </c>
      <c r="C141" s="4" t="s">
        <v>1081</v>
      </c>
      <c r="D141" s="4" t="s">
        <v>1082</v>
      </c>
    </row>
    <row r="142" spans="1:4" x14ac:dyDescent="0.25">
      <c r="A142" s="4" t="s">
        <v>257</v>
      </c>
      <c r="B142" s="4" t="s">
        <v>1083</v>
      </c>
      <c r="C142" s="4" t="s">
        <v>1084</v>
      </c>
      <c r="D142" s="4" t="s">
        <v>1085</v>
      </c>
    </row>
    <row r="143" spans="1:4" x14ac:dyDescent="0.25">
      <c r="A143" s="4" t="s">
        <v>1086</v>
      </c>
      <c r="B143" s="4" t="s">
        <v>1087</v>
      </c>
      <c r="C143" s="4" t="s">
        <v>1088</v>
      </c>
      <c r="D143" s="4" t="s">
        <v>1089</v>
      </c>
    </row>
    <row r="144" spans="1:4" x14ac:dyDescent="0.25">
      <c r="A144" s="4" t="s">
        <v>17</v>
      </c>
      <c r="B144" s="4" t="s">
        <v>1090</v>
      </c>
      <c r="C144" s="4" t="s">
        <v>1091</v>
      </c>
      <c r="D144" s="4" t="s">
        <v>1092</v>
      </c>
    </row>
    <row r="145" spans="1:4" x14ac:dyDescent="0.25">
      <c r="A145" s="4" t="s">
        <v>1093</v>
      </c>
      <c r="B145" s="4" t="s">
        <v>1094</v>
      </c>
      <c r="C145" s="4" t="s">
        <v>1095</v>
      </c>
      <c r="D145" s="4" t="s">
        <v>1096</v>
      </c>
    </row>
    <row r="146" spans="1:4" x14ac:dyDescent="0.25">
      <c r="A146" s="4" t="s">
        <v>1097</v>
      </c>
      <c r="B146" s="4" t="s">
        <v>1098</v>
      </c>
      <c r="C146" s="4" t="s">
        <v>1099</v>
      </c>
      <c r="D146" s="4" t="s">
        <v>1100</v>
      </c>
    </row>
    <row r="147" spans="1:4" x14ac:dyDescent="0.25">
      <c r="A147" s="4" t="s">
        <v>480</v>
      </c>
      <c r="B147" s="4" t="s">
        <v>1101</v>
      </c>
      <c r="C147" s="4" t="s">
        <v>1102</v>
      </c>
      <c r="D147" s="4" t="s">
        <v>1103</v>
      </c>
    </row>
    <row r="148" spans="1:4" x14ac:dyDescent="0.25">
      <c r="A148" s="4" t="s">
        <v>506</v>
      </c>
      <c r="B148" s="4" t="s">
        <v>1104</v>
      </c>
      <c r="C148" s="4" t="s">
        <v>1105</v>
      </c>
      <c r="D148" s="4" t="s">
        <v>1106</v>
      </c>
    </row>
    <row r="149" spans="1:4" x14ac:dyDescent="0.25">
      <c r="A149" s="4" t="s">
        <v>211</v>
      </c>
      <c r="B149" s="4" t="s">
        <v>1107</v>
      </c>
      <c r="C149" s="4" t="s">
        <v>1108</v>
      </c>
      <c r="D149" s="4" t="s">
        <v>1109</v>
      </c>
    </row>
    <row r="150" spans="1:4" x14ac:dyDescent="0.25">
      <c r="A150" s="4" t="s">
        <v>235</v>
      </c>
      <c r="B150" s="4" t="s">
        <v>1110</v>
      </c>
      <c r="C150" s="4" t="s">
        <v>1111</v>
      </c>
      <c r="D150" s="4" t="s">
        <v>1112</v>
      </c>
    </row>
    <row r="151" spans="1:4" x14ac:dyDescent="0.25">
      <c r="A151" s="4" t="s">
        <v>148</v>
      </c>
      <c r="B151" s="4" t="s">
        <v>1113</v>
      </c>
      <c r="C151" s="4" t="s">
        <v>1114</v>
      </c>
      <c r="D151" s="4" t="s">
        <v>1115</v>
      </c>
    </row>
    <row r="152" spans="1:4" x14ac:dyDescent="0.25">
      <c r="A152" s="4" t="s">
        <v>298</v>
      </c>
      <c r="B152" s="4" t="s">
        <v>1116</v>
      </c>
      <c r="C152" s="4" t="s">
        <v>1117</v>
      </c>
      <c r="D152" s="4" t="s">
        <v>1118</v>
      </c>
    </row>
    <row r="153" spans="1:4" x14ac:dyDescent="0.25">
      <c r="A153" s="4" t="s">
        <v>1119</v>
      </c>
      <c r="B153" s="4" t="s">
        <v>1120</v>
      </c>
      <c r="C153" s="4" t="s">
        <v>1121</v>
      </c>
      <c r="D153" s="4" t="s">
        <v>1122</v>
      </c>
    </row>
    <row r="154" spans="1:4" x14ac:dyDescent="0.25">
      <c r="A154" s="4" t="s">
        <v>447</v>
      </c>
      <c r="B154" s="4" t="s">
        <v>1123</v>
      </c>
      <c r="C154" s="4" t="s">
        <v>1124</v>
      </c>
      <c r="D154" s="4" t="s">
        <v>1125</v>
      </c>
    </row>
    <row r="155" spans="1:4" x14ac:dyDescent="0.25">
      <c r="A155" s="4" t="s">
        <v>1126</v>
      </c>
      <c r="B155" s="4" t="s">
        <v>1127</v>
      </c>
      <c r="C155" s="4" t="s">
        <v>1128</v>
      </c>
      <c r="D155" s="4" t="s">
        <v>1129</v>
      </c>
    </row>
    <row r="156" spans="1:4" x14ac:dyDescent="0.25">
      <c r="A156" s="4" t="s">
        <v>334</v>
      </c>
      <c r="B156" s="4" t="s">
        <v>1130</v>
      </c>
      <c r="C156" s="4" t="s">
        <v>1131</v>
      </c>
      <c r="D156" s="4" t="s">
        <v>1132</v>
      </c>
    </row>
    <row r="157" spans="1:4" x14ac:dyDescent="0.25">
      <c r="A157" s="4" t="s">
        <v>1133</v>
      </c>
      <c r="B157" s="4" t="s">
        <v>1134</v>
      </c>
      <c r="C157" s="4" t="s">
        <v>1135</v>
      </c>
      <c r="D157" s="4" t="s">
        <v>1136</v>
      </c>
    </row>
    <row r="158" spans="1:4" x14ac:dyDescent="0.25">
      <c r="A158" s="4" t="s">
        <v>1137</v>
      </c>
      <c r="B158" s="4" t="s">
        <v>1138</v>
      </c>
      <c r="C158" s="4" t="s">
        <v>1139</v>
      </c>
      <c r="D158" s="4" t="s">
        <v>1140</v>
      </c>
    </row>
    <row r="159" spans="1:4" x14ac:dyDescent="0.25">
      <c r="A159" s="4" t="s">
        <v>34</v>
      </c>
      <c r="B159" s="4" t="s">
        <v>1141</v>
      </c>
      <c r="C159" s="4" t="s">
        <v>1142</v>
      </c>
      <c r="D159" s="4" t="s">
        <v>1143</v>
      </c>
    </row>
    <row r="160" spans="1:4" x14ac:dyDescent="0.25">
      <c r="A160" s="4" t="s">
        <v>308</v>
      </c>
      <c r="B160" s="4" t="s">
        <v>1144</v>
      </c>
      <c r="C160" s="4" t="s">
        <v>1145</v>
      </c>
      <c r="D160" s="4" t="s">
        <v>1146</v>
      </c>
    </row>
    <row r="161" spans="1:4" x14ac:dyDescent="0.25">
      <c r="A161" s="4" t="s">
        <v>1147</v>
      </c>
      <c r="B161" s="4" t="s">
        <v>1148</v>
      </c>
      <c r="C161" s="4" t="s">
        <v>1149</v>
      </c>
      <c r="D161" s="4" t="s">
        <v>1150</v>
      </c>
    </row>
    <row r="162" spans="1:4" x14ac:dyDescent="0.25">
      <c r="A162" s="4" t="s">
        <v>453</v>
      </c>
      <c r="B162" s="4" t="s">
        <v>1151</v>
      </c>
      <c r="C162" s="4" t="s">
        <v>1152</v>
      </c>
      <c r="D162" s="4" t="s">
        <v>1153</v>
      </c>
    </row>
    <row r="163" spans="1:4" x14ac:dyDescent="0.25">
      <c r="A163" s="4" t="s">
        <v>1154</v>
      </c>
      <c r="B163" s="4" t="s">
        <v>1155</v>
      </c>
      <c r="C163" s="4" t="s">
        <v>1156</v>
      </c>
      <c r="D163" s="4" t="s">
        <v>1157</v>
      </c>
    </row>
    <row r="164" spans="1:4" x14ac:dyDescent="0.25">
      <c r="A164" s="4" t="s">
        <v>1158</v>
      </c>
      <c r="B164" s="4" t="s">
        <v>1159</v>
      </c>
      <c r="C164" s="4" t="s">
        <v>1160</v>
      </c>
      <c r="D164" s="4" t="s">
        <v>1161</v>
      </c>
    </row>
    <row r="165" spans="1:4" x14ac:dyDescent="0.25">
      <c r="A165" s="4" t="s">
        <v>1162</v>
      </c>
      <c r="B165" s="4" t="s">
        <v>1163</v>
      </c>
      <c r="C165" s="4" t="s">
        <v>1164</v>
      </c>
      <c r="D165" s="4" t="s">
        <v>1165</v>
      </c>
    </row>
    <row r="166" spans="1:4" x14ac:dyDescent="0.25">
      <c r="A166" s="4" t="s">
        <v>403</v>
      </c>
      <c r="B166" s="4" t="s">
        <v>1166</v>
      </c>
      <c r="C166" s="4" t="s">
        <v>1167</v>
      </c>
      <c r="D166" s="4" t="s">
        <v>1168</v>
      </c>
    </row>
    <row r="167" spans="1:4" x14ac:dyDescent="0.25">
      <c r="A167" s="4" t="s">
        <v>277</v>
      </c>
      <c r="B167" s="4" t="s">
        <v>1169</v>
      </c>
      <c r="C167" s="4" t="s">
        <v>1170</v>
      </c>
      <c r="D167" s="4" t="s">
        <v>1171</v>
      </c>
    </row>
    <row r="168" spans="1:4" x14ac:dyDescent="0.25">
      <c r="A168" s="4" t="s">
        <v>181</v>
      </c>
      <c r="B168" s="4" t="s">
        <v>1172</v>
      </c>
      <c r="C168" s="4" t="s">
        <v>1173</v>
      </c>
      <c r="D168" s="4" t="s">
        <v>1174</v>
      </c>
    </row>
    <row r="169" spans="1:4" x14ac:dyDescent="0.25">
      <c r="A169" s="4" t="s">
        <v>490</v>
      </c>
      <c r="B169" s="4" t="s">
        <v>1175</v>
      </c>
      <c r="C169" s="4" t="s">
        <v>1176</v>
      </c>
      <c r="D169" s="4" t="s">
        <v>1177</v>
      </c>
    </row>
    <row r="170" spans="1:4" x14ac:dyDescent="0.25">
      <c r="A170" s="4" t="s">
        <v>1178</v>
      </c>
      <c r="B170" s="4" t="s">
        <v>1179</v>
      </c>
      <c r="C170" s="4" t="s">
        <v>1180</v>
      </c>
      <c r="D170" s="4" t="s">
        <v>1181</v>
      </c>
    </row>
    <row r="171" spans="1:4" x14ac:dyDescent="0.25">
      <c r="A171" s="4" t="s">
        <v>292</v>
      </c>
      <c r="B171" s="4" t="s">
        <v>1182</v>
      </c>
      <c r="C171" s="4" t="s">
        <v>1183</v>
      </c>
      <c r="D171" s="4" t="s">
        <v>1184</v>
      </c>
    </row>
    <row r="172" spans="1:4" x14ac:dyDescent="0.25">
      <c r="A172" s="4" t="s">
        <v>493</v>
      </c>
      <c r="B172" s="4" t="s">
        <v>1185</v>
      </c>
      <c r="C172" s="4" t="s">
        <v>1186</v>
      </c>
      <c r="D172" s="4" t="s">
        <v>1187</v>
      </c>
    </row>
    <row r="173" spans="1:4" x14ac:dyDescent="0.25">
      <c r="A173" s="4" t="s">
        <v>22</v>
      </c>
      <c r="B173" s="4" t="s">
        <v>1188</v>
      </c>
      <c r="C173" s="4" t="s">
        <v>1189</v>
      </c>
      <c r="D173" s="4" t="s">
        <v>1190</v>
      </c>
    </row>
    <row r="174" spans="1:4" x14ac:dyDescent="0.25">
      <c r="A174" s="4" t="s">
        <v>125</v>
      </c>
      <c r="B174" s="4" t="s">
        <v>1191</v>
      </c>
      <c r="C174" s="4" t="s">
        <v>1192</v>
      </c>
      <c r="D174" s="4" t="s">
        <v>1193</v>
      </c>
    </row>
    <row r="175" spans="1:4" x14ac:dyDescent="0.25">
      <c r="A175" s="4" t="s">
        <v>1194</v>
      </c>
      <c r="B175" s="4" t="s">
        <v>1195</v>
      </c>
      <c r="C175" s="4" t="s">
        <v>1196</v>
      </c>
      <c r="D175" s="4" t="s">
        <v>1197</v>
      </c>
    </row>
    <row r="176" spans="1:4" x14ac:dyDescent="0.25">
      <c r="A176" s="4" t="s">
        <v>1198</v>
      </c>
      <c r="B176" s="4" t="s">
        <v>1199</v>
      </c>
      <c r="C176" s="4" t="s">
        <v>1200</v>
      </c>
      <c r="D176" s="4" t="s">
        <v>1201</v>
      </c>
    </row>
    <row r="177" spans="1:4" x14ac:dyDescent="0.25">
      <c r="A177" s="4" t="s">
        <v>242</v>
      </c>
      <c r="B177" s="4" t="s">
        <v>1202</v>
      </c>
      <c r="C177" s="4" t="s">
        <v>1203</v>
      </c>
      <c r="D177" s="4" t="s">
        <v>1204</v>
      </c>
    </row>
    <row r="178" spans="1:4" x14ac:dyDescent="0.25">
      <c r="A178" s="4" t="s">
        <v>110</v>
      </c>
      <c r="B178" s="4" t="s">
        <v>1205</v>
      </c>
      <c r="C178" s="4" t="s">
        <v>1206</v>
      </c>
      <c r="D178" s="4" t="s">
        <v>1207</v>
      </c>
    </row>
    <row r="179" spans="1:4" x14ac:dyDescent="0.25">
      <c r="A179" s="4" t="s">
        <v>7</v>
      </c>
      <c r="B179" s="4" t="s">
        <v>1208</v>
      </c>
      <c r="C179" s="4" t="s">
        <v>1209</v>
      </c>
      <c r="D179" s="4" t="s">
        <v>1210</v>
      </c>
    </row>
    <row r="180" spans="1:4" x14ac:dyDescent="0.25">
      <c r="A180" s="4" t="s">
        <v>396</v>
      </c>
      <c r="B180" s="4" t="s">
        <v>1211</v>
      </c>
      <c r="C180" s="4" t="s">
        <v>1212</v>
      </c>
      <c r="D180" s="4" t="s">
        <v>1213</v>
      </c>
    </row>
    <row r="181" spans="1:4" x14ac:dyDescent="0.25">
      <c r="A181" s="4" t="s">
        <v>1214</v>
      </c>
      <c r="B181" s="4" t="s">
        <v>1215</v>
      </c>
      <c r="C181" s="4" t="s">
        <v>1216</v>
      </c>
      <c r="D181" s="4" t="s">
        <v>1217</v>
      </c>
    </row>
    <row r="182" spans="1:4" x14ac:dyDescent="0.25">
      <c r="A182" s="4" t="s">
        <v>28</v>
      </c>
      <c r="B182" s="4" t="s">
        <v>1218</v>
      </c>
      <c r="C182" s="4" t="s">
        <v>1219</v>
      </c>
      <c r="D182" s="4" t="s">
        <v>1220</v>
      </c>
    </row>
    <row r="183" spans="1:4" x14ac:dyDescent="0.25">
      <c r="A183" s="4" t="s">
        <v>1221</v>
      </c>
      <c r="B183" s="4" t="s">
        <v>1222</v>
      </c>
      <c r="C183" s="4" t="s">
        <v>1223</v>
      </c>
      <c r="D183" s="4" t="s">
        <v>1224</v>
      </c>
    </row>
    <row r="184" spans="1:4" x14ac:dyDescent="0.25">
      <c r="A184" s="4" t="s">
        <v>69</v>
      </c>
      <c r="B184" s="4" t="s">
        <v>1225</v>
      </c>
      <c r="C184" s="4" t="s">
        <v>1226</v>
      </c>
      <c r="D184" s="4" t="s">
        <v>1227</v>
      </c>
    </row>
    <row r="185" spans="1:4" x14ac:dyDescent="0.25">
      <c r="A185" s="4" t="s">
        <v>1228</v>
      </c>
      <c r="B185" s="4" t="s">
        <v>1229</v>
      </c>
      <c r="C185" s="4" t="s">
        <v>1230</v>
      </c>
      <c r="D185" s="4" t="s">
        <v>1231</v>
      </c>
    </row>
    <row r="186" spans="1:4" x14ac:dyDescent="0.25">
      <c r="A186" s="4" t="s">
        <v>1232</v>
      </c>
      <c r="B186" s="4" t="s">
        <v>1233</v>
      </c>
      <c r="C186" s="4" t="s">
        <v>1234</v>
      </c>
      <c r="D186" s="4" t="s">
        <v>1235</v>
      </c>
    </row>
    <row r="187" spans="1:4" x14ac:dyDescent="0.25">
      <c r="A187" s="4" t="s">
        <v>1236</v>
      </c>
      <c r="B187" s="4" t="s">
        <v>1237</v>
      </c>
      <c r="C187" s="4" t="s">
        <v>1238</v>
      </c>
      <c r="D187" s="4" t="s">
        <v>1239</v>
      </c>
    </row>
    <row r="188" spans="1:4" x14ac:dyDescent="0.25">
      <c r="A188" s="4" t="s">
        <v>573</v>
      </c>
      <c r="B188" s="4" t="s">
        <v>1240</v>
      </c>
      <c r="C188" s="4" t="s">
        <v>1241</v>
      </c>
      <c r="D188" s="4" t="s">
        <v>1242</v>
      </c>
    </row>
    <row r="189" spans="1:4" x14ac:dyDescent="0.25">
      <c r="A189" s="4" t="s">
        <v>225</v>
      </c>
      <c r="B189" s="4" t="s">
        <v>1243</v>
      </c>
      <c r="C189" s="4" t="s">
        <v>1244</v>
      </c>
      <c r="D189" s="4" t="s">
        <v>1245</v>
      </c>
    </row>
    <row r="190" spans="1:4" x14ac:dyDescent="0.25">
      <c r="A190" s="4" t="s">
        <v>1246</v>
      </c>
      <c r="B190" s="4" t="s">
        <v>1247</v>
      </c>
      <c r="C190" s="4" t="s">
        <v>1248</v>
      </c>
      <c r="D190" s="4" t="s">
        <v>1249</v>
      </c>
    </row>
    <row r="191" spans="1:4" x14ac:dyDescent="0.25">
      <c r="A191" s="4" t="s">
        <v>1250</v>
      </c>
      <c r="B191" s="4" t="s">
        <v>1251</v>
      </c>
      <c r="C191" s="4" t="s">
        <v>1252</v>
      </c>
      <c r="D191" s="4" t="s">
        <v>1253</v>
      </c>
    </row>
    <row r="192" spans="1:4" x14ac:dyDescent="0.25">
      <c r="A192" s="4" t="s">
        <v>155</v>
      </c>
      <c r="B192" s="4" t="s">
        <v>1254</v>
      </c>
      <c r="C192" s="4" t="s">
        <v>1255</v>
      </c>
      <c r="D192" s="4" t="s">
        <v>1256</v>
      </c>
    </row>
    <row r="193" spans="1:4" x14ac:dyDescent="0.25">
      <c r="A193" s="4" t="s">
        <v>129</v>
      </c>
      <c r="B193" s="4" t="s">
        <v>1257</v>
      </c>
      <c r="C193" s="4" t="s">
        <v>1258</v>
      </c>
      <c r="D193" s="4" t="s">
        <v>1259</v>
      </c>
    </row>
    <row r="194" spans="1:4" x14ac:dyDescent="0.25">
      <c r="A194" s="4" t="s">
        <v>1260</v>
      </c>
      <c r="B194" s="4" t="s">
        <v>1261</v>
      </c>
      <c r="C194" s="4" t="s">
        <v>1262</v>
      </c>
      <c r="D194" s="4" t="s">
        <v>1263</v>
      </c>
    </row>
    <row r="195" spans="1:4" x14ac:dyDescent="0.25">
      <c r="A195" s="4" t="s">
        <v>361</v>
      </c>
      <c r="B195" s="4" t="s">
        <v>1264</v>
      </c>
      <c r="C195" s="4" t="s">
        <v>1265</v>
      </c>
      <c r="D195" s="4" t="s">
        <v>1266</v>
      </c>
    </row>
    <row r="196" spans="1:4" x14ac:dyDescent="0.25">
      <c r="A196" s="4" t="s">
        <v>288</v>
      </c>
      <c r="B196" s="4" t="s">
        <v>1267</v>
      </c>
      <c r="C196" s="4" t="s">
        <v>1268</v>
      </c>
      <c r="D196" s="4" t="s">
        <v>1269</v>
      </c>
    </row>
    <row r="197" spans="1:4" x14ac:dyDescent="0.25">
      <c r="A197" s="4" t="s">
        <v>161</v>
      </c>
      <c r="B197" s="4" t="s">
        <v>1270</v>
      </c>
      <c r="C197" s="4" t="s">
        <v>1271</v>
      </c>
      <c r="D197" s="4" t="s">
        <v>1272</v>
      </c>
    </row>
    <row r="198" spans="1:4" x14ac:dyDescent="0.25">
      <c r="A198" s="4" t="s">
        <v>30</v>
      </c>
      <c r="B198" s="4" t="s">
        <v>1273</v>
      </c>
      <c r="C198" s="4" t="s">
        <v>1274</v>
      </c>
      <c r="D198" s="4" t="s">
        <v>1275</v>
      </c>
    </row>
    <row r="199" spans="1:4" x14ac:dyDescent="0.25">
      <c r="A199" s="4" t="s">
        <v>332</v>
      </c>
      <c r="B199" s="4" t="s">
        <v>1276</v>
      </c>
      <c r="C199" s="4" t="s">
        <v>1277</v>
      </c>
      <c r="D199" s="4" t="s">
        <v>1278</v>
      </c>
    </row>
    <row r="200" spans="1:4" x14ac:dyDescent="0.25">
      <c r="A200" s="4" t="s">
        <v>1279</v>
      </c>
      <c r="B200" s="4" t="s">
        <v>1280</v>
      </c>
      <c r="C200" s="4" t="s">
        <v>1281</v>
      </c>
      <c r="D200" s="4" t="s">
        <v>1282</v>
      </c>
    </row>
    <row r="201" spans="1:4" x14ac:dyDescent="0.25">
      <c r="A201" s="4" t="s">
        <v>328</v>
      </c>
      <c r="B201" s="4" t="s">
        <v>1283</v>
      </c>
      <c r="C201" s="4" t="s">
        <v>1284</v>
      </c>
      <c r="D201" s="4" t="s">
        <v>1285</v>
      </c>
    </row>
    <row r="202" spans="1:4" x14ac:dyDescent="0.25">
      <c r="A202" s="4" t="s">
        <v>1286</v>
      </c>
      <c r="B202" s="4" t="s">
        <v>1287</v>
      </c>
      <c r="C202" s="4" t="s">
        <v>1288</v>
      </c>
      <c r="D202" s="4" t="s">
        <v>1289</v>
      </c>
    </row>
    <row r="203" spans="1:4" x14ac:dyDescent="0.25">
      <c r="A203" s="4" t="s">
        <v>1290</v>
      </c>
      <c r="B203" s="4" t="s">
        <v>1291</v>
      </c>
      <c r="C203" s="4" t="s">
        <v>1292</v>
      </c>
      <c r="D203" s="4" t="s">
        <v>1293</v>
      </c>
    </row>
    <row r="204" spans="1:4" x14ac:dyDescent="0.25">
      <c r="A204" s="4" t="s">
        <v>80</v>
      </c>
      <c r="B204" s="4" t="s">
        <v>1294</v>
      </c>
      <c r="C204" s="4" t="s">
        <v>1295</v>
      </c>
      <c r="D204" s="4" t="s">
        <v>1296</v>
      </c>
    </row>
    <row r="205" spans="1:4" x14ac:dyDescent="0.25">
      <c r="A205" s="4" t="s">
        <v>1297</v>
      </c>
      <c r="B205" s="4" t="s">
        <v>1298</v>
      </c>
      <c r="C205" s="4" t="s">
        <v>1299</v>
      </c>
      <c r="D205" s="4" t="s">
        <v>1300</v>
      </c>
    </row>
    <row r="206" spans="1:4" x14ac:dyDescent="0.25">
      <c r="A206" s="4" t="s">
        <v>1301</v>
      </c>
      <c r="B206" s="4" t="s">
        <v>1302</v>
      </c>
      <c r="C206" s="4" t="s">
        <v>1303</v>
      </c>
      <c r="D206" s="4" t="s">
        <v>1304</v>
      </c>
    </row>
    <row r="207" spans="1:4" x14ac:dyDescent="0.25">
      <c r="A207" s="4" t="s">
        <v>63</v>
      </c>
      <c r="B207" s="4" t="s">
        <v>1305</v>
      </c>
      <c r="C207" s="4" t="s">
        <v>1306</v>
      </c>
      <c r="D207" s="4" t="s">
        <v>1307</v>
      </c>
    </row>
    <row r="208" spans="1:4" x14ac:dyDescent="0.25">
      <c r="A208" s="4" t="s">
        <v>1308</v>
      </c>
      <c r="B208" s="4" t="s">
        <v>1309</v>
      </c>
      <c r="C208" s="4" t="s">
        <v>1310</v>
      </c>
      <c r="D208" s="4" t="s">
        <v>1311</v>
      </c>
    </row>
    <row r="209" spans="1:4" x14ac:dyDescent="0.25">
      <c r="A209" s="4" t="s">
        <v>1312</v>
      </c>
      <c r="B209" s="4" t="s">
        <v>1313</v>
      </c>
      <c r="C209" s="4" t="s">
        <v>1314</v>
      </c>
      <c r="D209" s="4" t="s">
        <v>1315</v>
      </c>
    </row>
    <row r="210" spans="1:4" x14ac:dyDescent="0.25">
      <c r="A210" s="4" t="s">
        <v>363</v>
      </c>
      <c r="B210" s="4" t="s">
        <v>1316</v>
      </c>
      <c r="C210" s="4" t="s">
        <v>1317</v>
      </c>
      <c r="D210" s="4" t="s">
        <v>1318</v>
      </c>
    </row>
    <row r="211" spans="1:4" x14ac:dyDescent="0.25">
      <c r="A211" s="4" t="s">
        <v>290</v>
      </c>
      <c r="B211" s="4" t="s">
        <v>1319</v>
      </c>
      <c r="C211" s="4" t="s">
        <v>1320</v>
      </c>
      <c r="D211" s="4" t="s">
        <v>1321</v>
      </c>
    </row>
    <row r="212" spans="1:4" x14ac:dyDescent="0.25">
      <c r="A212" s="4" t="s">
        <v>1322</v>
      </c>
      <c r="B212" s="4" t="s">
        <v>1323</v>
      </c>
      <c r="C212" s="4" t="s">
        <v>1324</v>
      </c>
      <c r="D212" s="4" t="s">
        <v>1325</v>
      </c>
    </row>
    <row r="213" spans="1:4" x14ac:dyDescent="0.25">
      <c r="A213" s="4" t="s">
        <v>1326</v>
      </c>
      <c r="B213" s="4" t="s">
        <v>1327</v>
      </c>
      <c r="C213" s="4" t="s">
        <v>1328</v>
      </c>
      <c r="D213" s="4" t="s">
        <v>1329</v>
      </c>
    </row>
    <row r="214" spans="1:4" x14ac:dyDescent="0.25">
      <c r="A214" s="4" t="s">
        <v>1330</v>
      </c>
      <c r="B214" s="4" t="s">
        <v>1331</v>
      </c>
      <c r="C214" s="4" t="s">
        <v>1332</v>
      </c>
      <c r="D214" s="4" t="s">
        <v>1333</v>
      </c>
    </row>
    <row r="215" spans="1:4" x14ac:dyDescent="0.25">
      <c r="A215" s="4" t="s">
        <v>279</v>
      </c>
      <c r="B215" s="4" t="s">
        <v>1334</v>
      </c>
      <c r="C215" s="4" t="s">
        <v>1335</v>
      </c>
      <c r="D215" s="4" t="s">
        <v>1336</v>
      </c>
    </row>
    <row r="216" spans="1:4" x14ac:dyDescent="0.25">
      <c r="A216" s="4" t="s">
        <v>233</v>
      </c>
      <c r="B216" s="4" t="s">
        <v>1337</v>
      </c>
      <c r="C216" s="4" t="s">
        <v>1338</v>
      </c>
      <c r="D216" s="4" t="s">
        <v>1339</v>
      </c>
    </row>
    <row r="217" spans="1:4" x14ac:dyDescent="0.25">
      <c r="A217" s="4" t="s">
        <v>1340</v>
      </c>
      <c r="B217" s="4" t="s">
        <v>1341</v>
      </c>
      <c r="C217" s="4" t="s">
        <v>1342</v>
      </c>
      <c r="D217" s="4" t="s">
        <v>1343</v>
      </c>
    </row>
    <row r="218" spans="1:4" x14ac:dyDescent="0.25">
      <c r="A218" s="4" t="s">
        <v>1344</v>
      </c>
      <c r="B218" s="4" t="s">
        <v>1345</v>
      </c>
      <c r="C218" s="4" t="s">
        <v>1346</v>
      </c>
      <c r="D218" s="4" t="s">
        <v>1347</v>
      </c>
    </row>
    <row r="219" spans="1:4" x14ac:dyDescent="0.25">
      <c r="A219" s="4" t="s">
        <v>520</v>
      </c>
      <c r="B219" s="4" t="s">
        <v>1348</v>
      </c>
      <c r="C219" s="4" t="s">
        <v>1349</v>
      </c>
      <c r="D219" s="4" t="s">
        <v>1350</v>
      </c>
    </row>
    <row r="220" spans="1:4" x14ac:dyDescent="0.25">
      <c r="A220" s="4" t="s">
        <v>1351</v>
      </c>
      <c r="B220" s="4" t="s">
        <v>1352</v>
      </c>
      <c r="C220" s="4" t="s">
        <v>1353</v>
      </c>
      <c r="D220" s="4" t="s">
        <v>1354</v>
      </c>
    </row>
    <row r="221" spans="1:4" x14ac:dyDescent="0.25">
      <c r="A221" s="4" t="s">
        <v>167</v>
      </c>
      <c r="B221" s="4" t="s">
        <v>1355</v>
      </c>
      <c r="C221" s="4" t="s">
        <v>1356</v>
      </c>
      <c r="D221" s="4" t="s">
        <v>1357</v>
      </c>
    </row>
    <row r="222" spans="1:4" x14ac:dyDescent="0.25">
      <c r="A222" s="4" t="s">
        <v>1358</v>
      </c>
      <c r="B222" s="4" t="s">
        <v>1359</v>
      </c>
      <c r="C222" s="4" t="s">
        <v>1360</v>
      </c>
      <c r="D222" s="4" t="s">
        <v>1361</v>
      </c>
    </row>
    <row r="223" spans="1:4" x14ac:dyDescent="0.25">
      <c r="A223" s="4" t="s">
        <v>1362</v>
      </c>
      <c r="B223" s="4" t="s">
        <v>1363</v>
      </c>
      <c r="C223" s="4" t="s">
        <v>1364</v>
      </c>
      <c r="D223" s="4" t="s">
        <v>1365</v>
      </c>
    </row>
    <row r="224" spans="1:4" x14ac:dyDescent="0.25">
      <c r="A224" s="4" t="s">
        <v>1366</v>
      </c>
      <c r="B224" s="4" t="s">
        <v>1367</v>
      </c>
      <c r="C224" s="4" t="s">
        <v>1368</v>
      </c>
      <c r="D224" s="4" t="s">
        <v>1369</v>
      </c>
    </row>
    <row r="225" spans="1:4" x14ac:dyDescent="0.25">
      <c r="A225" s="4" t="s">
        <v>1370</v>
      </c>
      <c r="B225" s="4" t="s">
        <v>1371</v>
      </c>
      <c r="C225" s="4" t="s">
        <v>1372</v>
      </c>
      <c r="D225" s="4" t="s">
        <v>1373</v>
      </c>
    </row>
    <row r="226" spans="1:4" x14ac:dyDescent="0.25">
      <c r="A226" s="4" t="s">
        <v>1374</v>
      </c>
      <c r="B226" s="4" t="s">
        <v>1375</v>
      </c>
      <c r="C226" s="4" t="s">
        <v>1376</v>
      </c>
      <c r="D226" s="4" t="s">
        <v>1377</v>
      </c>
    </row>
    <row r="227" spans="1:4" x14ac:dyDescent="0.25">
      <c r="A227" s="4" t="s">
        <v>103</v>
      </c>
      <c r="B227" s="4" t="s">
        <v>1378</v>
      </c>
      <c r="C227" s="4" t="s">
        <v>1379</v>
      </c>
      <c r="D227" s="4" t="s">
        <v>1380</v>
      </c>
    </row>
    <row r="228" spans="1:4" x14ac:dyDescent="0.25">
      <c r="A228" s="4" t="s">
        <v>41</v>
      </c>
      <c r="B228" s="4" t="s">
        <v>1381</v>
      </c>
      <c r="C228" s="4" t="s">
        <v>1382</v>
      </c>
      <c r="D228" s="4" t="s">
        <v>1383</v>
      </c>
    </row>
    <row r="229" spans="1:4" x14ac:dyDescent="0.25">
      <c r="A229" s="4" t="s">
        <v>1384</v>
      </c>
      <c r="B229" s="4" t="s">
        <v>1385</v>
      </c>
      <c r="C229" s="4" t="s">
        <v>1386</v>
      </c>
      <c r="D229" s="4" t="s">
        <v>1387</v>
      </c>
    </row>
    <row r="230" spans="1:4" x14ac:dyDescent="0.25">
      <c r="A230" s="4" t="s">
        <v>1388</v>
      </c>
      <c r="B230" s="4" t="s">
        <v>1389</v>
      </c>
      <c r="C230" s="4" t="s">
        <v>1390</v>
      </c>
      <c r="D230" s="4" t="s">
        <v>1391</v>
      </c>
    </row>
    <row r="231" spans="1:4" x14ac:dyDescent="0.25">
      <c r="A231" s="4" t="s">
        <v>1392</v>
      </c>
      <c r="B231" s="4" t="s">
        <v>1393</v>
      </c>
      <c r="C231" s="4" t="s">
        <v>1394</v>
      </c>
      <c r="D231" s="4" t="s">
        <v>1395</v>
      </c>
    </row>
    <row r="232" spans="1:4" x14ac:dyDescent="0.25">
      <c r="A232" s="4" t="s">
        <v>325</v>
      </c>
      <c r="B232" s="4" t="s">
        <v>1396</v>
      </c>
      <c r="C232" s="4" t="s">
        <v>1397</v>
      </c>
      <c r="D232" s="4" t="s">
        <v>1398</v>
      </c>
    </row>
    <row r="233" spans="1:4" x14ac:dyDescent="0.25">
      <c r="A233" s="4" t="s">
        <v>45</v>
      </c>
      <c r="B233" s="4" t="s">
        <v>1399</v>
      </c>
      <c r="C233" s="4" t="s">
        <v>1400</v>
      </c>
      <c r="D233" s="4" t="s">
        <v>1401</v>
      </c>
    </row>
    <row r="234" spans="1:4" x14ac:dyDescent="0.25">
      <c r="A234" s="4" t="s">
        <v>1402</v>
      </c>
      <c r="B234" s="4" t="s">
        <v>1403</v>
      </c>
      <c r="C234" s="4" t="s">
        <v>1404</v>
      </c>
      <c r="D234" s="4" t="s">
        <v>1405</v>
      </c>
    </row>
    <row r="235" spans="1:4" x14ac:dyDescent="0.25">
      <c r="A235" s="4" t="s">
        <v>1406</v>
      </c>
      <c r="B235" s="4" t="s">
        <v>1407</v>
      </c>
      <c r="C235" s="4" t="s">
        <v>1408</v>
      </c>
      <c r="D235" s="4" t="s">
        <v>1409</v>
      </c>
    </row>
    <row r="236" spans="1:4" x14ac:dyDescent="0.25">
      <c r="A236" s="4" t="s">
        <v>1410</v>
      </c>
      <c r="B236" s="4" t="s">
        <v>1411</v>
      </c>
      <c r="C236" s="4" t="s">
        <v>1412</v>
      </c>
      <c r="D236" s="4" t="s">
        <v>1413</v>
      </c>
    </row>
    <row r="237" spans="1:4" x14ac:dyDescent="0.25">
      <c r="A237" s="4" t="s">
        <v>1414</v>
      </c>
      <c r="B237" s="4" t="s">
        <v>1415</v>
      </c>
      <c r="C237" s="4" t="s">
        <v>57</v>
      </c>
      <c r="D237" s="4" t="s">
        <v>1416</v>
      </c>
    </row>
    <row r="238" spans="1:4" x14ac:dyDescent="0.25">
      <c r="A238" s="4" t="s">
        <v>93</v>
      </c>
      <c r="B238" s="4" t="s">
        <v>1417</v>
      </c>
      <c r="C238" s="4" t="s">
        <v>1418</v>
      </c>
      <c r="D238" s="4" t="s">
        <v>1419</v>
      </c>
    </row>
    <row r="239" spans="1:4" x14ac:dyDescent="0.25">
      <c r="A239" s="4" t="s">
        <v>91</v>
      </c>
      <c r="B239" s="4" t="s">
        <v>1420</v>
      </c>
      <c r="C239" s="4" t="s">
        <v>1421</v>
      </c>
      <c r="D239" s="4" t="s">
        <v>1422</v>
      </c>
    </row>
    <row r="240" spans="1:4" x14ac:dyDescent="0.25">
      <c r="A240" s="4" t="s">
        <v>1423</v>
      </c>
      <c r="B240" s="4" t="s">
        <v>1424</v>
      </c>
      <c r="C240" s="4" t="s">
        <v>1425</v>
      </c>
      <c r="D240" s="4" t="s">
        <v>1426</v>
      </c>
    </row>
    <row r="241" spans="1:4" x14ac:dyDescent="0.25">
      <c r="A241" s="4" t="s">
        <v>1427</v>
      </c>
      <c r="B241" s="4" t="s">
        <v>1428</v>
      </c>
      <c r="C241" s="4" t="s">
        <v>1429</v>
      </c>
      <c r="D241" s="4" t="s">
        <v>1430</v>
      </c>
    </row>
    <row r="242" spans="1:4" x14ac:dyDescent="0.25">
      <c r="A242" s="4" t="s">
        <v>1431</v>
      </c>
      <c r="B242" s="4" t="s">
        <v>1432</v>
      </c>
      <c r="C242" s="4" t="s">
        <v>1433</v>
      </c>
      <c r="D242" s="4" t="s">
        <v>1434</v>
      </c>
    </row>
    <row r="243" spans="1:4" x14ac:dyDescent="0.25">
      <c r="A243" s="4" t="s">
        <v>1435</v>
      </c>
      <c r="B243" s="4" t="s">
        <v>1436</v>
      </c>
      <c r="C243" s="4" t="s">
        <v>1437</v>
      </c>
      <c r="D243" s="4" t="s">
        <v>1438</v>
      </c>
    </row>
    <row r="244" spans="1:4" x14ac:dyDescent="0.25">
      <c r="A244" s="4" t="s">
        <v>1439</v>
      </c>
      <c r="B244" s="4" t="s">
        <v>1440</v>
      </c>
      <c r="C244" s="4" t="s">
        <v>1441</v>
      </c>
      <c r="D244" s="4" t="s">
        <v>1442</v>
      </c>
    </row>
    <row r="245" spans="1:4" x14ac:dyDescent="0.25">
      <c r="A245" s="4" t="s">
        <v>1443</v>
      </c>
      <c r="B245" s="4" t="s">
        <v>1444</v>
      </c>
      <c r="C245" s="4" t="s">
        <v>1445</v>
      </c>
      <c r="D245" s="4" t="s">
        <v>1446</v>
      </c>
    </row>
    <row r="246" spans="1:4" x14ac:dyDescent="0.25">
      <c r="A246" s="4" t="s">
        <v>1447</v>
      </c>
      <c r="B246" s="4" t="s">
        <v>1448</v>
      </c>
      <c r="C246" s="4" t="s">
        <v>1449</v>
      </c>
      <c r="D246" s="4" t="s">
        <v>1450</v>
      </c>
    </row>
    <row r="247" spans="1:4" x14ac:dyDescent="0.25">
      <c r="A247" s="4" t="s">
        <v>1451</v>
      </c>
      <c r="B247" s="4" t="s">
        <v>1452</v>
      </c>
      <c r="C247" s="4" t="s">
        <v>1453</v>
      </c>
      <c r="D247" s="4" t="s">
        <v>1454</v>
      </c>
    </row>
    <row r="248" spans="1:4" x14ac:dyDescent="0.25">
      <c r="A248" s="4" t="s">
        <v>1455</v>
      </c>
      <c r="B248" s="4" t="s">
        <v>1456</v>
      </c>
      <c r="C248" s="4" t="s">
        <v>1457</v>
      </c>
      <c r="D248" s="4" t="s">
        <v>1458</v>
      </c>
    </row>
    <row r="249" spans="1:4" x14ac:dyDescent="0.25">
      <c r="A249" s="4" t="s">
        <v>548</v>
      </c>
      <c r="B249" s="4" t="s">
        <v>1459</v>
      </c>
      <c r="C249" s="4" t="s">
        <v>1460</v>
      </c>
      <c r="D249" s="4" t="s">
        <v>1461</v>
      </c>
    </row>
    <row r="250" spans="1:4" x14ac:dyDescent="0.25">
      <c r="A250" s="4" t="s">
        <v>1462</v>
      </c>
      <c r="B250" s="4" t="s">
        <v>1463</v>
      </c>
      <c r="C250" s="4" t="s">
        <v>1464</v>
      </c>
      <c r="D250" s="4" t="s">
        <v>1465</v>
      </c>
    </row>
    <row r="251" spans="1:4" x14ac:dyDescent="0.25">
      <c r="A251" s="4" t="s">
        <v>545</v>
      </c>
      <c r="B251" s="4" t="s">
        <v>1466</v>
      </c>
      <c r="C251" s="4" t="s">
        <v>1467</v>
      </c>
      <c r="D25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C25A32A03E7C4BBC94129288D8562F" ma:contentTypeVersion="0" ma:contentTypeDescription="Create a new document." ma:contentTypeScope="" ma:versionID="e8cb598fa2ee3b6fa6714dee4220197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A6A074-733D-478E-94E1-01319720B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0909296-36FD-4121-81E3-A46AECC27DFB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CCC6A6C-A618-45D6-8138-E9686774FD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min per Codes</vt:lpstr>
      <vt:lpstr>EU_Regions</vt:lpstr>
      <vt:lpstr>Query result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Dominik Cvetko</cp:lastModifiedBy>
  <dcterms:created xsi:type="dcterms:W3CDTF">2026-03-19T12:16:18Z</dcterms:created>
  <dcterms:modified xsi:type="dcterms:W3CDTF">2026-05-12T11:35:09Z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8b1ffe9-42de-443c-aef6-86a7b9ca47f5_Enabled">
    <vt:lpwstr>true</vt:lpwstr>
  </property>
  <property fmtid="{D5CDD505-2E9C-101B-9397-08002B2CF9AE}" pid="5" name="MSIP_Label_b8b1ffe9-42de-443c-aef6-86a7b9ca47f5_SetDate">
    <vt:lpwstr>2026-03-19T14:53:18Z</vt:lpwstr>
  </property>
  <property fmtid="{D5CDD505-2E9C-101B-9397-08002B2CF9AE}" pid="6" name="MSIP_Label_b8b1ffe9-42de-443c-aef6-86a7b9ca47f5_Method">
    <vt:lpwstr>Standard</vt:lpwstr>
  </property>
  <property fmtid="{D5CDD505-2E9C-101B-9397-08002B2CF9AE}" pid="7" name="MSIP_Label_b8b1ffe9-42de-443c-aef6-86a7b9ca47f5_Name">
    <vt:lpwstr>Internal</vt:lpwstr>
  </property>
  <property fmtid="{D5CDD505-2E9C-101B-9397-08002B2CF9AE}" pid="8" name="MSIP_Label_b8b1ffe9-42de-443c-aef6-86a7b9ca47f5_SiteId">
    <vt:lpwstr>70d04d7a-e805-459b-96ac-35bc9f7762b7</vt:lpwstr>
  </property>
  <property fmtid="{D5CDD505-2E9C-101B-9397-08002B2CF9AE}" pid="9" name="MSIP_Label_b8b1ffe9-42de-443c-aef6-86a7b9ca47f5_ActionId">
    <vt:lpwstr>c2dd1315-032b-4cad-a6c6-bd8669792e79</vt:lpwstr>
  </property>
  <property fmtid="{D5CDD505-2E9C-101B-9397-08002B2CF9AE}" pid="10" name="MSIP_Label_b8b1ffe9-42de-443c-aef6-86a7b9ca47f5_ContentBits">
    <vt:lpwstr>0</vt:lpwstr>
  </property>
  <property fmtid="{D5CDD505-2E9C-101B-9397-08002B2CF9AE}" pid="11" name="MSIP_Label_b8b1ffe9-42de-443c-aef6-86a7b9ca47f5_Tag">
    <vt:lpwstr>10, 3, 0, 1</vt:lpwstr>
  </property>
  <property fmtid="{D5CDD505-2E9C-101B-9397-08002B2CF9AE}" pid="12" name="ContentTypeId">
    <vt:lpwstr>0x01010029C25A32A03E7C4BBC94129288D8562F</vt:lpwstr>
  </property>
</Properties>
</file>